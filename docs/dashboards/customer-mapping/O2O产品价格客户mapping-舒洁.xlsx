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comments1.xml" ContentType="application/vnd.openxmlformats-officedocument.spreadsheetml.comments+xml"/>
  <Override PartName="/xl/pivotTables/pivotTable3.xml" ContentType="application/vnd.openxmlformats-officedocument.spreadsheetml.pivotTable+xml"/>
  <Override PartName="/xl/comments2.xml" ContentType="application/vnd.openxmlformats-officedocument.spreadsheetml.comments+xml"/>
  <Override PartName="/xl/comments3.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202300"/>
  <mc:AlternateContent xmlns:mc="http://schemas.openxmlformats.org/markup-compatibility/2006">
    <mc:Choice Requires="x15">
      <x15ac:absPath xmlns:x15ac="http://schemas.microsoft.com/office/spreadsheetml/2010/11/ac" url="https://kimberlyclark-my.sharepoint.com/personal/andrea_chen_kcc_com/Documents/Desktop/O2O/O2O-产品检品信息表格/"/>
    </mc:Choice>
  </mc:AlternateContent>
  <xr:revisionPtr revIDLastSave="51" documentId="6_{D8083309-708E-4A23-81F0-109784079952}" xr6:coauthVersionLast="47" xr6:coauthVersionMax="47" xr10:uidLastSave="{78C5F66B-575C-4626-8676-903FB1811D90}"/>
  <bookViews>
    <workbookView xWindow="-110" yWindow="-110" windowWidth="19420" windowHeight="11500" tabRatio="867" firstSheet="2" activeTab="3" xr2:uid="{BE17C138-6222-48D5-B307-DFF2C95C2655}"/>
  </bookViews>
  <sheets>
    <sheet name="后补" sheetId="10" state="hidden" r:id="rId1"/>
    <sheet name="Offline TTL" sheetId="22" state="hidden" r:id="rId2"/>
    <sheet name="mapping-Y26" sheetId="23" r:id="rId3"/>
    <sheet name="Sheet2" sheetId="24" r:id="rId4"/>
    <sheet name="26年价格体系T1" sheetId="16" state="hidden" r:id="rId5"/>
    <sheet name="26年价格体系 T2" sheetId="17" state="hidden" r:id="rId6"/>
    <sheet name="25年版cogs" sheetId="18" state="hidden" r:id="rId7"/>
    <sheet name="Sheet3" sheetId="21" state="hidden" r:id="rId8"/>
    <sheet name="后补-填写标黄单元格" sheetId="7" state="hidden" r:id="rId9"/>
    <sheet name="Sheet1" sheetId="14" state="hidden" r:id="rId10"/>
    <sheet name="随货(用折扣力度报价)-填写标黄单元格" sheetId="2" state="hidden" r:id="rId11"/>
    <sheet name="随货(用单包价格报价)-填写标黄单元格" sheetId="8" state="hidden" r:id="rId12"/>
    <sheet name="随货" sheetId="9" state="hidden" r:id="rId13"/>
    <sheet name="mapping" sheetId="3" state="hidden" r:id="rId14"/>
    <sheet name="随货(用单包价格报价)-填写标黄单元格-随货票扣1.4%" sheetId="12" state="hidden" r:id="rId15"/>
    <sheet name="产品价格体系" sheetId="13" state="hidden" r:id="rId16"/>
  </sheets>
  <externalReferences>
    <externalReference r:id="rId17"/>
    <externalReference r:id="rId18"/>
    <externalReference r:id="rId19"/>
    <externalReference r:id="rId20"/>
    <externalReference r:id="rId21"/>
  </externalReferences>
  <definedNames>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19">#REF!</definedName>
    <definedName name="_DAT2">#REF!</definedName>
    <definedName name="_DAT20">#REF!</definedName>
    <definedName name="_DAT21">#REF!</definedName>
    <definedName name="_DAT22">#REF!</definedName>
    <definedName name="_DAT23">#REF!</definedName>
    <definedName name="_DAT24">#REF!</definedName>
    <definedName name="_DAT25">#REF!</definedName>
    <definedName name="_DAT26">#REF!</definedName>
    <definedName name="_DAT27">#REF!</definedName>
    <definedName name="_DAT28">#REF!</definedName>
    <definedName name="_DAT29">#REF!</definedName>
    <definedName name="_DAT3">#REF!</definedName>
    <definedName name="_DAT30">#REF!</definedName>
    <definedName name="_DAT31">#REF!</definedName>
    <definedName name="_DAT4">#REF!</definedName>
    <definedName name="_DAT5">#REF!</definedName>
    <definedName name="_DAT6">#REF!</definedName>
    <definedName name="_DAT7">#REF!</definedName>
    <definedName name="_DAT8">#REF!</definedName>
    <definedName name="_DAT9">#REF!</definedName>
    <definedName name="_xlnm._FilterDatabase" localSheetId="6" hidden="1">'25年版cogs'!$E$3:$R$176</definedName>
    <definedName name="_xlnm._FilterDatabase" localSheetId="4" hidden="1">'26年价格体系T1'!$B$2:$AL$2</definedName>
    <definedName name="_xlnm._FilterDatabase" localSheetId="13" hidden="1">mapping!$B$2:$V$29</definedName>
    <definedName name="_xlnm._FilterDatabase" localSheetId="2" hidden="1">'mapping-Y26'!$A$1:$N$48</definedName>
    <definedName name="_xlnm._FilterDatabase" localSheetId="1" hidden="1">'Offline TTL'!$A$4:$AF$159</definedName>
    <definedName name="_xlnm._FilterDatabase" localSheetId="3" hidden="1">Sheet2!$A$1:$B$1</definedName>
    <definedName name="_xlnm._FilterDatabase" localSheetId="15" hidden="1">产品价格体系!$A$4:$BQ$32</definedName>
    <definedName name="_xlnm._FilterDatabase" localSheetId="8" hidden="1">'后补-填写标黄单元格'!$A$4:$AI$81</definedName>
    <definedName name="_xlnm._FilterDatabase" localSheetId="10" hidden="1">'随货(用折扣力度报价)-填写标黄单元格'!$A$3:$AA$196</definedName>
    <definedName name="RANGE10">#REF!</definedName>
    <definedName name="RANGE103">#REF!</definedName>
    <definedName name="RANGE105">#REF!</definedName>
    <definedName name="RANGE106">#REF!</definedName>
    <definedName name="RANGE107">#REF!</definedName>
    <definedName name="RANGE108">#REF!</definedName>
    <definedName name="RANGE11">#REF!</definedName>
    <definedName name="RANGE112">#REF!</definedName>
    <definedName name="RANGE113">#REF!</definedName>
    <definedName name="RANGE114">#REF!</definedName>
    <definedName name="RANGE115">#REF!</definedName>
    <definedName name="RANGE116">#REF!</definedName>
    <definedName name="RANGE117">#REF!</definedName>
    <definedName name="RANGE118">#REF!</definedName>
    <definedName name="RANGE119">#REF!</definedName>
    <definedName name="RANGE12">#REF!</definedName>
    <definedName name="RANGE120">#REF!</definedName>
    <definedName name="RANGE121">#REF!</definedName>
    <definedName name="RANGE122">#REF!</definedName>
    <definedName name="RANGE125">#REF!</definedName>
    <definedName name="RANGE127">#REF!</definedName>
    <definedName name="RANGE128">#REF!</definedName>
    <definedName name="RANGE129">#REF!</definedName>
    <definedName name="RANGE13">#REF!</definedName>
    <definedName name="RANGE130">#REF!</definedName>
    <definedName name="RANGE131">#REF!</definedName>
    <definedName name="RANGE132">#REF!</definedName>
    <definedName name="RANGE133">#REF!</definedName>
    <definedName name="RANGE134">#REF!</definedName>
    <definedName name="RANGE135">#REF!</definedName>
    <definedName name="RANGE14">#REF!</definedName>
    <definedName name="RANGE140">#REF!</definedName>
    <definedName name="RANGE141">#REF!</definedName>
    <definedName name="RANGE142">#REF!</definedName>
    <definedName name="RANGE143">#REF!</definedName>
    <definedName name="RANGE144">#REF!</definedName>
    <definedName name="RANGE145">#REF!</definedName>
    <definedName name="RANGE146">#REF!</definedName>
    <definedName name="RANGE147">#REF!</definedName>
    <definedName name="RANGE148">#REF!</definedName>
    <definedName name="RANGE149">#REF!</definedName>
    <definedName name="RANGE15">#REF!</definedName>
    <definedName name="RANGE150">#REF!</definedName>
    <definedName name="RANGE151">#REF!</definedName>
    <definedName name="RANGE155">#REF!</definedName>
    <definedName name="RANGE159">#REF!</definedName>
    <definedName name="RANGE16">#REF!</definedName>
    <definedName name="RANGE162">#REF!</definedName>
    <definedName name="RANGE163">#REF!</definedName>
    <definedName name="RANGE164">#REF!</definedName>
    <definedName name="RANGE165">#REF!</definedName>
    <definedName name="RANGE166">#REF!</definedName>
    <definedName name="RANGE167">#REF!</definedName>
    <definedName name="RANGE168">#REF!</definedName>
    <definedName name="RANGE169">#REF!</definedName>
    <definedName name="RANGE17">#REF!</definedName>
    <definedName name="RANGE170">#REF!</definedName>
    <definedName name="RANGE171">#REF!</definedName>
    <definedName name="RANGE172">#REF!</definedName>
    <definedName name="RANGE174">#REF!</definedName>
    <definedName name="RANGE175">#REF!</definedName>
    <definedName name="RANGE177">#REF!</definedName>
    <definedName name="RANGE179">#REF!</definedName>
    <definedName name="RANGE180">#REF!</definedName>
    <definedName name="RANGE181">#REF!</definedName>
    <definedName name="RANGE182">#REF!</definedName>
    <definedName name="RANGE183">#REF!</definedName>
    <definedName name="RANGE184">#REF!</definedName>
    <definedName name="RANGE19">#REF!</definedName>
    <definedName name="RANGE199">#REF!</definedName>
    <definedName name="RANGE2">#REF!</definedName>
    <definedName name="RANGE20">#REF!</definedName>
    <definedName name="RANGE200">#REF!</definedName>
    <definedName name="RANGE21">#REF!</definedName>
    <definedName name="RANGE210">#REF!</definedName>
    <definedName name="RANGE215">#REF!</definedName>
    <definedName name="RANGE222">#REF!</definedName>
    <definedName name="RANGE227">#REF!</definedName>
    <definedName name="RANGE228">#REF!</definedName>
    <definedName name="RANGE229">#REF!</definedName>
    <definedName name="RANGE23">#REF!</definedName>
    <definedName name="RANGE230">#REF!</definedName>
    <definedName name="RANGE231">#REF!</definedName>
    <definedName name="RANGE232">#REF!</definedName>
    <definedName name="RANGE233">#REF!</definedName>
    <definedName name="RANGE234">#REF!</definedName>
    <definedName name="RANGE235">#REF!</definedName>
    <definedName name="RANGE236">#REF!</definedName>
    <definedName name="RANGE237">#REF!</definedName>
    <definedName name="RANGE238">#REF!</definedName>
    <definedName name="RANGE239">#REF!</definedName>
    <definedName name="RANGE24">#REF!</definedName>
    <definedName name="RANGE240">#REF!</definedName>
    <definedName name="RANGE241">#REF!</definedName>
    <definedName name="RANGE242">#REF!</definedName>
    <definedName name="RANGE243">#REF!</definedName>
    <definedName name="RANGE244">#REF!</definedName>
    <definedName name="RANGE245">#REF!</definedName>
    <definedName name="RANGE246">#REF!</definedName>
    <definedName name="RANGE247">#REF!</definedName>
    <definedName name="RANGE248">#REF!</definedName>
    <definedName name="RANGE249">#REF!</definedName>
    <definedName name="RANGE25">#REF!</definedName>
    <definedName name="RANGE250">#REF!</definedName>
    <definedName name="RANGE251">#REF!</definedName>
    <definedName name="RANGE257">#REF!</definedName>
    <definedName name="RANGE258">#REF!</definedName>
    <definedName name="RANGE259">#REF!</definedName>
    <definedName name="RANGE260">#REF!</definedName>
    <definedName name="RANGE261">#REF!</definedName>
    <definedName name="RANGE262">#REF!</definedName>
    <definedName name="RANGE263">#REF!</definedName>
    <definedName name="RANGE264">#REF!</definedName>
    <definedName name="RANGE27">#REF!</definedName>
    <definedName name="RANGE271">#REF!</definedName>
    <definedName name="RANGE272">#REF!</definedName>
    <definedName name="RANGE273">#REF!</definedName>
    <definedName name="RANGE29">#REF!</definedName>
    <definedName name="RANGE30">#REF!</definedName>
    <definedName name="RANGE300">#REF!</definedName>
    <definedName name="RANGE301">#REF!</definedName>
    <definedName name="RANGE314">#REF!</definedName>
    <definedName name="RANGE317">#REF!</definedName>
    <definedName name="RANGE318">#REF!</definedName>
    <definedName name="RANGE319">#REF!</definedName>
    <definedName name="RANGE32">#REF!</definedName>
    <definedName name="RANGE33">#REF!</definedName>
    <definedName name="RANGE341">#REF!</definedName>
    <definedName name="RANGE343">#REF!</definedName>
    <definedName name="RANGE346">#REF!</definedName>
    <definedName name="RANGE347">#REF!</definedName>
    <definedName name="RANGE35">#REF!</definedName>
    <definedName name="RANGE359">#REF!</definedName>
    <definedName name="RANGE36">#REF!</definedName>
    <definedName name="RANGE37">#REF!</definedName>
    <definedName name="RANGE376">#REF!</definedName>
    <definedName name="RANGE377">#REF!</definedName>
    <definedName name="RANGE38">#REF!</definedName>
    <definedName name="RANGE4">#REF!</definedName>
    <definedName name="RANGE40">#REF!</definedName>
    <definedName name="RANGE42">#REF!</definedName>
    <definedName name="RANGE427">#REF!</definedName>
    <definedName name="RANGE43">#REF!</definedName>
    <definedName name="RANGE441">#REF!</definedName>
    <definedName name="RANGE442">#REF!</definedName>
    <definedName name="RANGE443">#REF!</definedName>
    <definedName name="RANGE444">#REF!</definedName>
    <definedName name="RANGE445">#REF!</definedName>
    <definedName name="RANGE45">#REF!</definedName>
    <definedName name="RANGE486">#REF!</definedName>
    <definedName name="RANGE49">#REF!</definedName>
    <definedName name="RANGE5">#REF!</definedName>
    <definedName name="RANGE50">#REF!</definedName>
    <definedName name="RANGE52">#REF!</definedName>
    <definedName name="RANGE53">#REF!</definedName>
    <definedName name="RANGE54">#REF!</definedName>
    <definedName name="RANGE55">#REF!</definedName>
    <definedName name="RANGE56">#REF!</definedName>
    <definedName name="RANGE6">#REF!</definedName>
    <definedName name="RANGE60">#REF!</definedName>
    <definedName name="RANGE61">#REF!</definedName>
    <definedName name="RANGE62">#REF!</definedName>
    <definedName name="RANGE64">#REF!</definedName>
    <definedName name="RANGE66">#REF!</definedName>
    <definedName name="RANGE68">#REF!</definedName>
    <definedName name="RANGE69">#REF!</definedName>
    <definedName name="RANGE7">#REF!</definedName>
    <definedName name="RANGE70">#REF!</definedName>
    <definedName name="RANGE71">#REF!</definedName>
    <definedName name="RANGE72">#REF!</definedName>
    <definedName name="RANGE73">#REF!</definedName>
    <definedName name="RANGE75">#REF!</definedName>
    <definedName name="RANGE76">#REF!</definedName>
    <definedName name="RANGE77">#REF!</definedName>
    <definedName name="RANGE78">#REF!</definedName>
    <definedName name="RANGE79">#REF!</definedName>
    <definedName name="RANGE80">#REF!</definedName>
    <definedName name="RANGE81">#REF!</definedName>
    <definedName name="RANGE83">#REF!</definedName>
    <definedName name="RANGE84">#REF!</definedName>
    <definedName name="RANGE85">#REF!</definedName>
    <definedName name="RANGE86">#REF!</definedName>
    <definedName name="RANGE88">#REF!</definedName>
    <definedName name="RANGE89">#REF!</definedName>
    <definedName name="RANGE91">#REF!</definedName>
    <definedName name="RANGE92">#REF!</definedName>
    <definedName name="RANGE93">#REF!</definedName>
    <definedName name="RANGE94">#REF!</definedName>
    <definedName name="RANGE95">#REF!</definedName>
    <definedName name="RANGE96">#REF!</definedName>
    <definedName name="RANGE97">#REF!</definedName>
    <definedName name="RANGE99">#REF!</definedName>
    <definedName name="SKU">[1]产品信息表!#REF!</definedName>
    <definedName name="TEST12">#REF!</definedName>
    <definedName name="TEST13">#REF!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VKEY">#REF!</definedName>
    <definedName name="每季度开放一次">#REF!</definedName>
  </definedNames>
  <calcPr calcId="191029"/>
  <pivotCaches>
    <pivotCache cacheId="14" r:id="rId22"/>
    <pivotCache cacheId="15" r:id="rId23"/>
    <pivotCache cacheId="16" r:id="rId2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5" i="23" l="1"/>
  <c r="C16" i="23"/>
  <c r="C17" i="23"/>
  <c r="C18" i="23"/>
  <c r="C19" i="23"/>
  <c r="C20" i="23"/>
  <c r="C21" i="23"/>
  <c r="C22" i="23"/>
  <c r="C23" i="23"/>
  <c r="C24" i="23"/>
  <c r="C25" i="23"/>
  <c r="C26" i="23"/>
  <c r="C27" i="23"/>
  <c r="C28" i="23"/>
  <c r="C29" i="23"/>
  <c r="C30" i="23"/>
  <c r="C31" i="23"/>
  <c r="C32" i="23"/>
  <c r="C33" i="23"/>
  <c r="C35" i="23"/>
  <c r="C36" i="23"/>
  <c r="C37" i="23"/>
  <c r="C41" i="23"/>
  <c r="C42" i="23"/>
  <c r="C43" i="23"/>
  <c r="C44" i="23"/>
  <c r="C45" i="23"/>
  <c r="C46" i="23"/>
  <c r="C47" i="23"/>
  <c r="C14" i="23"/>
  <c r="AI42" i="22" l="1"/>
  <c r="AI48" i="22"/>
  <c r="Z48" i="22"/>
  <c r="AC48" i="22"/>
  <c r="AH14" i="22" l="1"/>
  <c r="AD14" i="22"/>
  <c r="V8" i="22" l="1"/>
  <c r="V10" i="22"/>
  <c r="AD10" i="22"/>
  <c r="Z8" i="22"/>
  <c r="AC8" i="22" s="1"/>
  <c r="AL8" i="22"/>
  <c r="Z54" i="22"/>
  <c r="AC54" i="22" s="1"/>
  <c r="AF51" i="22"/>
  <c r="AI8" i="22" l="1"/>
  <c r="AD42" i="22" l="1"/>
  <c r="AP42" i="22"/>
  <c r="V42" i="22"/>
  <c r="U42" i="22"/>
  <c r="T42" i="22"/>
  <c r="Z42" i="22" l="1"/>
  <c r="AC42" i="22" s="1"/>
  <c r="AL42" i="22" l="1"/>
  <c r="O42" i="22"/>
  <c r="P42" i="22"/>
  <c r="Q42" i="22"/>
  <c r="AS42" i="22" s="1"/>
  <c r="I42" i="22"/>
  <c r="H42" i="22"/>
  <c r="G42" i="22"/>
  <c r="M42" i="22"/>
  <c r="AL129" i="22"/>
  <c r="AL130" i="22"/>
  <c r="AL131" i="22"/>
  <c r="AL132" i="22"/>
  <c r="AL133" i="22"/>
  <c r="AL134" i="22"/>
  <c r="AL135" i="22"/>
  <c r="AL136" i="22"/>
  <c r="AL137" i="22"/>
  <c r="AL138" i="22"/>
  <c r="AL139" i="22"/>
  <c r="AL140" i="22"/>
  <c r="AL141" i="22"/>
  <c r="AL142" i="22"/>
  <c r="AL143" i="22"/>
  <c r="AL144" i="22"/>
  <c r="AL145" i="22"/>
  <c r="AL146" i="22"/>
  <c r="AL147" i="22"/>
  <c r="AL148" i="22"/>
  <c r="AL149" i="22"/>
  <c r="AL150" i="22"/>
  <c r="AL151" i="22"/>
  <c r="AL152" i="22"/>
  <c r="AL153" i="22"/>
  <c r="Z59" i="22"/>
  <c r="AC59" i="22" s="1"/>
  <c r="Z129" i="22"/>
  <c r="Z130" i="22"/>
  <c r="Z131" i="22"/>
  <c r="Z132" i="22"/>
  <c r="Z133" i="22"/>
  <c r="Z134" i="22"/>
  <c r="Z135" i="22"/>
  <c r="Z136" i="22"/>
  <c r="Z137" i="22"/>
  <c r="Z138" i="22"/>
  <c r="Z139" i="22"/>
  <c r="Z140" i="22"/>
  <c r="Z141" i="22"/>
  <c r="Z142" i="22"/>
  <c r="Z143" i="22"/>
  <c r="Z144" i="22"/>
  <c r="Z145" i="22"/>
  <c r="Z146" i="22"/>
  <c r="Z147" i="22"/>
  <c r="Z148" i="22"/>
  <c r="Z149" i="22"/>
  <c r="Z150" i="22"/>
  <c r="Z151" i="22"/>
  <c r="Z152" i="22"/>
  <c r="Z153" i="22"/>
  <c r="O129" i="22"/>
  <c r="P129" i="22"/>
  <c r="Q129" i="22"/>
  <c r="O130" i="22"/>
  <c r="P130" i="22"/>
  <c r="Q130" i="22"/>
  <c r="AS130" i="22" s="1"/>
  <c r="O131" i="22"/>
  <c r="P131" i="22"/>
  <c r="Q131" i="22"/>
  <c r="AS131" i="22" s="1"/>
  <c r="O132" i="22"/>
  <c r="P132" i="22"/>
  <c r="Q132" i="22"/>
  <c r="AS132" i="22" s="1"/>
  <c r="O133" i="22"/>
  <c r="P133" i="22"/>
  <c r="Q133" i="22"/>
  <c r="O134" i="22"/>
  <c r="P134" i="22"/>
  <c r="Q134" i="22"/>
  <c r="O135" i="22"/>
  <c r="P135" i="22"/>
  <c r="Q135" i="22"/>
  <c r="AS135" i="22" s="1"/>
  <c r="O136" i="22"/>
  <c r="P136" i="22"/>
  <c r="Q136" i="22"/>
  <c r="O137" i="22"/>
  <c r="P137" i="22"/>
  <c r="Q137" i="22"/>
  <c r="AS137" i="22" s="1"/>
  <c r="O138" i="22"/>
  <c r="P138" i="22"/>
  <c r="Q138" i="22"/>
  <c r="O139" i="22"/>
  <c r="P139" i="22"/>
  <c r="Q139" i="22"/>
  <c r="AS139" i="22" s="1"/>
  <c r="O140" i="22"/>
  <c r="P140" i="22"/>
  <c r="Q140" i="22"/>
  <c r="O141" i="22"/>
  <c r="P141" i="22"/>
  <c r="Q141" i="22"/>
  <c r="O142" i="22"/>
  <c r="P142" i="22"/>
  <c r="Q142" i="22"/>
  <c r="AS142" i="22" s="1"/>
  <c r="O143" i="22"/>
  <c r="P143" i="22"/>
  <c r="Q143" i="22"/>
  <c r="AS143" i="22" s="1"/>
  <c r="O144" i="22"/>
  <c r="P144" i="22"/>
  <c r="Q144" i="22"/>
  <c r="AS144" i="22" s="1"/>
  <c r="O145" i="22"/>
  <c r="P145" i="22"/>
  <c r="Q145" i="22"/>
  <c r="AS145" i="22" s="1"/>
  <c r="O146" i="22"/>
  <c r="P146" i="22"/>
  <c r="Q146" i="22"/>
  <c r="AS146" i="22" s="1"/>
  <c r="O147" i="22"/>
  <c r="P147" i="22"/>
  <c r="Q147" i="22"/>
  <c r="AS147" i="22" s="1"/>
  <c r="O148" i="22"/>
  <c r="P148" i="22"/>
  <c r="Q148" i="22"/>
  <c r="O149" i="22"/>
  <c r="P149" i="22"/>
  <c r="Q149" i="22"/>
  <c r="AS149" i="22" s="1"/>
  <c r="O150" i="22"/>
  <c r="P150" i="22"/>
  <c r="Q150" i="22"/>
  <c r="AS150" i="22" s="1"/>
  <c r="O151" i="22"/>
  <c r="P151" i="22"/>
  <c r="Q151" i="22"/>
  <c r="O152" i="22"/>
  <c r="P152" i="22"/>
  <c r="Q152" i="22"/>
  <c r="AS152" i="22" s="1"/>
  <c r="O153" i="22"/>
  <c r="P153" i="22"/>
  <c r="Q153" i="22"/>
  <c r="AS153" i="22" s="1"/>
  <c r="N104" i="22"/>
  <c r="N105" i="22"/>
  <c r="N106" i="22"/>
  <c r="N107" i="22"/>
  <c r="N108" i="22"/>
  <c r="N109" i="22"/>
  <c r="N110" i="22"/>
  <c r="N111" i="22"/>
  <c r="N112" i="22"/>
  <c r="N113" i="22"/>
  <c r="N114" i="22"/>
  <c r="N115" i="22"/>
  <c r="N116" i="22"/>
  <c r="N117" i="22"/>
  <c r="N118" i="22"/>
  <c r="N119" i="22"/>
  <c r="N120" i="22"/>
  <c r="N121" i="22"/>
  <c r="N122" i="22"/>
  <c r="N123" i="22"/>
  <c r="N124" i="22"/>
  <c r="N125" i="22"/>
  <c r="N126" i="22"/>
  <c r="N127" i="22"/>
  <c r="N128" i="22"/>
  <c r="N129" i="22"/>
  <c r="N130" i="22"/>
  <c r="N131" i="22"/>
  <c r="N132" i="22"/>
  <c r="N133" i="22"/>
  <c r="N134" i="22"/>
  <c r="N135" i="22"/>
  <c r="N136" i="22"/>
  <c r="N137" i="22"/>
  <c r="N138" i="22"/>
  <c r="N139" i="22"/>
  <c r="N140" i="22"/>
  <c r="N141" i="22"/>
  <c r="N142" i="22"/>
  <c r="N143" i="22"/>
  <c r="N144" i="22"/>
  <c r="N145" i="22"/>
  <c r="N146" i="22"/>
  <c r="N147" i="22"/>
  <c r="N148" i="22"/>
  <c r="N149" i="22"/>
  <c r="N150" i="22"/>
  <c r="N151" i="22"/>
  <c r="N152" i="22"/>
  <c r="N153" i="22"/>
  <c r="L104" i="22"/>
  <c r="L105" i="22"/>
  <c r="L106" i="22"/>
  <c r="L107" i="22"/>
  <c r="L108" i="22"/>
  <c r="L109" i="22"/>
  <c r="L110" i="22"/>
  <c r="L111" i="22"/>
  <c r="L112" i="22"/>
  <c r="L113" i="22"/>
  <c r="L114" i="22"/>
  <c r="L115" i="22"/>
  <c r="L116" i="22"/>
  <c r="L117" i="22"/>
  <c r="L118" i="22"/>
  <c r="L119" i="22"/>
  <c r="L120" i="22"/>
  <c r="L121" i="22"/>
  <c r="L122" i="22"/>
  <c r="L123" i="22"/>
  <c r="L124" i="22"/>
  <c r="L125" i="22"/>
  <c r="L126" i="22"/>
  <c r="L127" i="22"/>
  <c r="L128" i="22"/>
  <c r="L129" i="22"/>
  <c r="L130" i="22"/>
  <c r="L131" i="22"/>
  <c r="L132" i="22"/>
  <c r="L133" i="22"/>
  <c r="L134" i="22"/>
  <c r="L135" i="22"/>
  <c r="L136" i="22"/>
  <c r="L137" i="22"/>
  <c r="L138" i="22"/>
  <c r="L139" i="22"/>
  <c r="L140" i="22"/>
  <c r="L141" i="22"/>
  <c r="L142" i="22"/>
  <c r="L143" i="22"/>
  <c r="L144" i="22"/>
  <c r="L145" i="22"/>
  <c r="L146" i="22"/>
  <c r="L147" i="22"/>
  <c r="L148" i="22"/>
  <c r="L149" i="22"/>
  <c r="L150" i="22"/>
  <c r="L151" i="22"/>
  <c r="L152" i="22"/>
  <c r="L153" i="22"/>
  <c r="G129" i="22"/>
  <c r="H129" i="22"/>
  <c r="I129" i="22"/>
  <c r="G130" i="22"/>
  <c r="H130" i="22"/>
  <c r="I130" i="22"/>
  <c r="G131" i="22"/>
  <c r="H131" i="22"/>
  <c r="I131" i="22"/>
  <c r="G132" i="22"/>
  <c r="H132" i="22"/>
  <c r="I132" i="22"/>
  <c r="G133" i="22"/>
  <c r="H133" i="22"/>
  <c r="I133" i="22"/>
  <c r="G134" i="22"/>
  <c r="H134" i="22"/>
  <c r="I134" i="22"/>
  <c r="G135" i="22"/>
  <c r="H135" i="22"/>
  <c r="I135" i="22"/>
  <c r="G136" i="22"/>
  <c r="H136" i="22"/>
  <c r="I136" i="22"/>
  <c r="G137" i="22"/>
  <c r="H137" i="22"/>
  <c r="I137" i="22"/>
  <c r="G138" i="22"/>
  <c r="H138" i="22"/>
  <c r="I138" i="22"/>
  <c r="G139" i="22"/>
  <c r="H139" i="22"/>
  <c r="I139" i="22"/>
  <c r="G140" i="22"/>
  <c r="H140" i="22"/>
  <c r="I140" i="22"/>
  <c r="G141" i="22"/>
  <c r="H141" i="22"/>
  <c r="I141" i="22"/>
  <c r="G142" i="22"/>
  <c r="H142" i="22"/>
  <c r="I142" i="22"/>
  <c r="G143" i="22"/>
  <c r="H143" i="22"/>
  <c r="I143" i="22"/>
  <c r="G144" i="22"/>
  <c r="H144" i="22"/>
  <c r="I144" i="22"/>
  <c r="G145" i="22"/>
  <c r="H145" i="22"/>
  <c r="I145" i="22"/>
  <c r="G146" i="22"/>
  <c r="H146" i="22"/>
  <c r="I146" i="22"/>
  <c r="G147" i="22"/>
  <c r="H147" i="22"/>
  <c r="I147" i="22"/>
  <c r="G148" i="22"/>
  <c r="H148" i="22"/>
  <c r="I148" i="22"/>
  <c r="G149" i="22"/>
  <c r="H149" i="22"/>
  <c r="I149" i="22"/>
  <c r="G150" i="22"/>
  <c r="H150" i="22"/>
  <c r="I150" i="22"/>
  <c r="G151" i="22"/>
  <c r="H151" i="22"/>
  <c r="I151" i="22"/>
  <c r="G152" i="22"/>
  <c r="H152" i="22"/>
  <c r="I152" i="22"/>
  <c r="G153" i="22"/>
  <c r="H153" i="22"/>
  <c r="I153" i="22"/>
  <c r="AF59" i="22" l="1"/>
  <c r="R133" i="22"/>
  <c r="AG133" i="22" s="1"/>
  <c r="AJ133" i="22" s="1"/>
  <c r="AK133" i="22" s="1"/>
  <c r="R148" i="22"/>
  <c r="AG148" i="22" s="1"/>
  <c r="AJ148" i="22" s="1"/>
  <c r="AK148" i="22" s="1"/>
  <c r="R151" i="22"/>
  <c r="AG151" i="22" s="1"/>
  <c r="AJ151" i="22" s="1"/>
  <c r="AK151" i="22" s="1"/>
  <c r="AN151" i="22" s="1"/>
  <c r="R137" i="22"/>
  <c r="AG137" i="22" s="1"/>
  <c r="R141" i="22"/>
  <c r="AG141" i="22" s="1"/>
  <c r="R140" i="22"/>
  <c r="AG140" i="22" s="1"/>
  <c r="R42" i="22"/>
  <c r="R134" i="22"/>
  <c r="AG134" i="22" s="1"/>
  <c r="R152" i="22"/>
  <c r="AG152" i="22" s="1"/>
  <c r="AJ152" i="22" s="1"/>
  <c r="AK152" i="22" s="1"/>
  <c r="AN152" i="22" s="1"/>
  <c r="R138" i="22"/>
  <c r="AG138" i="22" s="1"/>
  <c r="AJ138" i="22" s="1"/>
  <c r="AK138" i="22" s="1"/>
  <c r="AN138" i="22" s="1"/>
  <c r="R129" i="22"/>
  <c r="AG129" i="22" s="1"/>
  <c r="AS148" i="22"/>
  <c r="R145" i="22"/>
  <c r="AG145" i="22" s="1"/>
  <c r="R136" i="22"/>
  <c r="AG136" i="22" s="1"/>
  <c r="AS140" i="22"/>
  <c r="AS138" i="22"/>
  <c r="R144" i="22"/>
  <c r="AG144" i="22" s="1"/>
  <c r="AS136" i="22"/>
  <c r="AS129" i="22"/>
  <c r="AS151" i="22"/>
  <c r="R147" i="22"/>
  <c r="AG147" i="22" s="1"/>
  <c r="AS134" i="22"/>
  <c r="AS133" i="22"/>
  <c r="R142" i="22"/>
  <c r="AG142" i="22" s="1"/>
  <c r="AS141" i="22"/>
  <c r="R143" i="22"/>
  <c r="R149" i="22"/>
  <c r="R153" i="22"/>
  <c r="R135" i="22"/>
  <c r="R130" i="22"/>
  <c r="R132" i="22"/>
  <c r="R131" i="22"/>
  <c r="R150" i="22"/>
  <c r="R146" i="22"/>
  <c r="R139" i="22"/>
  <c r="AJ134" i="22" l="1"/>
  <c r="AK134" i="22" s="1"/>
  <c r="AQ134" i="22" s="1"/>
  <c r="AJ141" i="22"/>
  <c r="AK141" i="22" s="1"/>
  <c r="AN141" i="22" s="1"/>
  <c r="AJ137" i="22"/>
  <c r="AK137" i="22" s="1"/>
  <c r="AN137" i="22" s="1"/>
  <c r="AR137" i="22" s="1"/>
  <c r="AG42" i="22"/>
  <c r="AJ42" i="22" s="1"/>
  <c r="AK42" i="22" s="1"/>
  <c r="AJ140" i="22"/>
  <c r="AK140" i="22" s="1"/>
  <c r="AN140" i="22" s="1"/>
  <c r="AJ145" i="22"/>
  <c r="AK145" i="22" s="1"/>
  <c r="AQ145" i="22" s="1"/>
  <c r="AJ142" i="22"/>
  <c r="AK142" i="22" s="1"/>
  <c r="AN142" i="22" s="1"/>
  <c r="AR142" i="22" s="1"/>
  <c r="AJ129" i="22"/>
  <c r="AK129" i="22" s="1"/>
  <c r="AN129" i="22" s="1"/>
  <c r="AO129" i="22" s="1"/>
  <c r="AJ136" i="22"/>
  <c r="AK136" i="22" s="1"/>
  <c r="AN136" i="22" s="1"/>
  <c r="AJ144" i="22"/>
  <c r="AK144" i="22" s="1"/>
  <c r="AQ144" i="22" s="1"/>
  <c r="AN133" i="22"/>
  <c r="AO133" i="22" s="1"/>
  <c r="AQ133" i="22"/>
  <c r="AN148" i="22"/>
  <c r="AQ148" i="22"/>
  <c r="AO138" i="22"/>
  <c r="AR138" i="22"/>
  <c r="AQ141" i="22"/>
  <c r="AO151" i="22"/>
  <c r="AR151" i="22"/>
  <c r="AQ151" i="22"/>
  <c r="AJ147" i="22"/>
  <c r="AK147" i="22" s="1"/>
  <c r="AQ138" i="22"/>
  <c r="AO152" i="22"/>
  <c r="AR152" i="22"/>
  <c r="AQ152" i="22"/>
  <c r="AG143" i="22"/>
  <c r="AJ143" i="22" s="1"/>
  <c r="AK143" i="22" s="1"/>
  <c r="AG139" i="22"/>
  <c r="AJ139" i="22" s="1"/>
  <c r="AK139" i="22" s="1"/>
  <c r="AG131" i="22"/>
  <c r="AJ131" i="22" s="1"/>
  <c r="AK131" i="22" s="1"/>
  <c r="AG146" i="22"/>
  <c r="AJ146" i="22" s="1"/>
  <c r="AK146" i="22" s="1"/>
  <c r="AG153" i="22"/>
  <c r="AJ153" i="22" s="1"/>
  <c r="AK153" i="22" s="1"/>
  <c r="AG149" i="22"/>
  <c r="AJ149" i="22" s="1"/>
  <c r="AK149" i="22" s="1"/>
  <c r="AG150" i="22"/>
  <c r="AJ150" i="22" s="1"/>
  <c r="AK150" i="22" s="1"/>
  <c r="AG132" i="22"/>
  <c r="AJ132" i="22" s="1"/>
  <c r="AK132" i="22" s="1"/>
  <c r="AG130" i="22"/>
  <c r="AJ130" i="22" s="1"/>
  <c r="AK130" i="22" s="1"/>
  <c r="AG135" i="22"/>
  <c r="AJ135" i="22" s="1"/>
  <c r="AK135" i="22" s="1"/>
  <c r="AN134" i="22" l="1"/>
  <c r="AO134" i="22" s="1"/>
  <c r="AO137" i="22"/>
  <c r="AQ137" i="22"/>
  <c r="AQ140" i="22"/>
  <c r="AN144" i="22"/>
  <c r="AO144" i="22" s="1"/>
  <c r="AN145" i="22"/>
  <c r="AO145" i="22" s="1"/>
  <c r="AN42" i="22"/>
  <c r="AO42" i="22" s="1"/>
  <c r="AQ42" i="22"/>
  <c r="AQ129" i="22"/>
  <c r="AO142" i="22"/>
  <c r="AQ136" i="22"/>
  <c r="AQ142" i="22"/>
  <c r="AR133" i="22"/>
  <c r="AR129" i="22"/>
  <c r="AN153" i="22"/>
  <c r="AQ153" i="22"/>
  <c r="AN146" i="22"/>
  <c r="AQ146" i="22"/>
  <c r="AN143" i="22"/>
  <c r="AQ143" i="22"/>
  <c r="AN131" i="22"/>
  <c r="AQ131" i="22"/>
  <c r="AN139" i="22"/>
  <c r="AQ139" i="22"/>
  <c r="AO140" i="22"/>
  <c r="AR140" i="22"/>
  <c r="AN147" i="22"/>
  <c r="AQ147" i="22"/>
  <c r="AN132" i="22"/>
  <c r="AQ132" i="22"/>
  <c r="AN150" i="22"/>
  <c r="AQ150" i="22"/>
  <c r="AO141" i="22"/>
  <c r="AR141" i="22"/>
  <c r="AO136" i="22"/>
  <c r="AR136" i="22"/>
  <c r="AO148" i="22"/>
  <c r="AR148" i="22"/>
  <c r="AN135" i="22"/>
  <c r="AQ135" i="22"/>
  <c r="AN130" i="22"/>
  <c r="AQ130" i="22"/>
  <c r="AN149" i="22"/>
  <c r="AQ149" i="22"/>
  <c r="AR144" i="22" l="1"/>
  <c r="AR145" i="22"/>
  <c r="AR42" i="22"/>
  <c r="AR134" i="22"/>
  <c r="AO147" i="22"/>
  <c r="AR147" i="22"/>
  <c r="AO139" i="22"/>
  <c r="AR139" i="22"/>
  <c r="AO131" i="22"/>
  <c r="AR131" i="22"/>
  <c r="AO143" i="22"/>
  <c r="AR143" i="22"/>
  <c r="AO149" i="22"/>
  <c r="AR149" i="22"/>
  <c r="AO150" i="22"/>
  <c r="AR150" i="22"/>
  <c r="AO130" i="22"/>
  <c r="AR130" i="22"/>
  <c r="AO132" i="22"/>
  <c r="AR132" i="22"/>
  <c r="AO146" i="22"/>
  <c r="AR146" i="22"/>
  <c r="AO135" i="22"/>
  <c r="AR135" i="22"/>
  <c r="AO153" i="22"/>
  <c r="AR153" i="22"/>
  <c r="AL112" i="22" l="1"/>
  <c r="AL113" i="22"/>
  <c r="AL114" i="22"/>
  <c r="AL115" i="22"/>
  <c r="AL116" i="22"/>
  <c r="AL117" i="22"/>
  <c r="AL118" i="22"/>
  <c r="AL119" i="22"/>
  <c r="AL120" i="22"/>
  <c r="AL121" i="22"/>
  <c r="AL122" i="22"/>
  <c r="AL123" i="22"/>
  <c r="AL124" i="22"/>
  <c r="AL125" i="22"/>
  <c r="AL126" i="22"/>
  <c r="AL127" i="22"/>
  <c r="AL128" i="22"/>
  <c r="AL159" i="22"/>
  <c r="AL104" i="22"/>
  <c r="AL105" i="22"/>
  <c r="AL106" i="22"/>
  <c r="AL107" i="22"/>
  <c r="AL108" i="22"/>
  <c r="AL109" i="22"/>
  <c r="AL110" i="22"/>
  <c r="AL111" i="22"/>
  <c r="AL154" i="22"/>
  <c r="AL155" i="22"/>
  <c r="AL156" i="22"/>
  <c r="AL157" i="22"/>
  <c r="AL158" i="22"/>
  <c r="AL91" i="22"/>
  <c r="AL92" i="22"/>
  <c r="AL93" i="22"/>
  <c r="AL94" i="22"/>
  <c r="AL95" i="22"/>
  <c r="AL96" i="22"/>
  <c r="AL97" i="22"/>
  <c r="AL98" i="22"/>
  <c r="AL99" i="22"/>
  <c r="AL100" i="22"/>
  <c r="AL101" i="22"/>
  <c r="AL102" i="22"/>
  <c r="AL103" i="22"/>
  <c r="AL80" i="22"/>
  <c r="AL81" i="22"/>
  <c r="AL82" i="22"/>
  <c r="AL83" i="22"/>
  <c r="AL84" i="22"/>
  <c r="AL85" i="22"/>
  <c r="AL86" i="22"/>
  <c r="AL87" i="22"/>
  <c r="AL88" i="22"/>
  <c r="AL89" i="22"/>
  <c r="AL90" i="22"/>
  <c r="AL70" i="22"/>
  <c r="AL71" i="22"/>
  <c r="AL72" i="22"/>
  <c r="AL73" i="22"/>
  <c r="AL74" i="22"/>
  <c r="AL75" i="22"/>
  <c r="AL76" i="22"/>
  <c r="AL77" i="22"/>
  <c r="AL78" i="22"/>
  <c r="AL79" i="22"/>
  <c r="AL60" i="22"/>
  <c r="AL61" i="22"/>
  <c r="AL62" i="22"/>
  <c r="AL63" i="22"/>
  <c r="AL64" i="22"/>
  <c r="AL65" i="22"/>
  <c r="AL66" i="22"/>
  <c r="AL67" i="22"/>
  <c r="AL68" i="22"/>
  <c r="AL69" i="22"/>
  <c r="AL52" i="22"/>
  <c r="AL53" i="22"/>
  <c r="AL54" i="22"/>
  <c r="AL55" i="22"/>
  <c r="AL56" i="22"/>
  <c r="AL57" i="22"/>
  <c r="AL58" i="22"/>
  <c r="AL59" i="22"/>
  <c r="AL51" i="22"/>
  <c r="AL37" i="22"/>
  <c r="AL26" i="22"/>
  <c r="AL27" i="22"/>
  <c r="AL28" i="22"/>
  <c r="AL16" i="22"/>
  <c r="AL10" i="22"/>
  <c r="AL12" i="22"/>
  <c r="AL13" i="22"/>
  <c r="AL39" i="22"/>
  <c r="AL14" i="22"/>
  <c r="AL43" i="22"/>
  <c r="AL30" i="22"/>
  <c r="AL5" i="22"/>
  <c r="AL24" i="22"/>
  <c r="AL6" i="22"/>
  <c r="AL45" i="22"/>
  <c r="AL32" i="22"/>
  <c r="AL40" i="22"/>
  <c r="N4" i="18"/>
  <c r="Z104" i="22"/>
  <c r="Z105" i="22"/>
  <c r="Z106" i="22"/>
  <c r="Z107" i="22"/>
  <c r="Z108" i="22"/>
  <c r="Z109" i="22"/>
  <c r="Z110" i="22"/>
  <c r="Z111" i="22"/>
  <c r="Z112" i="22"/>
  <c r="Z113" i="22"/>
  <c r="Z114" i="22"/>
  <c r="Z115" i="22"/>
  <c r="Z116" i="22"/>
  <c r="Z117" i="22"/>
  <c r="Z118" i="22"/>
  <c r="Z119" i="22"/>
  <c r="Z120" i="22"/>
  <c r="Z121" i="22"/>
  <c r="Z122" i="22"/>
  <c r="Z123" i="22"/>
  <c r="Z124" i="22"/>
  <c r="Z125" i="22"/>
  <c r="Z126" i="22"/>
  <c r="Z127" i="22"/>
  <c r="Z128" i="22"/>
  <c r="G105" i="22"/>
  <c r="G106" i="22"/>
  <c r="G107" i="22"/>
  <c r="G108" i="22"/>
  <c r="G109" i="22"/>
  <c r="G110" i="22"/>
  <c r="G111" i="22"/>
  <c r="G112" i="22"/>
  <c r="G113" i="22"/>
  <c r="G114" i="22"/>
  <c r="G115" i="22"/>
  <c r="G116" i="22"/>
  <c r="G117" i="22"/>
  <c r="G118" i="22"/>
  <c r="G119" i="22"/>
  <c r="G120" i="22"/>
  <c r="G121" i="22"/>
  <c r="G122" i="22"/>
  <c r="G123" i="22"/>
  <c r="G124" i="22"/>
  <c r="G125" i="22"/>
  <c r="G126" i="22"/>
  <c r="G127" i="22"/>
  <c r="G128" i="22"/>
  <c r="G104" i="22"/>
  <c r="H104" i="22"/>
  <c r="H105" i="22"/>
  <c r="H106" i="22"/>
  <c r="H107" i="22"/>
  <c r="H108" i="22"/>
  <c r="H109" i="22"/>
  <c r="H110" i="22"/>
  <c r="H111" i="22"/>
  <c r="H112" i="22"/>
  <c r="H113" i="22"/>
  <c r="H114" i="22"/>
  <c r="H115" i="22"/>
  <c r="H116" i="22"/>
  <c r="H117" i="22"/>
  <c r="H118" i="22"/>
  <c r="H119" i="22"/>
  <c r="H120" i="22"/>
  <c r="H121" i="22"/>
  <c r="H122" i="22"/>
  <c r="H123" i="22"/>
  <c r="H124" i="22"/>
  <c r="H125" i="22"/>
  <c r="H126" i="22"/>
  <c r="H127" i="22"/>
  <c r="H128" i="22"/>
  <c r="I104" i="22"/>
  <c r="I105" i="22"/>
  <c r="I106" i="22"/>
  <c r="I107" i="22"/>
  <c r="I108" i="22"/>
  <c r="I109" i="22"/>
  <c r="I110" i="22"/>
  <c r="I111" i="22"/>
  <c r="I112" i="22"/>
  <c r="I113" i="22"/>
  <c r="I114" i="22"/>
  <c r="I115" i="22"/>
  <c r="I116" i="22"/>
  <c r="I117" i="22"/>
  <c r="I118" i="22"/>
  <c r="I119" i="22"/>
  <c r="I120" i="22"/>
  <c r="I121" i="22"/>
  <c r="I122" i="22"/>
  <c r="I123" i="22"/>
  <c r="I124" i="22"/>
  <c r="I125" i="22"/>
  <c r="I126" i="22"/>
  <c r="I127" i="22"/>
  <c r="I128" i="22"/>
  <c r="Q104" i="22"/>
  <c r="AS104" i="22" s="1"/>
  <c r="Q105" i="22"/>
  <c r="AS105" i="22" s="1"/>
  <c r="Q106" i="22"/>
  <c r="AS106" i="22" s="1"/>
  <c r="Q107" i="22"/>
  <c r="AS107" i="22" s="1"/>
  <c r="Q108" i="22"/>
  <c r="AS108" i="22" s="1"/>
  <c r="Q109" i="22"/>
  <c r="Q110" i="22"/>
  <c r="AS110" i="22" s="1"/>
  <c r="Q111" i="22"/>
  <c r="AS111" i="22" s="1"/>
  <c r="Q112" i="22"/>
  <c r="AS112" i="22" s="1"/>
  <c r="Q113" i="22"/>
  <c r="AS113" i="22" s="1"/>
  <c r="Q114" i="22"/>
  <c r="AS114" i="22" s="1"/>
  <c r="Q115" i="22"/>
  <c r="AS115" i="22" s="1"/>
  <c r="Q116" i="22"/>
  <c r="Q117" i="22"/>
  <c r="AS117" i="22" s="1"/>
  <c r="Q118" i="22"/>
  <c r="AS118" i="22" s="1"/>
  <c r="Q119" i="22"/>
  <c r="AS119" i="22" s="1"/>
  <c r="Q120" i="22"/>
  <c r="AS120" i="22" s="1"/>
  <c r="Q121" i="22"/>
  <c r="AS121" i="22" s="1"/>
  <c r="Q122" i="22"/>
  <c r="AS122" i="22" s="1"/>
  <c r="Q123" i="22"/>
  <c r="Q124" i="22"/>
  <c r="AS124" i="22" s="1"/>
  <c r="Q125" i="22"/>
  <c r="AS125" i="22" s="1"/>
  <c r="Q126" i="22"/>
  <c r="AS126" i="22" s="1"/>
  <c r="Q127" i="22"/>
  <c r="AS127" i="22" s="1"/>
  <c r="Q128" i="22"/>
  <c r="AS128" i="22" s="1"/>
  <c r="P104" i="22"/>
  <c r="P105" i="22"/>
  <c r="P106" i="22"/>
  <c r="P107" i="22"/>
  <c r="P108" i="22"/>
  <c r="P109" i="22"/>
  <c r="P110" i="22"/>
  <c r="P111" i="22"/>
  <c r="P112" i="22"/>
  <c r="P113" i="22"/>
  <c r="P114" i="22"/>
  <c r="P115" i="22"/>
  <c r="P116" i="22"/>
  <c r="P117" i="22"/>
  <c r="P118" i="22"/>
  <c r="P119" i="22"/>
  <c r="P120" i="22"/>
  <c r="P121" i="22"/>
  <c r="P122" i="22"/>
  <c r="P123" i="22"/>
  <c r="P124" i="22"/>
  <c r="P125" i="22"/>
  <c r="P126" i="22"/>
  <c r="P127" i="22"/>
  <c r="P128" i="22"/>
  <c r="O104" i="22"/>
  <c r="O105" i="22"/>
  <c r="O106" i="22"/>
  <c r="O107" i="22"/>
  <c r="O108" i="22"/>
  <c r="O109" i="22"/>
  <c r="O110" i="22"/>
  <c r="O111" i="22"/>
  <c r="O112" i="22"/>
  <c r="O113" i="22"/>
  <c r="O114" i="22"/>
  <c r="O115" i="22"/>
  <c r="O116" i="22"/>
  <c r="O117" i="22"/>
  <c r="O118" i="22"/>
  <c r="O119" i="22"/>
  <c r="O120" i="22"/>
  <c r="O121" i="22"/>
  <c r="O122" i="22"/>
  <c r="O123" i="22"/>
  <c r="O124" i="22"/>
  <c r="O125" i="22"/>
  <c r="O126" i="22"/>
  <c r="O127" i="22"/>
  <c r="O128" i="22"/>
  <c r="R105" i="22" l="1"/>
  <c r="AG105" i="22" s="1"/>
  <c r="R106" i="22"/>
  <c r="AG106" i="22" s="1"/>
  <c r="R120" i="22"/>
  <c r="AG120" i="22" s="1"/>
  <c r="AL17" i="22"/>
  <c r="AL50" i="22"/>
  <c r="AL29" i="22"/>
  <c r="AL22" i="22"/>
  <c r="AL48" i="22"/>
  <c r="AL35" i="22"/>
  <c r="AL38" i="22"/>
  <c r="AL18" i="22"/>
  <c r="AL31" i="22"/>
  <c r="AL15" i="22"/>
  <c r="AL41" i="22"/>
  <c r="AL47" i="22"/>
  <c r="AL7" i="22"/>
  <c r="AL46" i="22"/>
  <c r="AL11" i="22"/>
  <c r="AL33" i="22"/>
  <c r="AL21" i="22"/>
  <c r="AL34" i="22"/>
  <c r="AL23" i="22"/>
  <c r="AL36" i="22"/>
  <c r="AL49" i="22"/>
  <c r="AL20" i="22"/>
  <c r="AL19" i="22"/>
  <c r="AL44" i="22"/>
  <c r="AL9" i="22"/>
  <c r="AL25" i="22"/>
  <c r="R121" i="22"/>
  <c r="R111" i="22"/>
  <c r="R108" i="22"/>
  <c r="R107" i="22"/>
  <c r="R123" i="22"/>
  <c r="R109" i="22"/>
  <c r="AS123" i="22"/>
  <c r="R125" i="22"/>
  <c r="AS109" i="22"/>
  <c r="R116" i="22"/>
  <c r="R122" i="22"/>
  <c r="AS116" i="22"/>
  <c r="R128" i="22"/>
  <c r="R114" i="22"/>
  <c r="R127" i="22"/>
  <c r="R113" i="22"/>
  <c r="R115" i="22"/>
  <c r="R126" i="22"/>
  <c r="R112" i="22"/>
  <c r="R124" i="22"/>
  <c r="R110" i="22"/>
  <c r="R119" i="22"/>
  <c r="R118" i="22"/>
  <c r="R104" i="22"/>
  <c r="AG104" i="22" s="1"/>
  <c r="R117" i="22"/>
  <c r="AJ104" i="22" l="1"/>
  <c r="AK104" i="22" s="1"/>
  <c r="AN104" i="22" s="1"/>
  <c r="AG125" i="22"/>
  <c r="AJ125" i="22" s="1"/>
  <c r="AG111" i="22"/>
  <c r="AJ111" i="22" s="1"/>
  <c r="AK111" i="22" s="1"/>
  <c r="AQ111" i="22" s="1"/>
  <c r="AG121" i="22"/>
  <c r="AJ121" i="22" s="1"/>
  <c r="AK121" i="22" s="1"/>
  <c r="AQ121" i="22" s="1"/>
  <c r="AG107" i="22"/>
  <c r="AJ107" i="22" s="1"/>
  <c r="AK107" i="22" s="1"/>
  <c r="AQ107" i="22" s="1"/>
  <c r="AG108" i="22"/>
  <c r="AJ108" i="22" s="1"/>
  <c r="AG116" i="22"/>
  <c r="AJ116" i="22" s="1"/>
  <c r="AK116" i="22" s="1"/>
  <c r="AJ106" i="22"/>
  <c r="AK106" i="22" s="1"/>
  <c r="AQ106" i="22" s="1"/>
  <c r="AG109" i="22"/>
  <c r="AJ109" i="22" s="1"/>
  <c r="AG122" i="22"/>
  <c r="AJ122" i="22" s="1"/>
  <c r="AJ120" i="22"/>
  <c r="AK120" i="22" s="1"/>
  <c r="AQ120" i="22" s="1"/>
  <c r="AJ105" i="22"/>
  <c r="AK105" i="22" s="1"/>
  <c r="AQ105" i="22" s="1"/>
  <c r="AG123" i="22"/>
  <c r="AG126" i="22"/>
  <c r="AG117" i="22"/>
  <c r="AJ117" i="22" s="1"/>
  <c r="AG115" i="22"/>
  <c r="AG118" i="22"/>
  <c r="AJ118" i="22" s="1"/>
  <c r="AK118" i="22" s="1"/>
  <c r="AG113" i="22"/>
  <c r="AJ113" i="22" s="1"/>
  <c r="AG119" i="22"/>
  <c r="AJ119" i="22" s="1"/>
  <c r="AG127" i="22"/>
  <c r="AG114" i="22"/>
  <c r="AJ114" i="22" s="1"/>
  <c r="AG128" i="22"/>
  <c r="AG110" i="22"/>
  <c r="AJ110" i="22" s="1"/>
  <c r="AG124" i="22"/>
  <c r="AJ124" i="22" s="1"/>
  <c r="AG112" i="22"/>
  <c r="AJ112" i="22" s="1"/>
  <c r="AK109" i="22" l="1"/>
  <c r="AQ109" i="22" s="1"/>
  <c r="AK110" i="22"/>
  <c r="AQ110" i="22" s="1"/>
  <c r="AK114" i="22"/>
  <c r="AQ114" i="22" s="1"/>
  <c r="AK119" i="22"/>
  <c r="AQ119" i="22" s="1"/>
  <c r="AK117" i="22"/>
  <c r="AQ117" i="22" s="1"/>
  <c r="AK112" i="22"/>
  <c r="AQ112" i="22" s="1"/>
  <c r="AK124" i="22"/>
  <c r="AQ124" i="22" s="1"/>
  <c r="AJ127" i="22"/>
  <c r="AK127" i="22" s="1"/>
  <c r="AQ127" i="22" s="1"/>
  <c r="AK113" i="22"/>
  <c r="AN113" i="22" s="1"/>
  <c r="AK122" i="22"/>
  <c r="AQ122" i="22" s="1"/>
  <c r="AJ123" i="22"/>
  <c r="AK123" i="22" s="1"/>
  <c r="AQ123" i="22" s="1"/>
  <c r="AJ128" i="22"/>
  <c r="AK128" i="22" s="1"/>
  <c r="AQ128" i="22" s="1"/>
  <c r="AK108" i="22"/>
  <c r="AQ108" i="22" s="1"/>
  <c r="AJ115" i="22"/>
  <c r="AK115" i="22" s="1"/>
  <c r="AQ115" i="22" s="1"/>
  <c r="AJ126" i="22"/>
  <c r="AK126" i="22" s="1"/>
  <c r="AQ126" i="22" s="1"/>
  <c r="AK125" i="22"/>
  <c r="AQ125" i="22" s="1"/>
  <c r="AQ116" i="22"/>
  <c r="AQ104" i="22"/>
  <c r="AQ118" i="22"/>
  <c r="AQ113" i="22" l="1"/>
  <c r="AR113" i="22"/>
  <c r="AO113" i="22"/>
  <c r="R5" i="16" l="1"/>
  <c r="I5" i="22" l="1"/>
  <c r="I7" i="22"/>
  <c r="I8" i="22"/>
  <c r="I9" i="22"/>
  <c r="I10" i="22"/>
  <c r="I11" i="22"/>
  <c r="I12" i="22"/>
  <c r="I13" i="22"/>
  <c r="I14" i="22"/>
  <c r="I15" i="22"/>
  <c r="I16" i="22"/>
  <c r="I17" i="22"/>
  <c r="I18" i="22"/>
  <c r="I19" i="22"/>
  <c r="I20" i="22"/>
  <c r="I21" i="22"/>
  <c r="I22" i="22"/>
  <c r="I23" i="22"/>
  <c r="I24" i="22"/>
  <c r="I25" i="22"/>
  <c r="I26" i="22"/>
  <c r="I27" i="22"/>
  <c r="I28" i="22"/>
  <c r="I29" i="22"/>
  <c r="I30" i="22"/>
  <c r="I31" i="22"/>
  <c r="I32" i="22"/>
  <c r="I33" i="22"/>
  <c r="I34" i="22"/>
  <c r="I35" i="22"/>
  <c r="I36" i="22"/>
  <c r="I37" i="22"/>
  <c r="I38" i="22"/>
  <c r="I39" i="22"/>
  <c r="I40" i="22"/>
  <c r="I41" i="22"/>
  <c r="I43" i="22"/>
  <c r="I44" i="22"/>
  <c r="I45" i="22"/>
  <c r="I46" i="22"/>
  <c r="I47" i="22"/>
  <c r="I48" i="22"/>
  <c r="I49" i="22"/>
  <c r="I50" i="22"/>
  <c r="I51" i="22"/>
  <c r="I52" i="22"/>
  <c r="I53" i="22"/>
  <c r="I54" i="22"/>
  <c r="I55" i="22"/>
  <c r="I56" i="22"/>
  <c r="I57" i="22"/>
  <c r="I58" i="22"/>
  <c r="I59" i="22"/>
  <c r="I60" i="22"/>
  <c r="I61" i="22"/>
  <c r="I62" i="22"/>
  <c r="I63" i="22"/>
  <c r="I64" i="22"/>
  <c r="I65" i="22"/>
  <c r="I66" i="22"/>
  <c r="I67" i="22"/>
  <c r="I68" i="22"/>
  <c r="I69" i="22"/>
  <c r="I70" i="22"/>
  <c r="I71" i="22"/>
  <c r="I72" i="22"/>
  <c r="I73" i="22"/>
  <c r="I74" i="22"/>
  <c r="I75" i="22"/>
  <c r="I76" i="22"/>
  <c r="I77" i="22"/>
  <c r="I78" i="22"/>
  <c r="I79" i="22"/>
  <c r="I80" i="22"/>
  <c r="I81" i="22"/>
  <c r="I82" i="22"/>
  <c r="I83" i="22"/>
  <c r="I84" i="22"/>
  <c r="I85" i="22"/>
  <c r="I86" i="22"/>
  <c r="I87" i="22"/>
  <c r="I88" i="22"/>
  <c r="I89" i="22"/>
  <c r="I90" i="22"/>
  <c r="I91" i="22"/>
  <c r="I92" i="22"/>
  <c r="I93" i="22"/>
  <c r="I94" i="22"/>
  <c r="I95" i="22"/>
  <c r="I96" i="22"/>
  <c r="I97" i="22"/>
  <c r="I98" i="22"/>
  <c r="I99" i="22"/>
  <c r="I100" i="22"/>
  <c r="I101" i="22"/>
  <c r="I102" i="22"/>
  <c r="I103" i="22"/>
  <c r="I154" i="22"/>
  <c r="I155" i="22"/>
  <c r="I156" i="22"/>
  <c r="I157" i="22"/>
  <c r="I158" i="22"/>
  <c r="I159" i="22"/>
  <c r="I6" i="22"/>
  <c r="A5" i="22"/>
  <c r="A6" i="22"/>
  <c r="A7" i="22"/>
  <c r="A8" i="22"/>
  <c r="A9" i="22"/>
  <c r="A10" i="22"/>
  <c r="A11" i="22"/>
  <c r="A12" i="22"/>
  <c r="A13" i="22"/>
  <c r="A14" i="22"/>
  <c r="A15" i="22"/>
  <c r="A16" i="22"/>
  <c r="A17" i="22"/>
  <c r="A18" i="22"/>
  <c r="A19" i="22"/>
  <c r="A20" i="22"/>
  <c r="A21" i="22"/>
  <c r="A22" i="22"/>
  <c r="A23" i="22"/>
  <c r="A24" i="22"/>
  <c r="A25" i="22"/>
  <c r="A26" i="22"/>
  <c r="A27" i="22"/>
  <c r="A28" i="22"/>
  <c r="A29" i="22"/>
  <c r="A30" i="22"/>
  <c r="A31" i="22"/>
  <c r="A32" i="22"/>
  <c r="A33" i="22"/>
  <c r="A34" i="22"/>
  <c r="A35" i="22"/>
  <c r="A36" i="22"/>
  <c r="A37" i="22"/>
  <c r="A38" i="22"/>
  <c r="A39" i="22"/>
  <c r="A40" i="22"/>
  <c r="A41" i="22"/>
  <c r="A43" i="22"/>
  <c r="A44" i="22"/>
  <c r="A45" i="22"/>
  <c r="A46" i="22"/>
  <c r="A47" i="22"/>
  <c r="A48" i="22"/>
  <c r="A49" i="22"/>
  <c r="A50" i="22"/>
  <c r="Z154" i="22"/>
  <c r="Z155" i="22"/>
  <c r="Z156" i="22"/>
  <c r="Z157" i="22"/>
  <c r="Z158" i="22"/>
  <c r="Z159" i="22"/>
  <c r="Z5" i="22"/>
  <c r="AC5" i="22" s="1"/>
  <c r="Z6" i="22"/>
  <c r="AC6" i="22" s="1"/>
  <c r="Z7" i="22"/>
  <c r="AC7" i="22" s="1"/>
  <c r="Z9" i="22"/>
  <c r="AC9" i="22" s="1"/>
  <c r="Z10" i="22"/>
  <c r="AC10" i="22" s="1"/>
  <c r="Z11" i="22"/>
  <c r="AC11" i="22" s="1"/>
  <c r="Z12" i="22"/>
  <c r="AC12" i="22" s="1"/>
  <c r="Z13" i="22"/>
  <c r="AC13" i="22" s="1"/>
  <c r="Z14" i="22"/>
  <c r="AC14" i="22" s="1"/>
  <c r="Z15" i="22"/>
  <c r="AC15" i="22" s="1"/>
  <c r="Z16" i="22"/>
  <c r="AC16" i="22" s="1"/>
  <c r="Z17" i="22"/>
  <c r="AC17" i="22" s="1"/>
  <c r="Z18" i="22"/>
  <c r="AC18" i="22" s="1"/>
  <c r="Z19" i="22"/>
  <c r="AC19" i="22" s="1"/>
  <c r="Z20" i="22"/>
  <c r="AC20" i="22" s="1"/>
  <c r="Z21" i="22"/>
  <c r="AC21" i="22" s="1"/>
  <c r="Z22" i="22"/>
  <c r="AC22" i="22" s="1"/>
  <c r="Z23" i="22"/>
  <c r="AC23" i="22" s="1"/>
  <c r="Z24" i="22"/>
  <c r="AC24" i="22" s="1"/>
  <c r="Z25" i="22"/>
  <c r="AC25" i="22" s="1"/>
  <c r="Z26" i="22"/>
  <c r="AC26" i="22" s="1"/>
  <c r="Z27" i="22"/>
  <c r="AC27" i="22" s="1"/>
  <c r="Z28" i="22"/>
  <c r="AC28" i="22" s="1"/>
  <c r="Z29" i="22"/>
  <c r="AC29" i="22" s="1"/>
  <c r="Z30" i="22"/>
  <c r="AC30" i="22" s="1"/>
  <c r="Z31" i="22"/>
  <c r="AC31" i="22" s="1"/>
  <c r="Z32" i="22"/>
  <c r="AC32" i="22" s="1"/>
  <c r="Z33" i="22"/>
  <c r="AC33" i="22" s="1"/>
  <c r="Z34" i="22"/>
  <c r="AC34" i="22" s="1"/>
  <c r="Z35" i="22"/>
  <c r="AC35" i="22" s="1"/>
  <c r="Z36" i="22"/>
  <c r="AC36" i="22" s="1"/>
  <c r="Z37" i="22"/>
  <c r="AC37" i="22" s="1"/>
  <c r="Z38" i="22"/>
  <c r="AC38" i="22" s="1"/>
  <c r="Z39" i="22"/>
  <c r="AC39" i="22" s="1"/>
  <c r="Z40" i="22"/>
  <c r="AC40" i="22" s="1"/>
  <c r="Z41" i="22"/>
  <c r="AC41" i="22" s="1"/>
  <c r="Z43" i="22"/>
  <c r="AC43" i="22" s="1"/>
  <c r="Z44" i="22"/>
  <c r="AC44" i="22" s="1"/>
  <c r="Z45" i="22"/>
  <c r="AC45" i="22" s="1"/>
  <c r="Z46" i="22"/>
  <c r="AC46" i="22" s="1"/>
  <c r="Z47" i="22"/>
  <c r="AC47" i="22" s="1"/>
  <c r="Z49" i="22"/>
  <c r="AC49" i="22" s="1"/>
  <c r="Z50" i="22"/>
  <c r="AC50" i="22" s="1"/>
  <c r="AI10" i="22" l="1"/>
  <c r="AI9" i="22"/>
  <c r="H154" i="22"/>
  <c r="H155" i="22"/>
  <c r="H156" i="22"/>
  <c r="H157" i="22"/>
  <c r="H158" i="22"/>
  <c r="H159" i="22"/>
  <c r="Q13" i="22"/>
  <c r="AS13" i="22" s="1"/>
  <c r="P13" i="22"/>
  <c r="O13" i="22"/>
  <c r="N13" i="22"/>
  <c r="M13" i="22"/>
  <c r="L13" i="22"/>
  <c r="K12" i="22"/>
  <c r="K13" i="22"/>
  <c r="H103" i="22"/>
  <c r="H102" i="22"/>
  <c r="H98" i="22"/>
  <c r="H92" i="22"/>
  <c r="H86" i="22"/>
  <c r="H82" i="22"/>
  <c r="H80" i="22"/>
  <c r="H78" i="22"/>
  <c r="H75" i="22"/>
  <c r="H71" i="22"/>
  <c r="H70" i="22"/>
  <c r="H68" i="22"/>
  <c r="H66" i="22"/>
  <c r="H65" i="22"/>
  <c r="H64" i="22"/>
  <c r="H63" i="22"/>
  <c r="H62" i="22"/>
  <c r="H59" i="22"/>
  <c r="H51" i="22"/>
  <c r="H45" i="22"/>
  <c r="H44" i="22"/>
  <c r="H43" i="22"/>
  <c r="H40" i="22"/>
  <c r="H39" i="22"/>
  <c r="H38" i="22"/>
  <c r="H31" i="22"/>
  <c r="H28" i="22"/>
  <c r="H27" i="22"/>
  <c r="H20" i="22"/>
  <c r="H19" i="22"/>
  <c r="H18" i="22"/>
  <c r="H16" i="22"/>
  <c r="H15" i="22"/>
  <c r="H14" i="22"/>
  <c r="H13" i="22"/>
  <c r="H12" i="22"/>
  <c r="H10" i="22"/>
  <c r="H9" i="22"/>
  <c r="H8" i="22"/>
  <c r="H6" i="22"/>
  <c r="G13" i="22"/>
  <c r="Q154" i="22"/>
  <c r="AS154" i="22" s="1"/>
  <c r="Q155" i="22"/>
  <c r="AS155" i="22" s="1"/>
  <c r="Q156" i="22"/>
  <c r="AS156" i="22" s="1"/>
  <c r="Q157" i="22"/>
  <c r="AS157" i="22" s="1"/>
  <c r="Q158" i="22"/>
  <c r="AS158" i="22" s="1"/>
  <c r="Q159" i="22"/>
  <c r="AS159" i="22" s="1"/>
  <c r="O154" i="22"/>
  <c r="P154" i="22"/>
  <c r="O155" i="22"/>
  <c r="P155" i="22"/>
  <c r="O156" i="22"/>
  <c r="P156" i="22"/>
  <c r="O157" i="22"/>
  <c r="P157" i="22"/>
  <c r="O158" i="22"/>
  <c r="P158" i="22"/>
  <c r="O159" i="22"/>
  <c r="P159" i="22"/>
  <c r="N154" i="22"/>
  <c r="N155" i="22"/>
  <c r="N156" i="22"/>
  <c r="N157" i="22"/>
  <c r="N158" i="22"/>
  <c r="N159" i="22"/>
  <c r="L154" i="22"/>
  <c r="L155" i="22"/>
  <c r="L156" i="22"/>
  <c r="L157" i="22"/>
  <c r="L158" i="22"/>
  <c r="L159" i="22"/>
  <c r="G38" i="22"/>
  <c r="M12" i="22"/>
  <c r="G12" i="22"/>
  <c r="G14" i="22"/>
  <c r="G15" i="22"/>
  <c r="L12" i="22"/>
  <c r="L14" i="22"/>
  <c r="L15" i="22"/>
  <c r="A52" i="22"/>
  <c r="A53" i="22"/>
  <c r="A54" i="22"/>
  <c r="A55" i="22"/>
  <c r="A56" i="22"/>
  <c r="A57" i="22"/>
  <c r="A58" i="22"/>
  <c r="A59" i="22"/>
  <c r="A60" i="22"/>
  <c r="A61" i="22"/>
  <c r="A62" i="22"/>
  <c r="A63" i="22"/>
  <c r="A64" i="22"/>
  <c r="A65" i="22"/>
  <c r="A66" i="22"/>
  <c r="A67" i="22"/>
  <c r="A68" i="22"/>
  <c r="A69" i="22"/>
  <c r="A70" i="22"/>
  <c r="A71" i="22"/>
  <c r="A72" i="22"/>
  <c r="A73" i="22"/>
  <c r="A74" i="22"/>
  <c r="A75" i="22"/>
  <c r="A76" i="22"/>
  <c r="A77" i="22"/>
  <c r="A78" i="22"/>
  <c r="A79" i="22"/>
  <c r="A80" i="22"/>
  <c r="A81" i="22"/>
  <c r="A82" i="22"/>
  <c r="A83" i="22"/>
  <c r="A84" i="22"/>
  <c r="A85" i="22"/>
  <c r="A86" i="22"/>
  <c r="A87" i="22"/>
  <c r="A88" i="22"/>
  <c r="A89" i="22"/>
  <c r="A90" i="22"/>
  <c r="A91" i="22"/>
  <c r="A92" i="22"/>
  <c r="A93" i="22"/>
  <c r="A94" i="22"/>
  <c r="A95" i="22"/>
  <c r="A96" i="22"/>
  <c r="A97" i="22"/>
  <c r="A98" i="22"/>
  <c r="A99" i="22"/>
  <c r="A100" i="22"/>
  <c r="A101" i="22"/>
  <c r="A102" i="22"/>
  <c r="A103" i="22"/>
  <c r="A51" i="22"/>
  <c r="B52" i="22"/>
  <c r="B53" i="22"/>
  <c r="B54" i="22"/>
  <c r="B55" i="22"/>
  <c r="B56" i="22"/>
  <c r="B57" i="22"/>
  <c r="B58" i="22"/>
  <c r="B59" i="22"/>
  <c r="B60" i="22"/>
  <c r="B61" i="22"/>
  <c r="B62" i="22"/>
  <c r="B63" i="22"/>
  <c r="B64" i="22"/>
  <c r="B65" i="22"/>
  <c r="B66" i="22"/>
  <c r="B67" i="22"/>
  <c r="B68" i="22"/>
  <c r="B69" i="22"/>
  <c r="B70" i="22"/>
  <c r="B71" i="22"/>
  <c r="B72" i="22"/>
  <c r="B73" i="22"/>
  <c r="B74" i="22"/>
  <c r="B75" i="22"/>
  <c r="B76" i="22"/>
  <c r="B77" i="22"/>
  <c r="B78" i="22"/>
  <c r="B79" i="22"/>
  <c r="B80" i="22"/>
  <c r="B81" i="22"/>
  <c r="B82" i="22"/>
  <c r="B83" i="22"/>
  <c r="B84" i="22"/>
  <c r="B85" i="22"/>
  <c r="B86" i="22"/>
  <c r="B87" i="22"/>
  <c r="B88" i="22"/>
  <c r="B89" i="22"/>
  <c r="B90" i="22"/>
  <c r="B91" i="22"/>
  <c r="B92" i="22"/>
  <c r="B93" i="22"/>
  <c r="B94" i="22"/>
  <c r="B95" i="22"/>
  <c r="B96" i="22"/>
  <c r="B97" i="22"/>
  <c r="B98" i="22"/>
  <c r="B99" i="22"/>
  <c r="B100" i="22"/>
  <c r="B101" i="22"/>
  <c r="B102" i="22"/>
  <c r="B103" i="22"/>
  <c r="B51" i="22"/>
  <c r="C52" i="22"/>
  <c r="C53" i="22"/>
  <c r="C54" i="22"/>
  <c r="C55" i="22"/>
  <c r="C56" i="22"/>
  <c r="C57" i="22"/>
  <c r="C58" i="22"/>
  <c r="C59" i="22"/>
  <c r="C60" i="22"/>
  <c r="C61" i="22"/>
  <c r="C62" i="22"/>
  <c r="C63" i="22"/>
  <c r="C64" i="22"/>
  <c r="C65" i="22"/>
  <c r="C66" i="22"/>
  <c r="C67" i="22"/>
  <c r="C68" i="22"/>
  <c r="C69" i="22"/>
  <c r="C70" i="22"/>
  <c r="C71" i="22"/>
  <c r="C72" i="22"/>
  <c r="C73" i="22"/>
  <c r="C74" i="22"/>
  <c r="C75" i="22"/>
  <c r="C76" i="22"/>
  <c r="C77" i="22"/>
  <c r="C78" i="22"/>
  <c r="C79" i="22"/>
  <c r="C80" i="22"/>
  <c r="C81" i="22"/>
  <c r="C82" i="22"/>
  <c r="C83" i="22"/>
  <c r="C84" i="22"/>
  <c r="C85" i="22"/>
  <c r="C86" i="22"/>
  <c r="C87" i="22"/>
  <c r="C88" i="22"/>
  <c r="C89" i="22"/>
  <c r="C90" i="22"/>
  <c r="C91" i="22"/>
  <c r="C92" i="22"/>
  <c r="C93" i="22"/>
  <c r="C94" i="22"/>
  <c r="C95" i="22"/>
  <c r="C96" i="22"/>
  <c r="C97" i="22"/>
  <c r="C98" i="22"/>
  <c r="C99" i="22"/>
  <c r="C100" i="22"/>
  <c r="C101" i="22"/>
  <c r="C102" i="22"/>
  <c r="C103" i="22"/>
  <c r="C51" i="22"/>
  <c r="Z52" i="22"/>
  <c r="Z53" i="22"/>
  <c r="Z55" i="22"/>
  <c r="AC55" i="22" s="1"/>
  <c r="Z56" i="22"/>
  <c r="AC56" i="22" s="1"/>
  <c r="Z57" i="22"/>
  <c r="AC57" i="22" s="1"/>
  <c r="Z58" i="22"/>
  <c r="AC58" i="22" s="1"/>
  <c r="Z60" i="22"/>
  <c r="AC60" i="22" s="1"/>
  <c r="Z61" i="22"/>
  <c r="AC61" i="22" s="1"/>
  <c r="Z62" i="22"/>
  <c r="AC62" i="22" s="1"/>
  <c r="Z63" i="22"/>
  <c r="AC63" i="22" s="1"/>
  <c r="Z64" i="22"/>
  <c r="AC64" i="22" s="1"/>
  <c r="Z65" i="22"/>
  <c r="AC65" i="22" s="1"/>
  <c r="Z66" i="22"/>
  <c r="AC66" i="22" s="1"/>
  <c r="Z67" i="22"/>
  <c r="AC67" i="22" s="1"/>
  <c r="Z68" i="22"/>
  <c r="AC68" i="22" s="1"/>
  <c r="Z69" i="22"/>
  <c r="AC69" i="22" s="1"/>
  <c r="Z70" i="22"/>
  <c r="AC70" i="22" s="1"/>
  <c r="Z71" i="22"/>
  <c r="AC71" i="22" s="1"/>
  <c r="Z72" i="22"/>
  <c r="AC72" i="22" s="1"/>
  <c r="Z73" i="22"/>
  <c r="AC73" i="22" s="1"/>
  <c r="Z74" i="22"/>
  <c r="AC74" i="22" s="1"/>
  <c r="Z75" i="22"/>
  <c r="AC75" i="22" s="1"/>
  <c r="Z76" i="22"/>
  <c r="AC76" i="22" s="1"/>
  <c r="Z77" i="22"/>
  <c r="AC77" i="22" s="1"/>
  <c r="Z78" i="22"/>
  <c r="AC78" i="22" s="1"/>
  <c r="Z79" i="22"/>
  <c r="AC79" i="22" s="1"/>
  <c r="Z80" i="22"/>
  <c r="AC80" i="22" s="1"/>
  <c r="Z81" i="22"/>
  <c r="AC81" i="22" s="1"/>
  <c r="Z82" i="22"/>
  <c r="AC82" i="22" s="1"/>
  <c r="Z83" i="22"/>
  <c r="AC83" i="22" s="1"/>
  <c r="Z84" i="22"/>
  <c r="AC84" i="22" s="1"/>
  <c r="Z85" i="22"/>
  <c r="AC85" i="22" s="1"/>
  <c r="Z86" i="22"/>
  <c r="AC86" i="22" s="1"/>
  <c r="Z87" i="22"/>
  <c r="AC87" i="22" s="1"/>
  <c r="Z88" i="22"/>
  <c r="AC88" i="22" s="1"/>
  <c r="Z89" i="22"/>
  <c r="AC89" i="22" s="1"/>
  <c r="Z90" i="22"/>
  <c r="AC90" i="22" s="1"/>
  <c r="Z91" i="22"/>
  <c r="AC91" i="22" s="1"/>
  <c r="Z92" i="22"/>
  <c r="AC92" i="22" s="1"/>
  <c r="Z93" i="22"/>
  <c r="AC93" i="22" s="1"/>
  <c r="Z94" i="22"/>
  <c r="AC94" i="22" s="1"/>
  <c r="Z95" i="22"/>
  <c r="AC95" i="22" s="1"/>
  <c r="Z96" i="22"/>
  <c r="AC96" i="22" s="1"/>
  <c r="Z97" i="22"/>
  <c r="AC97" i="22" s="1"/>
  <c r="Z98" i="22"/>
  <c r="AC98" i="22" s="1"/>
  <c r="Z99" i="22"/>
  <c r="AC99" i="22" s="1"/>
  <c r="Z100" i="22"/>
  <c r="AC100" i="22" s="1"/>
  <c r="Z101" i="22"/>
  <c r="AC101" i="22" s="1"/>
  <c r="Z102" i="22"/>
  <c r="AC102" i="22" s="1"/>
  <c r="Z103" i="22"/>
  <c r="AC103" i="22" s="1"/>
  <c r="Z51" i="22"/>
  <c r="AC51" i="22" s="1"/>
  <c r="Q5" i="22"/>
  <c r="AS5" i="22" s="1"/>
  <c r="Q6" i="22"/>
  <c r="AS6" i="22" s="1"/>
  <c r="Q7" i="22"/>
  <c r="AS7" i="22" s="1"/>
  <c r="Q8" i="22"/>
  <c r="AS8" i="22" s="1"/>
  <c r="Q9" i="22"/>
  <c r="AS9" i="22" s="1"/>
  <c r="Q10" i="22"/>
  <c r="AS10" i="22" s="1"/>
  <c r="Q11" i="22"/>
  <c r="AS11" i="22" s="1"/>
  <c r="Q12" i="22"/>
  <c r="AS12" i="22" s="1"/>
  <c r="Q14" i="22"/>
  <c r="AS14" i="22" s="1"/>
  <c r="Q15" i="22"/>
  <c r="AS15" i="22" s="1"/>
  <c r="Q16" i="22"/>
  <c r="AS16" i="22" s="1"/>
  <c r="Q17" i="22"/>
  <c r="AS17" i="22" s="1"/>
  <c r="Q18" i="22"/>
  <c r="AS18" i="22" s="1"/>
  <c r="Q19" i="22"/>
  <c r="AS19" i="22" s="1"/>
  <c r="Q20" i="22"/>
  <c r="AS20" i="22" s="1"/>
  <c r="Q21" i="22"/>
  <c r="AS21" i="22" s="1"/>
  <c r="Q22" i="22"/>
  <c r="AS22" i="22" s="1"/>
  <c r="Q23" i="22"/>
  <c r="AS23" i="22" s="1"/>
  <c r="Q24" i="22"/>
  <c r="AS24" i="22" s="1"/>
  <c r="Q25" i="22"/>
  <c r="AS25" i="22" s="1"/>
  <c r="Q26" i="22"/>
  <c r="AS26" i="22" s="1"/>
  <c r="Q27" i="22"/>
  <c r="AS27" i="22" s="1"/>
  <c r="Q28" i="22"/>
  <c r="AS28" i="22" s="1"/>
  <c r="Q29" i="22"/>
  <c r="AS29" i="22" s="1"/>
  <c r="Q30" i="22"/>
  <c r="AS30" i="22" s="1"/>
  <c r="Q31" i="22"/>
  <c r="AS31" i="22" s="1"/>
  <c r="Q32" i="22"/>
  <c r="AS32" i="22" s="1"/>
  <c r="Q33" i="22"/>
  <c r="AS33" i="22" s="1"/>
  <c r="Q34" i="22"/>
  <c r="AS34" i="22" s="1"/>
  <c r="Q35" i="22"/>
  <c r="AS35" i="22" s="1"/>
  <c r="Q36" i="22"/>
  <c r="AS36" i="22" s="1"/>
  <c r="Q37" i="22"/>
  <c r="AS37" i="22" s="1"/>
  <c r="Q38" i="22"/>
  <c r="AS38" i="22" s="1"/>
  <c r="Q39" i="22"/>
  <c r="AS39" i="22" s="1"/>
  <c r="Q40" i="22"/>
  <c r="AS40" i="22" s="1"/>
  <c r="Q41" i="22"/>
  <c r="AS41" i="22" s="1"/>
  <c r="Q43" i="22"/>
  <c r="AS43" i="22" s="1"/>
  <c r="Q44" i="22"/>
  <c r="AS44" i="22" s="1"/>
  <c r="Q45" i="22"/>
  <c r="AS45" i="22" s="1"/>
  <c r="Q46" i="22"/>
  <c r="AS46" i="22" s="1"/>
  <c r="Q47" i="22"/>
  <c r="AS47" i="22" s="1"/>
  <c r="Q48" i="22"/>
  <c r="AS48" i="22" s="1"/>
  <c r="Q49" i="22"/>
  <c r="AS49" i="22" s="1"/>
  <c r="Q50" i="22"/>
  <c r="AS50" i="22" s="1"/>
  <c r="Q51" i="22"/>
  <c r="AS51" i="22" s="1"/>
  <c r="Q52" i="22"/>
  <c r="AS52" i="22" s="1"/>
  <c r="Q53" i="22"/>
  <c r="AS53" i="22" s="1"/>
  <c r="Q54" i="22"/>
  <c r="AS54" i="22" s="1"/>
  <c r="Q55" i="22"/>
  <c r="AS55" i="22" s="1"/>
  <c r="Q56" i="22"/>
  <c r="AS56" i="22" s="1"/>
  <c r="Q57" i="22"/>
  <c r="AS57" i="22" s="1"/>
  <c r="Q58" i="22"/>
  <c r="AS58" i="22" s="1"/>
  <c r="Q59" i="22"/>
  <c r="AS59" i="22" s="1"/>
  <c r="Q60" i="22"/>
  <c r="AS60" i="22" s="1"/>
  <c r="Q61" i="22"/>
  <c r="AS61" i="22" s="1"/>
  <c r="Q62" i="22"/>
  <c r="AS62" i="22" s="1"/>
  <c r="Q63" i="22"/>
  <c r="AS63" i="22" s="1"/>
  <c r="Q64" i="22"/>
  <c r="AS64" i="22" s="1"/>
  <c r="Q65" i="22"/>
  <c r="AS65" i="22" s="1"/>
  <c r="Q66" i="22"/>
  <c r="AS66" i="22" s="1"/>
  <c r="Q67" i="22"/>
  <c r="AS67" i="22" s="1"/>
  <c r="Q68" i="22"/>
  <c r="AS68" i="22" s="1"/>
  <c r="Q69" i="22"/>
  <c r="AS69" i="22" s="1"/>
  <c r="Q70" i="22"/>
  <c r="AS70" i="22" s="1"/>
  <c r="Q71" i="22"/>
  <c r="AS71" i="22" s="1"/>
  <c r="Q72" i="22"/>
  <c r="AS72" i="22" s="1"/>
  <c r="Q73" i="22"/>
  <c r="AS73" i="22" s="1"/>
  <c r="Q74" i="22"/>
  <c r="AS74" i="22" s="1"/>
  <c r="Q75" i="22"/>
  <c r="AS75" i="22" s="1"/>
  <c r="Q76" i="22"/>
  <c r="AS76" i="22" s="1"/>
  <c r="Q77" i="22"/>
  <c r="AS77" i="22" s="1"/>
  <c r="Q78" i="22"/>
  <c r="AS78" i="22" s="1"/>
  <c r="Q79" i="22"/>
  <c r="AS79" i="22" s="1"/>
  <c r="Q80" i="22"/>
  <c r="AS80" i="22" s="1"/>
  <c r="Q81" i="22"/>
  <c r="AS81" i="22" s="1"/>
  <c r="Q82" i="22"/>
  <c r="AS82" i="22" s="1"/>
  <c r="Q83" i="22"/>
  <c r="AS83" i="22" s="1"/>
  <c r="Q84" i="22"/>
  <c r="AS84" i="22" s="1"/>
  <c r="Q85" i="22"/>
  <c r="AS85" i="22" s="1"/>
  <c r="Q86" i="22"/>
  <c r="AS86" i="22" s="1"/>
  <c r="Q87" i="22"/>
  <c r="AS87" i="22" s="1"/>
  <c r="Q88" i="22"/>
  <c r="AS88" i="22" s="1"/>
  <c r="Q89" i="22"/>
  <c r="AS89" i="22" s="1"/>
  <c r="Q90" i="22"/>
  <c r="AS90" i="22" s="1"/>
  <c r="Q91" i="22"/>
  <c r="AS91" i="22" s="1"/>
  <c r="Q92" i="22"/>
  <c r="AS92" i="22" s="1"/>
  <c r="Q93" i="22"/>
  <c r="AS93" i="22" s="1"/>
  <c r="Q94" i="22"/>
  <c r="AS94" i="22" s="1"/>
  <c r="Q95" i="22"/>
  <c r="AS95" i="22" s="1"/>
  <c r="Q96" i="22"/>
  <c r="AS96" i="22" s="1"/>
  <c r="Q97" i="22"/>
  <c r="AS97" i="22" s="1"/>
  <c r="Q98" i="22"/>
  <c r="AS98" i="22" s="1"/>
  <c r="Q99" i="22"/>
  <c r="AS99" i="22" s="1"/>
  <c r="Q100" i="22"/>
  <c r="AS100" i="22" s="1"/>
  <c r="Q101" i="22"/>
  <c r="AS101" i="22" s="1"/>
  <c r="Q102" i="22"/>
  <c r="AS102" i="22" s="1"/>
  <c r="Q103" i="22"/>
  <c r="AS103" i="22" s="1"/>
  <c r="O6" i="22"/>
  <c r="P6" i="22"/>
  <c r="O7" i="22"/>
  <c r="P7" i="22"/>
  <c r="O8" i="22"/>
  <c r="P8" i="22"/>
  <c r="O9" i="22"/>
  <c r="P9" i="22"/>
  <c r="O10" i="22"/>
  <c r="P10" i="22"/>
  <c r="O11" i="22"/>
  <c r="P11" i="22"/>
  <c r="O12" i="22"/>
  <c r="P12" i="22"/>
  <c r="O14" i="22"/>
  <c r="P14" i="22"/>
  <c r="O15" i="22"/>
  <c r="P15" i="22"/>
  <c r="O16" i="22"/>
  <c r="P16" i="22"/>
  <c r="O17" i="22"/>
  <c r="P17" i="22"/>
  <c r="O18" i="22"/>
  <c r="P18" i="22"/>
  <c r="O19" i="22"/>
  <c r="P19" i="22"/>
  <c r="O20" i="22"/>
  <c r="P20" i="22"/>
  <c r="O21" i="22"/>
  <c r="P21" i="22"/>
  <c r="O22" i="22"/>
  <c r="P22" i="22"/>
  <c r="O23" i="22"/>
  <c r="P23" i="22"/>
  <c r="O24" i="22"/>
  <c r="P24" i="22"/>
  <c r="O25" i="22"/>
  <c r="P25" i="22"/>
  <c r="O26" i="22"/>
  <c r="P26" i="22"/>
  <c r="O27" i="22"/>
  <c r="P27" i="22"/>
  <c r="O28" i="22"/>
  <c r="P28" i="22"/>
  <c r="O29" i="22"/>
  <c r="P29" i="22"/>
  <c r="O30" i="22"/>
  <c r="P30" i="22"/>
  <c r="O31" i="22"/>
  <c r="P31" i="22"/>
  <c r="O32" i="22"/>
  <c r="P32" i="22"/>
  <c r="O33" i="22"/>
  <c r="P33" i="22"/>
  <c r="O34" i="22"/>
  <c r="P34" i="22"/>
  <c r="O35" i="22"/>
  <c r="P35" i="22"/>
  <c r="O36" i="22"/>
  <c r="P36" i="22"/>
  <c r="O37" i="22"/>
  <c r="P37" i="22"/>
  <c r="O38" i="22"/>
  <c r="P38" i="22"/>
  <c r="O39" i="22"/>
  <c r="P39" i="22"/>
  <c r="O40" i="22"/>
  <c r="P40" i="22"/>
  <c r="O41" i="22"/>
  <c r="P41" i="22"/>
  <c r="O43" i="22"/>
  <c r="P43" i="22"/>
  <c r="O44" i="22"/>
  <c r="P44" i="22"/>
  <c r="O45" i="22"/>
  <c r="P45" i="22"/>
  <c r="O46" i="22"/>
  <c r="P46" i="22"/>
  <c r="O47" i="22"/>
  <c r="P47" i="22"/>
  <c r="O48" i="22"/>
  <c r="P48" i="22"/>
  <c r="O49" i="22"/>
  <c r="P49" i="22"/>
  <c r="O50" i="22"/>
  <c r="P50" i="22"/>
  <c r="O51" i="22"/>
  <c r="P51" i="22"/>
  <c r="O52" i="22"/>
  <c r="P52" i="22"/>
  <c r="O53" i="22"/>
  <c r="P53" i="22"/>
  <c r="O54" i="22"/>
  <c r="P54" i="22"/>
  <c r="O55" i="22"/>
  <c r="P55" i="22"/>
  <c r="O56" i="22"/>
  <c r="P56" i="22"/>
  <c r="O57" i="22"/>
  <c r="P57" i="22"/>
  <c r="O58" i="22"/>
  <c r="P58" i="22"/>
  <c r="O59" i="22"/>
  <c r="P59" i="22"/>
  <c r="O60" i="22"/>
  <c r="P60" i="22"/>
  <c r="O61" i="22"/>
  <c r="P61" i="22"/>
  <c r="O62" i="22"/>
  <c r="P62" i="22"/>
  <c r="O63" i="22"/>
  <c r="P63" i="22"/>
  <c r="O64" i="22"/>
  <c r="P64" i="22"/>
  <c r="O65" i="22"/>
  <c r="P65" i="22"/>
  <c r="O66" i="22"/>
  <c r="P66" i="22"/>
  <c r="O67" i="22"/>
  <c r="P67" i="22"/>
  <c r="O68" i="22"/>
  <c r="P68" i="22"/>
  <c r="O69" i="22"/>
  <c r="P69" i="22"/>
  <c r="O70" i="22"/>
  <c r="P70" i="22"/>
  <c r="O71" i="22"/>
  <c r="P71" i="22"/>
  <c r="O72" i="22"/>
  <c r="P72" i="22"/>
  <c r="O73" i="22"/>
  <c r="P73" i="22"/>
  <c r="O74" i="22"/>
  <c r="P74" i="22"/>
  <c r="O75" i="22"/>
  <c r="P75" i="22"/>
  <c r="O76" i="22"/>
  <c r="P76" i="22"/>
  <c r="O77" i="22"/>
  <c r="P77" i="22"/>
  <c r="O78" i="22"/>
  <c r="P78" i="22"/>
  <c r="O79" i="22"/>
  <c r="P79" i="22"/>
  <c r="O80" i="22"/>
  <c r="P80" i="22"/>
  <c r="O81" i="22"/>
  <c r="P81" i="22"/>
  <c r="O82" i="22"/>
  <c r="P82" i="22"/>
  <c r="O83" i="22"/>
  <c r="P83" i="22"/>
  <c r="O84" i="22"/>
  <c r="P84" i="22"/>
  <c r="O85" i="22"/>
  <c r="P85" i="22"/>
  <c r="O86" i="22"/>
  <c r="P86" i="22"/>
  <c r="O87" i="22"/>
  <c r="P87" i="22"/>
  <c r="O88" i="22"/>
  <c r="P88" i="22"/>
  <c r="O89" i="22"/>
  <c r="P89" i="22"/>
  <c r="O90" i="22"/>
  <c r="P90" i="22"/>
  <c r="O91" i="22"/>
  <c r="P91" i="22"/>
  <c r="O92" i="22"/>
  <c r="P92" i="22"/>
  <c r="O93" i="22"/>
  <c r="P93" i="22"/>
  <c r="O94" i="22"/>
  <c r="P94" i="22"/>
  <c r="O95" i="22"/>
  <c r="P95" i="22"/>
  <c r="O96" i="22"/>
  <c r="P96" i="22"/>
  <c r="O97" i="22"/>
  <c r="P97" i="22"/>
  <c r="O98" i="22"/>
  <c r="P98" i="22"/>
  <c r="O99" i="22"/>
  <c r="P99" i="22"/>
  <c r="O100" i="22"/>
  <c r="P100" i="22"/>
  <c r="O101" i="22"/>
  <c r="P101" i="22"/>
  <c r="O102" i="22"/>
  <c r="P102" i="22"/>
  <c r="O103" i="22"/>
  <c r="P103" i="22"/>
  <c r="P5" i="22"/>
  <c r="O5" i="22"/>
  <c r="AD5" i="22" s="1"/>
  <c r="N5" i="22"/>
  <c r="G51" i="22"/>
  <c r="G52" i="22"/>
  <c r="G53" i="22"/>
  <c r="G54" i="22"/>
  <c r="G55" i="22"/>
  <c r="G56" i="22"/>
  <c r="G57" i="22"/>
  <c r="G58" i="22"/>
  <c r="G59" i="22"/>
  <c r="G60" i="22"/>
  <c r="G61" i="22"/>
  <c r="G62" i="22"/>
  <c r="G63" i="22"/>
  <c r="G64" i="22"/>
  <c r="G65" i="22"/>
  <c r="G66" i="22"/>
  <c r="G67" i="22"/>
  <c r="G68" i="22"/>
  <c r="G69" i="22"/>
  <c r="G70" i="22"/>
  <c r="G71" i="22"/>
  <c r="G72" i="22"/>
  <c r="G73" i="22"/>
  <c r="G74" i="22"/>
  <c r="G75" i="22"/>
  <c r="G76" i="22"/>
  <c r="G77" i="22"/>
  <c r="G78" i="22"/>
  <c r="G79" i="22"/>
  <c r="G80" i="22"/>
  <c r="G81" i="22"/>
  <c r="G82" i="22"/>
  <c r="G83" i="22"/>
  <c r="G84" i="22"/>
  <c r="G85" i="22"/>
  <c r="G86" i="22"/>
  <c r="G87" i="22"/>
  <c r="G88" i="22"/>
  <c r="G89" i="22"/>
  <c r="G90" i="22"/>
  <c r="G91" i="22"/>
  <c r="G92" i="22"/>
  <c r="G93" i="22"/>
  <c r="G94" i="22"/>
  <c r="G95" i="22"/>
  <c r="G96" i="22"/>
  <c r="G97" i="22"/>
  <c r="G98" i="22"/>
  <c r="G99" i="22"/>
  <c r="G100" i="22"/>
  <c r="G101" i="22"/>
  <c r="G102" i="22"/>
  <c r="G103" i="22"/>
  <c r="L6" i="22"/>
  <c r="L7" i="22"/>
  <c r="L8" i="22"/>
  <c r="L9" i="22"/>
  <c r="L10" i="22"/>
  <c r="L11" i="22"/>
  <c r="L16" i="22"/>
  <c r="L17" i="22"/>
  <c r="L18" i="22"/>
  <c r="L19" i="22"/>
  <c r="L20" i="22"/>
  <c r="L21" i="22"/>
  <c r="L22" i="22"/>
  <c r="L23" i="22"/>
  <c r="L24" i="22"/>
  <c r="L25" i="22"/>
  <c r="L26" i="22"/>
  <c r="L27" i="22"/>
  <c r="L28" i="22"/>
  <c r="L29" i="22"/>
  <c r="L30" i="22"/>
  <c r="L31" i="22"/>
  <c r="L32" i="22"/>
  <c r="L33" i="22"/>
  <c r="L34" i="22"/>
  <c r="L35" i="22"/>
  <c r="L36" i="22"/>
  <c r="L37" i="22"/>
  <c r="L38" i="22"/>
  <c r="L39" i="22"/>
  <c r="L40" i="22"/>
  <c r="L41" i="22"/>
  <c r="L43" i="22"/>
  <c r="L44" i="22"/>
  <c r="L45" i="22"/>
  <c r="L46" i="22"/>
  <c r="L47" i="22"/>
  <c r="L48" i="22"/>
  <c r="L49" i="22"/>
  <c r="L50" i="22"/>
  <c r="L51" i="22"/>
  <c r="L52" i="22"/>
  <c r="L53" i="22"/>
  <c r="L54" i="22"/>
  <c r="L55" i="22"/>
  <c r="L56" i="22"/>
  <c r="L57" i="22"/>
  <c r="L58" i="22"/>
  <c r="L59" i="22"/>
  <c r="L60" i="22"/>
  <c r="L61" i="22"/>
  <c r="L62" i="22"/>
  <c r="L63" i="22"/>
  <c r="L64" i="22"/>
  <c r="L65" i="22"/>
  <c r="L66" i="22"/>
  <c r="L67" i="22"/>
  <c r="L68" i="22"/>
  <c r="L69" i="22"/>
  <c r="L70" i="22"/>
  <c r="L71" i="22"/>
  <c r="L72" i="22"/>
  <c r="L73" i="22"/>
  <c r="L74" i="22"/>
  <c r="L75" i="22"/>
  <c r="L76" i="22"/>
  <c r="L77" i="22"/>
  <c r="L78" i="22"/>
  <c r="L79" i="22"/>
  <c r="L80" i="22"/>
  <c r="L81" i="22"/>
  <c r="L82" i="22"/>
  <c r="L83" i="22"/>
  <c r="L84" i="22"/>
  <c r="L85" i="22"/>
  <c r="L86" i="22"/>
  <c r="L87" i="22"/>
  <c r="L88" i="22"/>
  <c r="L89" i="22"/>
  <c r="L90" i="22"/>
  <c r="L91" i="22"/>
  <c r="L92" i="22"/>
  <c r="L93" i="22"/>
  <c r="L94" i="22"/>
  <c r="L95" i="22"/>
  <c r="L96" i="22"/>
  <c r="L97" i="22"/>
  <c r="L98" i="22"/>
  <c r="L99" i="22"/>
  <c r="L100" i="22"/>
  <c r="L101" i="22"/>
  <c r="L102" i="22"/>
  <c r="L103" i="22"/>
  <c r="L5" i="22"/>
  <c r="N6" i="22"/>
  <c r="N7" i="22"/>
  <c r="N8" i="22"/>
  <c r="N9" i="22"/>
  <c r="N10" i="22"/>
  <c r="N11" i="22"/>
  <c r="N12" i="22"/>
  <c r="N14" i="22"/>
  <c r="N15" i="22"/>
  <c r="N16" i="22"/>
  <c r="N17" i="22"/>
  <c r="N18" i="22"/>
  <c r="N19" i="22"/>
  <c r="N20" i="22"/>
  <c r="N21" i="22"/>
  <c r="N22" i="22"/>
  <c r="N23" i="22"/>
  <c r="N24" i="22"/>
  <c r="N25" i="22"/>
  <c r="N26" i="22"/>
  <c r="N27" i="22"/>
  <c r="N28" i="22"/>
  <c r="N29" i="22"/>
  <c r="N30" i="22"/>
  <c r="N31" i="22"/>
  <c r="N32" i="22"/>
  <c r="N33" i="22"/>
  <c r="N34" i="22"/>
  <c r="N35" i="22"/>
  <c r="N36" i="22"/>
  <c r="N37" i="22"/>
  <c r="N38" i="22"/>
  <c r="N39" i="22"/>
  <c r="N40" i="22"/>
  <c r="N41" i="22"/>
  <c r="N43" i="22"/>
  <c r="N44" i="22"/>
  <c r="N45" i="22"/>
  <c r="N46" i="22"/>
  <c r="N47" i="22"/>
  <c r="N48" i="22"/>
  <c r="N49" i="22"/>
  <c r="N50" i="22"/>
  <c r="N51" i="22"/>
  <c r="N52" i="22"/>
  <c r="N53" i="22"/>
  <c r="N54" i="22"/>
  <c r="N55" i="22"/>
  <c r="N56" i="22"/>
  <c r="N57" i="22"/>
  <c r="N58" i="22"/>
  <c r="N59" i="22"/>
  <c r="N60" i="22"/>
  <c r="N61" i="22"/>
  <c r="N62" i="22"/>
  <c r="N63" i="22"/>
  <c r="N64" i="22"/>
  <c r="N65" i="22"/>
  <c r="N66" i="22"/>
  <c r="N67" i="22"/>
  <c r="N68" i="22"/>
  <c r="N69" i="22"/>
  <c r="N70" i="22"/>
  <c r="N71" i="22"/>
  <c r="N72" i="22"/>
  <c r="N73" i="22"/>
  <c r="N74" i="22"/>
  <c r="N75" i="22"/>
  <c r="N76" i="22"/>
  <c r="N77" i="22"/>
  <c r="N78" i="22"/>
  <c r="N79" i="22"/>
  <c r="N80" i="22"/>
  <c r="N81" i="22"/>
  <c r="N82" i="22"/>
  <c r="N83" i="22"/>
  <c r="N84" i="22"/>
  <c r="N85" i="22"/>
  <c r="N86" i="22"/>
  <c r="N87" i="22"/>
  <c r="N88" i="22"/>
  <c r="N89" i="22"/>
  <c r="N90" i="22"/>
  <c r="N91" i="22"/>
  <c r="N92" i="22"/>
  <c r="N93" i="22"/>
  <c r="N94" i="22"/>
  <c r="N95" i="22"/>
  <c r="N96" i="22"/>
  <c r="N97" i="22"/>
  <c r="N98" i="22"/>
  <c r="N99" i="22"/>
  <c r="N100" i="22"/>
  <c r="N101" i="22"/>
  <c r="N102" i="22"/>
  <c r="N103" i="22"/>
  <c r="G16" i="22"/>
  <c r="G17" i="22"/>
  <c r="G18" i="22"/>
  <c r="G19" i="22"/>
  <c r="G20" i="22"/>
  <c r="G21" i="22"/>
  <c r="G22" i="22"/>
  <c r="G23" i="22"/>
  <c r="G24" i="22"/>
  <c r="G25" i="22"/>
  <c r="G26" i="22"/>
  <c r="G27" i="22"/>
  <c r="G28" i="22"/>
  <c r="G29" i="22"/>
  <c r="G30" i="22"/>
  <c r="G31" i="22"/>
  <c r="G32" i="22"/>
  <c r="G33" i="22"/>
  <c r="G34" i="22"/>
  <c r="G35" i="22"/>
  <c r="G36" i="22"/>
  <c r="G37" i="22"/>
  <c r="G39" i="22"/>
  <c r="G40" i="22"/>
  <c r="G41" i="22"/>
  <c r="G43" i="22"/>
  <c r="G44" i="22"/>
  <c r="G45" i="22"/>
  <c r="G46" i="22"/>
  <c r="G47" i="22"/>
  <c r="G48" i="22"/>
  <c r="G49" i="22"/>
  <c r="G50" i="22"/>
  <c r="G6" i="22"/>
  <c r="G7" i="22"/>
  <c r="G8" i="22"/>
  <c r="G9" i="22"/>
  <c r="G10" i="22"/>
  <c r="G11" i="22"/>
  <c r="G5" i="22"/>
  <c r="C2" i="23"/>
  <c r="C3" i="23"/>
  <c r="C4" i="23"/>
  <c r="C5" i="23"/>
  <c r="C6" i="23"/>
  <c r="C7" i="23"/>
  <c r="C8" i="23"/>
  <c r="C9" i="23"/>
  <c r="C10" i="23"/>
  <c r="C11" i="23"/>
  <c r="C12" i="23"/>
  <c r="C13" i="23"/>
  <c r="N5" i="18"/>
  <c r="AN121" i="22"/>
  <c r="AN115" i="22"/>
  <c r="AN122" i="22"/>
  <c r="AN110" i="22"/>
  <c r="AN123" i="22"/>
  <c r="AN127" i="22"/>
  <c r="AN126" i="22"/>
  <c r="AN112" i="22"/>
  <c r="AN105" i="22"/>
  <c r="AN125" i="22"/>
  <c r="AN106" i="22"/>
  <c r="AN107" i="22"/>
  <c r="AN128" i="22"/>
  <c r="AN108" i="22"/>
  <c r="AN124" i="22"/>
  <c r="AN109" i="22"/>
  <c r="AN118" i="22"/>
  <c r="AN120" i="22"/>
  <c r="AN111" i="22"/>
  <c r="AO111" i="22" s="1"/>
  <c r="AN119" i="22"/>
  <c r="AN117" i="22"/>
  <c r="AN116" i="22"/>
  <c r="AN114" i="22"/>
  <c r="O4" i="18"/>
  <c r="AF53" i="22" l="1"/>
  <c r="AC53" i="22"/>
  <c r="AF52" i="22"/>
  <c r="AC52" i="22"/>
  <c r="AF102" i="22"/>
  <c r="AF88" i="22"/>
  <c r="AF91" i="22"/>
  <c r="AF100" i="22"/>
  <c r="AF86" i="22"/>
  <c r="AF57" i="22"/>
  <c r="AF99" i="22"/>
  <c r="AF85" i="22"/>
  <c r="AF56" i="22"/>
  <c r="AF101" i="22"/>
  <c r="AF98" i="22"/>
  <c r="AF84" i="22"/>
  <c r="AF55" i="22"/>
  <c r="AF58" i="22"/>
  <c r="AF97" i="22"/>
  <c r="AF90" i="22"/>
  <c r="AF103" i="22"/>
  <c r="AF96" i="22"/>
  <c r="AF89" i="22"/>
  <c r="AF87" i="22"/>
  <c r="AF95" i="22"/>
  <c r="AF94" i="22"/>
  <c r="AF93" i="22"/>
  <c r="AF92" i="22"/>
  <c r="AF77" i="22"/>
  <c r="AF63" i="22"/>
  <c r="AF76" i="22"/>
  <c r="AF62" i="22"/>
  <c r="AF78" i="22"/>
  <c r="AF73" i="22"/>
  <c r="AF71" i="22"/>
  <c r="AF70" i="22"/>
  <c r="AF69" i="22"/>
  <c r="AF82" i="22"/>
  <c r="AF68" i="22"/>
  <c r="AF81" i="22"/>
  <c r="AF67" i="22"/>
  <c r="AF83" i="22"/>
  <c r="AF80" i="22"/>
  <c r="AF66" i="22"/>
  <c r="AF64" i="22"/>
  <c r="AF75" i="22"/>
  <c r="AF61" i="22"/>
  <c r="AF74" i="22"/>
  <c r="AF60" i="22"/>
  <c r="AF72" i="22"/>
  <c r="AF79" i="22"/>
  <c r="AF65" i="22"/>
  <c r="AR109" i="22"/>
  <c r="AO109" i="22"/>
  <c r="AO120" i="22"/>
  <c r="AR120" i="22"/>
  <c r="AR107" i="22"/>
  <c r="AO107" i="22"/>
  <c r="AR115" i="22"/>
  <c r="AO115" i="22"/>
  <c r="AR127" i="22"/>
  <c r="AO127" i="22"/>
  <c r="AR117" i="22"/>
  <c r="AO117" i="22"/>
  <c r="AO123" i="22"/>
  <c r="AR123" i="22"/>
  <c r="AR128" i="22"/>
  <c r="AO128" i="22"/>
  <c r="AO121" i="22"/>
  <c r="AR121" i="22"/>
  <c r="AR105" i="22"/>
  <c r="AO105" i="22"/>
  <c r="AR114" i="22"/>
  <c r="AO114" i="22"/>
  <c r="AR112" i="22"/>
  <c r="AO112" i="22"/>
  <c r="AR126" i="22"/>
  <c r="AO126" i="22"/>
  <c r="AR108" i="22"/>
  <c r="AO108" i="22"/>
  <c r="AO119" i="22"/>
  <c r="AR119" i="22"/>
  <c r="AR111" i="22"/>
  <c r="AR122" i="22"/>
  <c r="AO122" i="22"/>
  <c r="AO104" i="22"/>
  <c r="AR104" i="22"/>
  <c r="AO118" i="22"/>
  <c r="AR118" i="22"/>
  <c r="AO106" i="22"/>
  <c r="AR106" i="22"/>
  <c r="AR124" i="22"/>
  <c r="AO124" i="22"/>
  <c r="AO116" i="22"/>
  <c r="AR116" i="22"/>
  <c r="AO110" i="22"/>
  <c r="AR110" i="22"/>
  <c r="AR125" i="22"/>
  <c r="AO125" i="22"/>
  <c r="AF54" i="22"/>
  <c r="R102" i="22"/>
  <c r="R88" i="22"/>
  <c r="R74" i="22"/>
  <c r="R60" i="22"/>
  <c r="R13" i="22"/>
  <c r="R159" i="22"/>
  <c r="R158" i="22"/>
  <c r="R83" i="22"/>
  <c r="R69" i="22"/>
  <c r="R97" i="22"/>
  <c r="R155" i="22"/>
  <c r="R157" i="22"/>
  <c r="R156" i="22"/>
  <c r="R154" i="22"/>
  <c r="R99" i="22"/>
  <c r="R44" i="22"/>
  <c r="AG44" i="22" s="1"/>
  <c r="R95" i="22"/>
  <c r="R81" i="22"/>
  <c r="R67" i="22"/>
  <c r="R14" i="22"/>
  <c r="R47" i="22"/>
  <c r="AG47" i="22" s="1"/>
  <c r="R33" i="22"/>
  <c r="R91" i="22"/>
  <c r="R77" i="22"/>
  <c r="R63" i="22"/>
  <c r="R50" i="22"/>
  <c r="AG50" i="22" s="1"/>
  <c r="R36" i="22"/>
  <c r="R22" i="22"/>
  <c r="R8" i="22"/>
  <c r="R49" i="22"/>
  <c r="AG49" i="22" s="1"/>
  <c r="R35" i="22"/>
  <c r="R21" i="22"/>
  <c r="R7" i="22"/>
  <c r="R19" i="22"/>
  <c r="R85" i="22"/>
  <c r="R71" i="22"/>
  <c r="R57" i="22"/>
  <c r="R30" i="22"/>
  <c r="R16" i="22"/>
  <c r="R98" i="22"/>
  <c r="R84" i="22"/>
  <c r="R70" i="22"/>
  <c r="R56" i="22"/>
  <c r="R43" i="22"/>
  <c r="AG43" i="22" s="1"/>
  <c r="R29" i="22"/>
  <c r="R15" i="22"/>
  <c r="R96" i="22"/>
  <c r="R82" i="22"/>
  <c r="R68" i="22"/>
  <c r="R40" i="22"/>
  <c r="R27" i="22"/>
  <c r="R12" i="22"/>
  <c r="R94" i="22"/>
  <c r="R80" i="22"/>
  <c r="R66" i="22"/>
  <c r="R53" i="22"/>
  <c r="AG53" i="22" s="1"/>
  <c r="R38" i="22"/>
  <c r="R25" i="22"/>
  <c r="R11" i="22"/>
  <c r="R93" i="22"/>
  <c r="R79" i="22"/>
  <c r="R65" i="22"/>
  <c r="R52" i="22"/>
  <c r="R24" i="22"/>
  <c r="R10" i="22"/>
  <c r="R55" i="22"/>
  <c r="R41" i="22"/>
  <c r="R28" i="22"/>
  <c r="R92" i="22"/>
  <c r="R78" i="22"/>
  <c r="R64" i="22"/>
  <c r="R51" i="22"/>
  <c r="AG51" i="22" s="1"/>
  <c r="R37" i="22"/>
  <c r="R23" i="22"/>
  <c r="R9" i="22"/>
  <c r="AH9" i="22" s="1"/>
  <c r="R90" i="22"/>
  <c r="R76" i="22"/>
  <c r="R62" i="22"/>
  <c r="R103" i="22"/>
  <c r="R89" i="22"/>
  <c r="R75" i="22"/>
  <c r="R61" i="22"/>
  <c r="R48" i="22"/>
  <c r="AG48" i="22" s="1"/>
  <c r="R34" i="22"/>
  <c r="R20" i="22"/>
  <c r="R6" i="22"/>
  <c r="R54" i="22"/>
  <c r="R39" i="22"/>
  <c r="R26" i="22"/>
  <c r="R5" i="22"/>
  <c r="R101" i="22"/>
  <c r="R87" i="22"/>
  <c r="R73" i="22"/>
  <c r="R59" i="22"/>
  <c r="R46" i="22"/>
  <c r="AG46" i="22" s="1"/>
  <c r="R32" i="22"/>
  <c r="R18" i="22"/>
  <c r="R100" i="22"/>
  <c r="R86" i="22"/>
  <c r="R72" i="22"/>
  <c r="R58" i="22"/>
  <c r="R45" i="22"/>
  <c r="AG45" i="22" s="1"/>
  <c r="R31" i="22"/>
  <c r="R17" i="22"/>
  <c r="I8" i="23"/>
  <c r="I47" i="23"/>
  <c r="I46" i="23"/>
  <c r="I41" i="23"/>
  <c r="I40" i="23"/>
  <c r="I39" i="23"/>
  <c r="I38" i="23"/>
  <c r="I37" i="23"/>
  <c r="I36" i="23"/>
  <c r="K159" i="22" s="1"/>
  <c r="I35" i="23"/>
  <c r="I34" i="23"/>
  <c r="I33" i="23"/>
  <c r="I32" i="23"/>
  <c r="I31" i="23"/>
  <c r="K158" i="22" s="1"/>
  <c r="I30" i="23"/>
  <c r="I29" i="23"/>
  <c r="I28" i="23"/>
  <c r="I27" i="23"/>
  <c r="K157" i="22" s="1"/>
  <c r="I26" i="23"/>
  <c r="I25" i="23"/>
  <c r="K156" i="22" s="1"/>
  <c r="I24" i="23"/>
  <c r="I23" i="23"/>
  <c r="I22" i="23"/>
  <c r="I21" i="23"/>
  <c r="K155" i="22" s="1"/>
  <c r="I20" i="23"/>
  <c r="I19" i="23"/>
  <c r="K6" i="22" s="1"/>
  <c r="I18" i="23"/>
  <c r="K154" i="22" s="1"/>
  <c r="I16" i="23"/>
  <c r="I17" i="23"/>
  <c r="I15" i="23"/>
  <c r="I14" i="23"/>
  <c r="I2" i="23"/>
  <c r="I3" i="23"/>
  <c r="I4" i="23"/>
  <c r="I5" i="23"/>
  <c r="I6" i="23"/>
  <c r="I7" i="23"/>
  <c r="I9" i="23"/>
  <c r="I10" i="23"/>
  <c r="I11" i="23"/>
  <c r="I12" i="23"/>
  <c r="K116" i="22" l="1"/>
  <c r="K130" i="22"/>
  <c r="K121" i="22"/>
  <c r="K152" i="22"/>
  <c r="K97" i="22"/>
  <c r="K23" i="22"/>
  <c r="K36" i="22"/>
  <c r="K69" i="22"/>
  <c r="K55" i="22"/>
  <c r="K131" i="22"/>
  <c r="K117" i="22"/>
  <c r="K70" i="22"/>
  <c r="K82" i="22"/>
  <c r="K75" i="22"/>
  <c r="K59" i="22"/>
  <c r="K71" i="22"/>
  <c r="K16" i="22"/>
  <c r="K98" i="22"/>
  <c r="K63" i="22"/>
  <c r="K80" i="22"/>
  <c r="K9" i="22"/>
  <c r="K62" i="22"/>
  <c r="K51" i="22"/>
  <c r="K65" i="22"/>
  <c r="K19" i="22"/>
  <c r="K27" i="22"/>
  <c r="K66" i="22"/>
  <c r="K78" i="22"/>
  <c r="K43" i="22"/>
  <c r="K113" i="22"/>
  <c r="K153" i="22"/>
  <c r="K94" i="22"/>
  <c r="K22" i="22"/>
  <c r="K52" i="22"/>
  <c r="K77" i="22"/>
  <c r="K35" i="22"/>
  <c r="K48" i="22"/>
  <c r="K60" i="22"/>
  <c r="K72" i="22"/>
  <c r="K96" i="22"/>
  <c r="K81" i="22"/>
  <c r="K88" i="22"/>
  <c r="K29" i="22"/>
  <c r="K79" i="22"/>
  <c r="K128" i="22"/>
  <c r="K140" i="22"/>
  <c r="K45" i="22"/>
  <c r="K126" i="22"/>
  <c r="K146" i="22"/>
  <c r="K120" i="22"/>
  <c r="K134" i="22"/>
  <c r="K10" i="22"/>
  <c r="K28" i="22"/>
  <c r="K127" i="22"/>
  <c r="K147" i="22"/>
  <c r="K53" i="22"/>
  <c r="K106" i="22"/>
  <c r="K142" i="22"/>
  <c r="K133" i="22"/>
  <c r="K111" i="22"/>
  <c r="K118" i="22"/>
  <c r="K136" i="22"/>
  <c r="K32" i="22"/>
  <c r="K114" i="22"/>
  <c r="K129" i="22"/>
  <c r="K61" i="22"/>
  <c r="K87" i="22"/>
  <c r="K99" i="22"/>
  <c r="K49" i="22"/>
  <c r="K25" i="22"/>
  <c r="K37" i="22"/>
  <c r="K74" i="22"/>
  <c r="K93" i="22"/>
  <c r="K57" i="22"/>
  <c r="K30" i="22"/>
  <c r="K67" i="22"/>
  <c r="K108" i="22"/>
  <c r="K137" i="22"/>
  <c r="K86" i="22"/>
  <c r="K38" i="22"/>
  <c r="K92" i="22"/>
  <c r="K8" i="22"/>
  <c r="K64" i="22"/>
  <c r="K31" i="22"/>
  <c r="K15" i="22"/>
  <c r="K102" i="22"/>
  <c r="K18" i="22"/>
  <c r="K68" i="22"/>
  <c r="K144" i="22"/>
  <c r="K105" i="22"/>
  <c r="K100" i="22"/>
  <c r="K50" i="22"/>
  <c r="K89" i="22"/>
  <c r="K17" i="22"/>
  <c r="K90" i="22"/>
  <c r="K143" i="22"/>
  <c r="K125" i="22"/>
  <c r="K24" i="22"/>
  <c r="K123" i="22"/>
  <c r="K148" i="22"/>
  <c r="K21" i="22"/>
  <c r="K58" i="22"/>
  <c r="K34" i="22"/>
  <c r="K83" i="22"/>
  <c r="K85" i="22"/>
  <c r="K110" i="22"/>
  <c r="K149" i="22"/>
  <c r="K47" i="22"/>
  <c r="K41" i="22"/>
  <c r="K145" i="22"/>
  <c r="K112" i="22"/>
  <c r="K56" i="22"/>
  <c r="K101" i="22"/>
  <c r="K91" i="22"/>
  <c r="K138" i="22"/>
  <c r="K109" i="22"/>
  <c r="K14" i="22"/>
  <c r="K141" i="22"/>
  <c r="K107" i="22"/>
  <c r="K76" i="22"/>
  <c r="K26" i="22"/>
  <c r="K73" i="22"/>
  <c r="K54" i="22"/>
  <c r="K115" i="22"/>
  <c r="K151" i="22"/>
  <c r="K104" i="22"/>
  <c r="K135" i="22"/>
  <c r="K40" i="22"/>
  <c r="K103" i="22"/>
  <c r="K150" i="22"/>
  <c r="K122" i="22"/>
  <c r="K33" i="22"/>
  <c r="K46" i="22"/>
  <c r="K95" i="22"/>
  <c r="K7" i="22"/>
  <c r="K84" i="22"/>
  <c r="K11" i="22"/>
  <c r="K132" i="22"/>
  <c r="K119" i="22"/>
  <c r="K139" i="22"/>
  <c r="K124" i="22"/>
  <c r="K20" i="22"/>
  <c r="K39" i="22"/>
  <c r="K44" i="22"/>
  <c r="M143" i="22"/>
  <c r="M5" i="22"/>
  <c r="M149" i="22"/>
  <c r="AJ53" i="22"/>
  <c r="AD11" i="22"/>
  <c r="AI11" i="22" s="1"/>
  <c r="AH11" i="22"/>
  <c r="AJ51" i="22"/>
  <c r="AG8" i="22"/>
  <c r="AH8" i="22"/>
  <c r="AG10" i="22"/>
  <c r="AH10" i="22"/>
  <c r="AJ48" i="22"/>
  <c r="AK48" i="22" s="1"/>
  <c r="AN48" i="22" s="1"/>
  <c r="AG5" i="22"/>
  <c r="AJ5" i="22" s="1"/>
  <c r="AK5" i="22" s="1"/>
  <c r="M158" i="22"/>
  <c r="M6" i="22"/>
  <c r="M139" i="22"/>
  <c r="M135" i="22"/>
  <c r="M138" i="22"/>
  <c r="M159" i="22"/>
  <c r="M140" i="22"/>
  <c r="M157" i="22"/>
  <c r="M136" i="22"/>
  <c r="AG88" i="22"/>
  <c r="AJ88" i="22" s="1"/>
  <c r="AK88" i="22" s="1"/>
  <c r="AN88" i="22" s="1"/>
  <c r="AR88" i="22" s="1"/>
  <c r="AG97" i="22"/>
  <c r="AJ97" i="22" s="1"/>
  <c r="AK97" i="22" s="1"/>
  <c r="AG102" i="22"/>
  <c r="AJ102" i="22" s="1"/>
  <c r="AK102" i="22" s="1"/>
  <c r="AN102" i="22" s="1"/>
  <c r="AG156" i="22"/>
  <c r="AJ156" i="22" s="1"/>
  <c r="AK156" i="22" s="1"/>
  <c r="AG157" i="22"/>
  <c r="AJ157" i="22" s="1"/>
  <c r="AK157" i="22" s="1"/>
  <c r="AN157" i="22" s="1"/>
  <c r="AG158" i="22"/>
  <c r="AJ158" i="22" s="1"/>
  <c r="AK158" i="22" s="1"/>
  <c r="AG159" i="22"/>
  <c r="AJ159" i="22" s="1"/>
  <c r="AK159" i="22" s="1"/>
  <c r="AG154" i="22"/>
  <c r="AJ154" i="22" s="1"/>
  <c r="AK154" i="22" s="1"/>
  <c r="AG155" i="22"/>
  <c r="AJ155" i="22" s="1"/>
  <c r="AK155" i="22" s="1"/>
  <c r="AG59" i="22"/>
  <c r="AJ59" i="22" s="1"/>
  <c r="AK59" i="22" s="1"/>
  <c r="AN59" i="22" s="1"/>
  <c r="AG83" i="22"/>
  <c r="AJ83" i="22" s="1"/>
  <c r="AK83" i="22" s="1"/>
  <c r="AG69" i="22"/>
  <c r="AJ69" i="22" s="1"/>
  <c r="AK69" i="22" s="1"/>
  <c r="AN69" i="22" s="1"/>
  <c r="AO69" i="22" s="1"/>
  <c r="AG60" i="22"/>
  <c r="AJ60" i="22" s="1"/>
  <c r="AK60" i="22" s="1"/>
  <c r="AG74" i="22"/>
  <c r="AJ74" i="22" s="1"/>
  <c r="AK74" i="22" s="1"/>
  <c r="M114" i="22"/>
  <c r="M129" i="22"/>
  <c r="M116" i="22"/>
  <c r="M130" i="22"/>
  <c r="M108" i="22"/>
  <c r="M137" i="22"/>
  <c r="M106" i="22"/>
  <c r="M142" i="22"/>
  <c r="M121" i="22"/>
  <c r="M152" i="22"/>
  <c r="M112" i="22"/>
  <c r="M145" i="22"/>
  <c r="M126" i="22"/>
  <c r="M146" i="22"/>
  <c r="M127" i="22"/>
  <c r="M147" i="22"/>
  <c r="M123" i="22"/>
  <c r="M148" i="22"/>
  <c r="M105" i="22"/>
  <c r="M144" i="22"/>
  <c r="M111" i="22"/>
  <c r="M133" i="22"/>
  <c r="M117" i="22"/>
  <c r="M131" i="22"/>
  <c r="M113" i="22"/>
  <c r="M153" i="22"/>
  <c r="M120" i="22"/>
  <c r="M134" i="22"/>
  <c r="M107" i="22"/>
  <c r="M141" i="22"/>
  <c r="M122" i="22"/>
  <c r="M150" i="22"/>
  <c r="M115" i="22"/>
  <c r="M151" i="22"/>
  <c r="M119" i="22"/>
  <c r="M132" i="22"/>
  <c r="M32" i="22"/>
  <c r="M118" i="22"/>
  <c r="M40" i="22"/>
  <c r="M104" i="22"/>
  <c r="M41" i="22"/>
  <c r="M110" i="22"/>
  <c r="M24" i="22"/>
  <c r="M125" i="22"/>
  <c r="M45" i="22"/>
  <c r="M128" i="22"/>
  <c r="M39" i="22"/>
  <c r="M124" i="22"/>
  <c r="M14" i="22"/>
  <c r="M109" i="22"/>
  <c r="M16" i="22"/>
  <c r="M43" i="22"/>
  <c r="M155" i="22"/>
  <c r="M156" i="22"/>
  <c r="M38" i="22"/>
  <c r="M15" i="22"/>
  <c r="M154" i="22"/>
  <c r="AG24" i="22"/>
  <c r="AJ24" i="22" s="1"/>
  <c r="AG19" i="22"/>
  <c r="AJ19" i="22" s="1"/>
  <c r="AG14" i="22"/>
  <c r="AJ14" i="22" s="1"/>
  <c r="AK14" i="22" s="1"/>
  <c r="AG31" i="22"/>
  <c r="AJ31" i="22" s="1"/>
  <c r="AG9" i="22"/>
  <c r="AJ9" i="22" s="1"/>
  <c r="AJ45" i="22"/>
  <c r="AG37" i="22"/>
  <c r="AJ37" i="22" s="1"/>
  <c r="AG25" i="22"/>
  <c r="AJ25" i="22" s="1"/>
  <c r="AJ49" i="22"/>
  <c r="AG20" i="22"/>
  <c r="AJ20" i="22" s="1"/>
  <c r="AG38" i="22"/>
  <c r="AJ38" i="22" s="1"/>
  <c r="AJ44" i="22"/>
  <c r="AG34" i="22"/>
  <c r="AJ34" i="22" s="1"/>
  <c r="AG22" i="22"/>
  <c r="AJ22" i="22" s="1"/>
  <c r="AG13" i="22"/>
  <c r="AJ13" i="22" s="1"/>
  <c r="AG17" i="22"/>
  <c r="AJ17" i="22" s="1"/>
  <c r="AG15" i="22"/>
  <c r="AJ15" i="22" s="1"/>
  <c r="AG39" i="22"/>
  <c r="AJ39" i="22" s="1"/>
  <c r="AG21" i="22"/>
  <c r="AJ21" i="22" s="1"/>
  <c r="AG35" i="22"/>
  <c r="AJ35" i="22" s="1"/>
  <c r="AG6" i="22"/>
  <c r="AJ6" i="22" s="1"/>
  <c r="AJ43" i="22"/>
  <c r="AG18" i="22"/>
  <c r="AJ18" i="22" s="1"/>
  <c r="AG36" i="22"/>
  <c r="AJ36" i="22" s="1"/>
  <c r="AG32" i="22"/>
  <c r="AJ32" i="22" s="1"/>
  <c r="AG28" i="22"/>
  <c r="AJ28" i="22" s="1"/>
  <c r="AJ50" i="22"/>
  <c r="AG33" i="22"/>
  <c r="AJ33" i="22" s="1"/>
  <c r="AJ47" i="22"/>
  <c r="AG26" i="22"/>
  <c r="AJ26" i="22" s="1"/>
  <c r="AG7" i="22"/>
  <c r="AJ7" i="22" s="1"/>
  <c r="AG23" i="22"/>
  <c r="AJ23" i="22" s="1"/>
  <c r="AG29" i="22"/>
  <c r="AJ29" i="22" s="1"/>
  <c r="AJ46" i="22"/>
  <c r="AG41" i="22"/>
  <c r="AJ41" i="22" s="1"/>
  <c r="AG16" i="22"/>
  <c r="AJ16" i="22" s="1"/>
  <c r="AG12" i="22"/>
  <c r="AJ12" i="22" s="1"/>
  <c r="AG30" i="22"/>
  <c r="AJ30" i="22" s="1"/>
  <c r="AG40" i="22"/>
  <c r="AJ40" i="22" s="1"/>
  <c r="AG27" i="22"/>
  <c r="AJ27" i="22" s="1"/>
  <c r="AG79" i="22"/>
  <c r="AG81" i="22"/>
  <c r="AG54" i="22"/>
  <c r="AJ54" i="22" s="1"/>
  <c r="AG93" i="22"/>
  <c r="AG65" i="22"/>
  <c r="AJ65" i="22" s="1"/>
  <c r="AG96" i="22"/>
  <c r="AG72" i="22"/>
  <c r="AJ72" i="22" s="1"/>
  <c r="AG86" i="22"/>
  <c r="AG64" i="22"/>
  <c r="AJ64" i="22" s="1"/>
  <c r="AG100" i="22"/>
  <c r="AG78" i="22"/>
  <c r="AG95" i="22"/>
  <c r="AG92" i="22"/>
  <c r="AG56" i="22"/>
  <c r="AJ56" i="22" s="1"/>
  <c r="AG61" i="22"/>
  <c r="AJ61" i="22" s="1"/>
  <c r="AG70" i="22"/>
  <c r="AJ70" i="22" s="1"/>
  <c r="AG75" i="22"/>
  <c r="AG66" i="22"/>
  <c r="AJ66" i="22" s="1"/>
  <c r="AG84" i="22"/>
  <c r="AG89" i="22"/>
  <c r="AG80" i="22"/>
  <c r="AG98" i="22"/>
  <c r="AG73" i="22"/>
  <c r="AG103" i="22"/>
  <c r="AG55" i="22"/>
  <c r="AJ55" i="22" s="1"/>
  <c r="AG94" i="22"/>
  <c r="AG63" i="22"/>
  <c r="AJ63" i="22" s="1"/>
  <c r="AG99" i="22"/>
  <c r="AG87" i="22"/>
  <c r="AG62" i="22"/>
  <c r="AJ62" i="22" s="1"/>
  <c r="AG77" i="22"/>
  <c r="AG82" i="22"/>
  <c r="AG67" i="22"/>
  <c r="AJ67" i="22" s="1"/>
  <c r="AG58" i="22"/>
  <c r="AG101" i="22"/>
  <c r="AJ101" i="22" s="1"/>
  <c r="AG76" i="22"/>
  <c r="AG57" i="22"/>
  <c r="AG91" i="22"/>
  <c r="AJ91" i="22" s="1"/>
  <c r="AG90" i="22"/>
  <c r="AJ90" i="22" s="1"/>
  <c r="AG71" i="22"/>
  <c r="AJ71" i="22" s="1"/>
  <c r="AG52" i="22"/>
  <c r="AJ52" i="22" s="1"/>
  <c r="AG68" i="22"/>
  <c r="AJ68" i="22" s="1"/>
  <c r="AG85" i="22"/>
  <c r="AJ85" i="22" s="1"/>
  <c r="M89" i="22"/>
  <c r="M100" i="22"/>
  <c r="M90" i="22"/>
  <c r="M26" i="22"/>
  <c r="M54" i="22"/>
  <c r="M76" i="22"/>
  <c r="M55" i="22"/>
  <c r="M73" i="22"/>
  <c r="M101" i="22"/>
  <c r="M91" i="22"/>
  <c r="M68" i="22"/>
  <c r="M102" i="22"/>
  <c r="M86" i="22"/>
  <c r="M64" i="22"/>
  <c r="M92" i="22"/>
  <c r="M95" i="22"/>
  <c r="M84" i="22"/>
  <c r="M57" i="22"/>
  <c r="M53" i="22"/>
  <c r="M103" i="22"/>
  <c r="M81" i="22"/>
  <c r="M96" i="22"/>
  <c r="M56" i="22"/>
  <c r="M72" i="22"/>
  <c r="M88" i="22"/>
  <c r="M60" i="22"/>
  <c r="M77" i="22"/>
  <c r="M52" i="22"/>
  <c r="M79" i="22"/>
  <c r="M94" i="22"/>
  <c r="M83" i="22"/>
  <c r="M85" i="22"/>
  <c r="M70" i="22"/>
  <c r="M82" i="22"/>
  <c r="M71" i="22"/>
  <c r="M58" i="22"/>
  <c r="M59" i="22"/>
  <c r="M62" i="22"/>
  <c r="M63" i="22"/>
  <c r="M75" i="22"/>
  <c r="M51" i="22"/>
  <c r="M78" i="22"/>
  <c r="M80" i="22"/>
  <c r="M98" i="22"/>
  <c r="M65" i="22"/>
  <c r="M66" i="22"/>
  <c r="M67" i="22"/>
  <c r="M99" i="22"/>
  <c r="M74" i="22"/>
  <c r="M87" i="22"/>
  <c r="M61" i="22"/>
  <c r="M93" i="22"/>
  <c r="M69" i="22"/>
  <c r="M97" i="22"/>
  <c r="M34" i="22"/>
  <c r="M21" i="22"/>
  <c r="M36" i="22"/>
  <c r="M23" i="22"/>
  <c r="M19" i="22"/>
  <c r="M27" i="22"/>
  <c r="M9" i="22"/>
  <c r="M35" i="22"/>
  <c r="M22" i="22"/>
  <c r="M48" i="22"/>
  <c r="M29" i="22"/>
  <c r="M37" i="22"/>
  <c r="M25" i="22"/>
  <c r="M49" i="22"/>
  <c r="M30" i="22"/>
  <c r="M47" i="22"/>
  <c r="M28" i="22"/>
  <c r="M10" i="22"/>
  <c r="M17" i="22"/>
  <c r="M50" i="22"/>
  <c r="M20" i="22"/>
  <c r="M44" i="22"/>
  <c r="M11" i="22"/>
  <c r="M33" i="22"/>
  <c r="M46" i="22"/>
  <c r="M7" i="22"/>
  <c r="M31" i="22"/>
  <c r="M18" i="22"/>
  <c r="M8" i="22"/>
  <c r="AG11" i="22" l="1"/>
  <c r="AJ11" i="22" s="1"/>
  <c r="AK11" i="22" s="1"/>
  <c r="AQ11" i="22" s="1"/>
  <c r="AJ10" i="22"/>
  <c r="AK52" i="22"/>
  <c r="AN52" i="22" s="1"/>
  <c r="AJ8" i="22"/>
  <c r="AK8" i="22" s="1"/>
  <c r="AN8" i="22" s="1"/>
  <c r="AO8" i="22" s="1"/>
  <c r="AN155" i="22"/>
  <c r="AQ155" i="22"/>
  <c r="AN154" i="22"/>
  <c r="AQ154" i="22"/>
  <c r="AQ159" i="22"/>
  <c r="AN159" i="22"/>
  <c r="AQ158" i="22"/>
  <c r="AN158" i="22"/>
  <c r="AR157" i="22"/>
  <c r="AO157" i="22"/>
  <c r="AN156" i="22"/>
  <c r="AQ156" i="22"/>
  <c r="AQ157" i="22"/>
  <c r="AO88" i="22"/>
  <c r="AQ102" i="22"/>
  <c r="AQ97" i="22"/>
  <c r="AN97" i="22"/>
  <c r="AO97" i="22" s="1"/>
  <c r="AK101" i="22"/>
  <c r="AN101" i="22" s="1"/>
  <c r="AK7" i="22"/>
  <c r="AN7" i="22" s="1"/>
  <c r="AK25" i="22"/>
  <c r="AQ25" i="22" s="1"/>
  <c r="AJ84" i="22"/>
  <c r="AK84" i="22" s="1"/>
  <c r="AK10" i="22"/>
  <c r="AN10" i="22" s="1"/>
  <c r="AK47" i="22"/>
  <c r="AQ47" i="22" s="1"/>
  <c r="AK23" i="22"/>
  <c r="AQ23" i="22" s="1"/>
  <c r="AK49" i="22"/>
  <c r="AQ49" i="22" s="1"/>
  <c r="AK26" i="22"/>
  <c r="AN26" i="22" s="1"/>
  <c r="AK39" i="22"/>
  <c r="AN39" i="22" s="1"/>
  <c r="AK40" i="22"/>
  <c r="AN40" i="22" s="1"/>
  <c r="AK15" i="22"/>
  <c r="AN15" i="22" s="1"/>
  <c r="AJ100" i="22"/>
  <c r="AK100" i="22" s="1"/>
  <c r="AK85" i="22"/>
  <c r="AQ85" i="22" s="1"/>
  <c r="AK17" i="22"/>
  <c r="AN17" i="22" s="1"/>
  <c r="AK9" i="22"/>
  <c r="AQ9" i="22" s="1"/>
  <c r="AK33" i="22"/>
  <c r="AK50" i="22"/>
  <c r="AN50" i="22" s="1"/>
  <c r="AK13" i="22"/>
  <c r="AN13" i="22" s="1"/>
  <c r="AK31" i="22"/>
  <c r="AQ31" i="22" s="1"/>
  <c r="AK30" i="22"/>
  <c r="AJ87" i="22"/>
  <c r="AK87" i="22" s="1"/>
  <c r="AJ98" i="22"/>
  <c r="AK98" i="22" s="1"/>
  <c r="AJ86" i="22"/>
  <c r="AK86" i="22" s="1"/>
  <c r="AK27" i="22"/>
  <c r="AN27" i="22" s="1"/>
  <c r="AK37" i="22"/>
  <c r="AQ37" i="22" s="1"/>
  <c r="AK56" i="22"/>
  <c r="AN56" i="22" s="1"/>
  <c r="AK41" i="22"/>
  <c r="AN41" i="22" s="1"/>
  <c r="AK36" i="22"/>
  <c r="AN36" i="22" s="1"/>
  <c r="AK44" i="22"/>
  <c r="AQ44" i="22" s="1"/>
  <c r="AK24" i="22"/>
  <c r="AN24" i="22" s="1"/>
  <c r="AJ58" i="22"/>
  <c r="AK58" i="22" s="1"/>
  <c r="AJ89" i="22"/>
  <c r="AK89" i="22" s="1"/>
  <c r="AJ93" i="22"/>
  <c r="AK93" i="22" s="1"/>
  <c r="AK22" i="22"/>
  <c r="AN22" i="22" s="1"/>
  <c r="AK54" i="22"/>
  <c r="AN54" i="22" s="1"/>
  <c r="AJ57" i="22"/>
  <c r="AK57" i="22" s="1"/>
  <c r="AK32" i="22"/>
  <c r="AK35" i="22"/>
  <c r="AQ14" i="22"/>
  <c r="AJ94" i="22"/>
  <c r="AK94" i="22" s="1"/>
  <c r="AQ94" i="22" s="1"/>
  <c r="AK20" i="22"/>
  <c r="AN20" i="22" s="1"/>
  <c r="AK45" i="22"/>
  <c r="AN45" i="22" s="1"/>
  <c r="AJ99" i="22"/>
  <c r="AK99" i="22" s="1"/>
  <c r="AK53" i="22"/>
  <c r="AK12" i="22"/>
  <c r="AN12" i="22" s="1"/>
  <c r="AK28" i="22"/>
  <c r="AN28" i="22" s="1"/>
  <c r="AQ88" i="22"/>
  <c r="AK16" i="22"/>
  <c r="AN16" i="22" s="1"/>
  <c r="AK34" i="22"/>
  <c r="AN34" i="22" s="1"/>
  <c r="AK90" i="22"/>
  <c r="AQ90" i="22" s="1"/>
  <c r="AK55" i="22"/>
  <c r="AJ92" i="22"/>
  <c r="AK92" i="22" s="1"/>
  <c r="AK46" i="22"/>
  <c r="AQ46" i="22" s="1"/>
  <c r="AK18" i="22"/>
  <c r="AQ18" i="22" s="1"/>
  <c r="AK91" i="22"/>
  <c r="AN91" i="22" s="1"/>
  <c r="AJ103" i="22"/>
  <c r="AK103" i="22" s="1"/>
  <c r="AJ95" i="22"/>
  <c r="AK95" i="22" s="1"/>
  <c r="AN95" i="22" s="1"/>
  <c r="AK38" i="22"/>
  <c r="AN38" i="22" s="1"/>
  <c r="AK21" i="22"/>
  <c r="AK43" i="22"/>
  <c r="AK6" i="22"/>
  <c r="AK29" i="22"/>
  <c r="AN29" i="22" s="1"/>
  <c r="AK19" i="22"/>
  <c r="AJ96" i="22"/>
  <c r="AK96" i="22" s="1"/>
  <c r="AQ83" i="22"/>
  <c r="AN83" i="22"/>
  <c r="AO83" i="22" s="1"/>
  <c r="AJ82" i="22"/>
  <c r="AK82" i="22" s="1"/>
  <c r="AJ81" i="22"/>
  <c r="AK81" i="22" s="1"/>
  <c r="AJ79" i="22"/>
  <c r="AK79" i="22" s="1"/>
  <c r="AJ78" i="22"/>
  <c r="AK78" i="22" s="1"/>
  <c r="AJ80" i="22"/>
  <c r="AK80" i="22" s="1"/>
  <c r="AJ77" i="22"/>
  <c r="AK77" i="22" s="1"/>
  <c r="AQ74" i="22"/>
  <c r="AN74" i="22"/>
  <c r="AR74" i="22" s="1"/>
  <c r="AJ76" i="22"/>
  <c r="AK76" i="22" s="1"/>
  <c r="AJ73" i="22"/>
  <c r="AK73" i="22" s="1"/>
  <c r="AK72" i="22"/>
  <c r="AJ75" i="22"/>
  <c r="AK75" i="22" s="1"/>
  <c r="AK70" i="22"/>
  <c r="AK71" i="22"/>
  <c r="AN60" i="22"/>
  <c r="AO60" i="22" s="1"/>
  <c r="AQ60" i="22"/>
  <c r="AK67" i="22"/>
  <c r="AQ67" i="22" s="1"/>
  <c r="AK64" i="22"/>
  <c r="AN64" i="22" s="1"/>
  <c r="AK68" i="22"/>
  <c r="AK65" i="22"/>
  <c r="AK66" i="22"/>
  <c r="AN66" i="22" s="1"/>
  <c r="AK62" i="22"/>
  <c r="AK63" i="22"/>
  <c r="AK61" i="22"/>
  <c r="AN61" i="22" s="1"/>
  <c r="AQ69" i="22"/>
  <c r="AN5" i="22"/>
  <c r="AQ5" i="22"/>
  <c r="AQ39" i="22"/>
  <c r="AR69" i="22"/>
  <c r="AQ59" i="22"/>
  <c r="AO102" i="22"/>
  <c r="AR102" i="22"/>
  <c r="AQ26" i="22" l="1"/>
  <c r="AQ101" i="22"/>
  <c r="AR97" i="22"/>
  <c r="AR60" i="22"/>
  <c r="AK51" i="22"/>
  <c r="AN51" i="22" s="1"/>
  <c r="AN23" i="22"/>
  <c r="AR23" i="22" s="1"/>
  <c r="AQ8" i="22"/>
  <c r="AN18" i="22"/>
  <c r="AO18" i="22" s="1"/>
  <c r="AN47" i="22"/>
  <c r="AO47" i="22" s="1"/>
  <c r="AQ45" i="22"/>
  <c r="AN35" i="22"/>
  <c r="AO35" i="22" s="1"/>
  <c r="AQ35" i="22"/>
  <c r="AN43" i="22"/>
  <c r="AO43" i="22" s="1"/>
  <c r="AQ43" i="22"/>
  <c r="AN19" i="22"/>
  <c r="AO19" i="22" s="1"/>
  <c r="AQ19" i="22"/>
  <c r="AQ16" i="22"/>
  <c r="AR158" i="22"/>
  <c r="AO158" i="22"/>
  <c r="AO159" i="22"/>
  <c r="AR159" i="22"/>
  <c r="AN11" i="22"/>
  <c r="AO11" i="22" s="1"/>
  <c r="AR156" i="22"/>
  <c r="AO156" i="22"/>
  <c r="AN49" i="22"/>
  <c r="AO49" i="22" s="1"/>
  <c r="AQ56" i="22"/>
  <c r="AO154" i="22"/>
  <c r="AR154" i="22"/>
  <c r="AO74" i="22"/>
  <c r="AN25" i="22"/>
  <c r="AO25" i="22" s="1"/>
  <c r="AN90" i="22"/>
  <c r="AO90" i="22" s="1"/>
  <c r="AR155" i="22"/>
  <c r="AO155" i="22"/>
  <c r="AN58" i="22"/>
  <c r="AO58" i="22" s="1"/>
  <c r="AQ58" i="22"/>
  <c r="AQ12" i="22"/>
  <c r="AQ27" i="22"/>
  <c r="AN9" i="22"/>
  <c r="AN94" i="22"/>
  <c r="AO94" i="22" s="1"/>
  <c r="AQ34" i="22"/>
  <c r="AN67" i="22"/>
  <c r="AR67" i="22" s="1"/>
  <c r="AN37" i="22"/>
  <c r="AO37" i="22" s="1"/>
  <c r="AN14" i="22"/>
  <c r="AO14" i="22" s="1"/>
  <c r="AQ7" i="22"/>
  <c r="AQ38" i="22"/>
  <c r="AQ52" i="22"/>
  <c r="AQ17" i="22"/>
  <c r="AQ20" i="22"/>
  <c r="AQ50" i="22"/>
  <c r="AQ64" i="22"/>
  <c r="AN33" i="22"/>
  <c r="AR33" i="22" s="1"/>
  <c r="AQ33" i="22"/>
  <c r="AN93" i="22"/>
  <c r="AO93" i="22" s="1"/>
  <c r="AQ93" i="22"/>
  <c r="AN99" i="22"/>
  <c r="AO99" i="22" s="1"/>
  <c r="AQ99" i="22"/>
  <c r="AN86" i="22"/>
  <c r="AO86" i="22" s="1"/>
  <c r="AQ86" i="22"/>
  <c r="AN100" i="22"/>
  <c r="AR100" i="22" s="1"/>
  <c r="AQ100" i="22"/>
  <c r="AN53" i="22"/>
  <c r="AO53" i="22" s="1"/>
  <c r="AQ53" i="22"/>
  <c r="AN89" i="22"/>
  <c r="AR89" i="22" s="1"/>
  <c r="AQ89" i="22"/>
  <c r="AN96" i="22"/>
  <c r="AR96" i="22" s="1"/>
  <c r="AQ96" i="22"/>
  <c r="AN98" i="22"/>
  <c r="AR98" i="22" s="1"/>
  <c r="AQ98" i="22"/>
  <c r="AQ32" i="22"/>
  <c r="AN32" i="22"/>
  <c r="AO32" i="22" s="1"/>
  <c r="AN21" i="22"/>
  <c r="AO21" i="22" s="1"/>
  <c r="AQ21" i="22"/>
  <c r="AN57" i="22"/>
  <c r="AO57" i="22" s="1"/>
  <c r="AQ57" i="22"/>
  <c r="AN84" i="22"/>
  <c r="AR84" i="22" s="1"/>
  <c r="AQ84" i="22"/>
  <c r="AQ87" i="22"/>
  <c r="AN87" i="22"/>
  <c r="AO87" i="22" s="1"/>
  <c r="AN80" i="22"/>
  <c r="AO80" i="22" s="1"/>
  <c r="AQ80" i="22"/>
  <c r="AQ103" i="22"/>
  <c r="AN103" i="22"/>
  <c r="AO103" i="22" s="1"/>
  <c r="AQ92" i="22"/>
  <c r="AN92" i="22"/>
  <c r="AO92" i="22" s="1"/>
  <c r="AN6" i="22"/>
  <c r="AO6" i="22" s="1"/>
  <c r="AQ6" i="22"/>
  <c r="AN55" i="22"/>
  <c r="AO55" i="22" s="1"/>
  <c r="AQ55" i="22"/>
  <c r="AN30" i="22"/>
  <c r="AO30" i="22" s="1"/>
  <c r="AQ30" i="22"/>
  <c r="AQ48" i="22"/>
  <c r="AQ15" i="22"/>
  <c r="AN44" i="22"/>
  <c r="AR44" i="22" s="1"/>
  <c r="AN31" i="22"/>
  <c r="AO31" i="22" s="1"/>
  <c r="AQ91" i="22"/>
  <c r="AQ36" i="22"/>
  <c r="AQ95" i="22"/>
  <c r="AQ41" i="22"/>
  <c r="AQ22" i="22"/>
  <c r="AQ13" i="22"/>
  <c r="AQ40" i="22"/>
  <c r="AQ10" i="22"/>
  <c r="AN46" i="22"/>
  <c r="AO46" i="22" s="1"/>
  <c r="AN85" i="22"/>
  <c r="AO85" i="22" s="1"/>
  <c r="AQ29" i="22"/>
  <c r="AQ28" i="22"/>
  <c r="AQ24" i="22"/>
  <c r="AR83" i="22"/>
  <c r="AQ54" i="22"/>
  <c r="AN81" i="22"/>
  <c r="AR81" i="22" s="1"/>
  <c r="AQ81" i="22"/>
  <c r="AQ82" i="22"/>
  <c r="AN82" i="22"/>
  <c r="AR82" i="22" s="1"/>
  <c r="AN77" i="22"/>
  <c r="AO77" i="22" s="1"/>
  <c r="AQ77" i="22"/>
  <c r="AN78" i="22"/>
  <c r="AO78" i="22" s="1"/>
  <c r="AQ78" i="22"/>
  <c r="AN79" i="22"/>
  <c r="AO79" i="22" s="1"/>
  <c r="AQ79" i="22"/>
  <c r="AN70" i="22"/>
  <c r="AO70" i="22" s="1"/>
  <c r="AQ70" i="22"/>
  <c r="AN75" i="22"/>
  <c r="AR75" i="22" s="1"/>
  <c r="AQ75" i="22"/>
  <c r="AN71" i="22"/>
  <c r="AO71" i="22" s="1"/>
  <c r="AQ71" i="22"/>
  <c r="AN72" i="22"/>
  <c r="AO72" i="22" s="1"/>
  <c r="AQ72" i="22"/>
  <c r="AN73" i="22"/>
  <c r="AO73" i="22" s="1"/>
  <c r="AQ73" i="22"/>
  <c r="AQ76" i="22"/>
  <c r="AN76" i="22"/>
  <c r="AR76" i="22" s="1"/>
  <c r="AN63" i="22"/>
  <c r="AO63" i="22" s="1"/>
  <c r="AQ63" i="22"/>
  <c r="AN62" i="22"/>
  <c r="AO62" i="22" s="1"/>
  <c r="AQ62" i="22"/>
  <c r="AQ65" i="22"/>
  <c r="AN65" i="22"/>
  <c r="AO65" i="22" s="1"/>
  <c r="AN68" i="22"/>
  <c r="AR68" i="22" s="1"/>
  <c r="AQ68" i="22"/>
  <c r="AQ61" i="22"/>
  <c r="AQ66" i="22"/>
  <c r="AO48" i="22"/>
  <c r="AR48" i="22"/>
  <c r="AR8" i="22"/>
  <c r="AO41" i="22"/>
  <c r="AR41" i="22"/>
  <c r="AO22" i="22"/>
  <c r="AR22" i="22"/>
  <c r="AO13" i="22"/>
  <c r="AR13" i="22"/>
  <c r="AO40" i="22"/>
  <c r="AR40" i="22"/>
  <c r="AO10" i="22"/>
  <c r="AR10" i="22"/>
  <c r="AO45" i="22"/>
  <c r="AR45" i="22"/>
  <c r="AO36" i="22"/>
  <c r="AR36" i="22"/>
  <c r="AO38" i="22"/>
  <c r="AR38" i="22"/>
  <c r="AO27" i="22"/>
  <c r="AR27" i="22"/>
  <c r="AO28" i="22"/>
  <c r="AR28" i="22"/>
  <c r="AO24" i="22"/>
  <c r="AR24" i="22"/>
  <c r="AO50" i="22"/>
  <c r="AR50" i="22"/>
  <c r="AO5" i="22"/>
  <c r="AR5" i="22"/>
  <c r="AO20" i="22"/>
  <c r="AR20" i="22"/>
  <c r="AO17" i="22"/>
  <c r="AR17" i="22"/>
  <c r="AO26" i="22"/>
  <c r="AR26" i="22"/>
  <c r="AO34" i="22"/>
  <c r="AR34" i="22"/>
  <c r="AO15" i="22"/>
  <c r="AR15" i="22"/>
  <c r="AO7" i="22"/>
  <c r="AR7" i="22"/>
  <c r="AO39" i="22"/>
  <c r="AR39" i="22"/>
  <c r="AO29" i="22"/>
  <c r="AR29" i="22"/>
  <c r="AO16" i="22"/>
  <c r="AR16" i="22"/>
  <c r="AO12" i="22"/>
  <c r="AR12" i="22"/>
  <c r="AO52" i="22"/>
  <c r="AR52" i="22"/>
  <c r="AO91" i="22"/>
  <c r="AR91" i="22"/>
  <c r="AO64" i="22"/>
  <c r="AR64" i="22"/>
  <c r="AO59" i="22"/>
  <c r="AR59" i="22"/>
  <c r="AO56" i="22"/>
  <c r="AR56" i="22"/>
  <c r="AO66" i="22"/>
  <c r="AR66" i="22"/>
  <c r="AR95" i="22"/>
  <c r="AO95" i="22"/>
  <c r="AO101" i="22"/>
  <c r="AR101" i="22"/>
  <c r="AR61" i="22"/>
  <c r="AO61" i="22"/>
  <c r="AR54" i="22"/>
  <c r="AO54" i="22"/>
  <c r="AQ51" i="22" l="1"/>
  <c r="AR25" i="22"/>
  <c r="AO23" i="22"/>
  <c r="AR9" i="22"/>
  <c r="AO9" i="22"/>
  <c r="AR90" i="22"/>
  <c r="AR35" i="22"/>
  <c r="AO98" i="22"/>
  <c r="AO33" i="22"/>
  <c r="AR19" i="22"/>
  <c r="AR47" i="22"/>
  <c r="AR51" i="22"/>
  <c r="AO51" i="22"/>
  <c r="AR49" i="22"/>
  <c r="AR103" i="22"/>
  <c r="AR94" i="22"/>
  <c r="AR43" i="22"/>
  <c r="AR93" i="22"/>
  <c r="AR31" i="22"/>
  <c r="AR92" i="22"/>
  <c r="AO67" i="22"/>
  <c r="AR11" i="22"/>
  <c r="AR32" i="22"/>
  <c r="AR18" i="22"/>
  <c r="AR37" i="22"/>
  <c r="AO44" i="22"/>
  <c r="AO89" i="22"/>
  <c r="AR58" i="22"/>
  <c r="AR53" i="22"/>
  <c r="AR99" i="22"/>
  <c r="AR73" i="22"/>
  <c r="AR86" i="22"/>
  <c r="AR21" i="22"/>
  <c r="AO75" i="22"/>
  <c r="AR72" i="22"/>
  <c r="AR14" i="22"/>
  <c r="AO96" i="22"/>
  <c r="AR80" i="22"/>
  <c r="AR85" i="22"/>
  <c r="AR87" i="22"/>
  <c r="AO100" i="22"/>
  <c r="AR55" i="22"/>
  <c r="AO84" i="22"/>
  <c r="AR30" i="22"/>
  <c r="AR57" i="22"/>
  <c r="AR77" i="22"/>
  <c r="AO81" i="22"/>
  <c r="AR71" i="22"/>
  <c r="AO82" i="22"/>
  <c r="AR46" i="22"/>
  <c r="AR6" i="22"/>
  <c r="AR63" i="22"/>
  <c r="AR65" i="22"/>
  <c r="AR62" i="22"/>
  <c r="AR70" i="22"/>
  <c r="AR78" i="22"/>
  <c r="AR79" i="22"/>
  <c r="AO76" i="22"/>
  <c r="AO68" i="22"/>
  <c r="AH3" i="16" l="1"/>
  <c r="P3" i="16"/>
  <c r="Q3" i="16" s="1"/>
  <c r="N13" i="16"/>
  <c r="P13" i="16" s="1"/>
  <c r="Q13" i="16" s="1"/>
  <c r="K11" i="16"/>
  <c r="N11" i="16" s="1"/>
  <c r="P11" i="16" l="1"/>
  <c r="Q11" i="16" s="1"/>
  <c r="D12" i="16"/>
  <c r="Y90" i="17" l="1"/>
  <c r="X82" i="17"/>
  <c r="Y80" i="17"/>
  <c r="Y79" i="17"/>
  <c r="Y78" i="17"/>
  <c r="Y77" i="17"/>
  <c r="Y75" i="17"/>
  <c r="Y71" i="17"/>
  <c r="X71" i="17"/>
  <c r="Y70" i="17"/>
  <c r="Y22" i="16"/>
  <c r="Y21" i="16"/>
  <c r="Y18" i="16"/>
  <c r="Y13" i="16"/>
  <c r="Y12" i="16"/>
  <c r="Y11" i="16"/>
  <c r="Y9" i="16"/>
  <c r="Y5" i="16"/>
  <c r="Y4" i="16"/>
  <c r="X19" i="16"/>
  <c r="X18" i="16"/>
  <c r="X17" i="16"/>
  <c r="F14" i="18"/>
  <c r="X79" i="17" s="1"/>
  <c r="F13" i="18"/>
  <c r="X12" i="16" s="1"/>
  <c r="F12" i="18"/>
  <c r="X77" i="17" s="1"/>
  <c r="F10" i="18"/>
  <c r="X75" i="17" s="1"/>
  <c r="F5" i="18"/>
  <c r="F6" i="18" s="1"/>
  <c r="X5" i="16" s="1"/>
  <c r="O5" i="18"/>
  <c r="N6" i="18"/>
  <c r="O6" i="18"/>
  <c r="N7" i="18"/>
  <c r="O7" i="18"/>
  <c r="N8" i="18"/>
  <c r="O8" i="18"/>
  <c r="N9" i="18"/>
  <c r="O9" i="18"/>
  <c r="N10" i="18"/>
  <c r="O10" i="18"/>
  <c r="N11" i="18"/>
  <c r="O11" i="18"/>
  <c r="N12" i="18"/>
  <c r="O12" i="18"/>
  <c r="N13" i="18"/>
  <c r="O13" i="18"/>
  <c r="N14" i="18"/>
  <c r="O14" i="18"/>
  <c r="N15" i="18"/>
  <c r="O15" i="18"/>
  <c r="N16" i="18"/>
  <c r="O16" i="18"/>
  <c r="N17" i="18"/>
  <c r="O17" i="18"/>
  <c r="N18" i="18"/>
  <c r="O18" i="18"/>
  <c r="N19" i="18"/>
  <c r="O19" i="18"/>
  <c r="N20" i="18"/>
  <c r="O20" i="18"/>
  <c r="N21" i="18"/>
  <c r="O21" i="18"/>
  <c r="N22" i="18"/>
  <c r="O22" i="18"/>
  <c r="N23" i="18"/>
  <c r="O23" i="18"/>
  <c r="N24" i="18"/>
  <c r="O24" i="18"/>
  <c r="N25" i="18"/>
  <c r="O25" i="18"/>
  <c r="N26" i="18"/>
  <c r="O26" i="18"/>
  <c r="N27" i="18"/>
  <c r="O27" i="18"/>
  <c r="N28" i="18"/>
  <c r="O28" i="18"/>
  <c r="N29" i="18"/>
  <c r="O29" i="18"/>
  <c r="N30" i="18"/>
  <c r="O30" i="18"/>
  <c r="N31" i="18"/>
  <c r="O31" i="18"/>
  <c r="N32" i="18"/>
  <c r="O32" i="18"/>
  <c r="N33" i="18"/>
  <c r="O33" i="18"/>
  <c r="N34" i="18"/>
  <c r="O34" i="18"/>
  <c r="N35" i="18"/>
  <c r="O35" i="18"/>
  <c r="N36" i="18"/>
  <c r="O36" i="18"/>
  <c r="N37" i="18"/>
  <c r="O37" i="18"/>
  <c r="N38" i="18"/>
  <c r="O38" i="18"/>
  <c r="N39" i="18"/>
  <c r="O39" i="18"/>
  <c r="N40" i="18"/>
  <c r="O40" i="18"/>
  <c r="N41" i="18"/>
  <c r="O41" i="18"/>
  <c r="N42" i="18"/>
  <c r="O42" i="18"/>
  <c r="N43" i="18"/>
  <c r="O43" i="18"/>
  <c r="N44" i="18"/>
  <c r="O44" i="18"/>
  <c r="N45" i="18"/>
  <c r="O45" i="18"/>
  <c r="N46" i="18"/>
  <c r="O46" i="18"/>
  <c r="N47" i="18"/>
  <c r="O47" i="18"/>
  <c r="N48" i="18"/>
  <c r="O48" i="18"/>
  <c r="N49" i="18"/>
  <c r="O49" i="18"/>
  <c r="N50" i="18"/>
  <c r="O50" i="18"/>
  <c r="N51" i="18"/>
  <c r="O51" i="18"/>
  <c r="N52" i="18"/>
  <c r="O52" i="18"/>
  <c r="N53" i="18"/>
  <c r="O53" i="18"/>
  <c r="N54" i="18"/>
  <c r="O54" i="18"/>
  <c r="N55" i="18"/>
  <c r="O55" i="18"/>
  <c r="N56" i="18"/>
  <c r="O56" i="18"/>
  <c r="N57" i="18"/>
  <c r="O57" i="18"/>
  <c r="N58" i="18"/>
  <c r="O58" i="18"/>
  <c r="N59" i="18"/>
  <c r="O59" i="18"/>
  <c r="N60" i="18"/>
  <c r="O60" i="18"/>
  <c r="N61" i="18"/>
  <c r="O61" i="18"/>
  <c r="N62" i="18"/>
  <c r="O62" i="18"/>
  <c r="N63" i="18"/>
  <c r="O63" i="18"/>
  <c r="N64" i="18"/>
  <c r="O64" i="18"/>
  <c r="N65" i="18"/>
  <c r="O65" i="18"/>
  <c r="N66" i="18"/>
  <c r="O66" i="18"/>
  <c r="N67" i="18"/>
  <c r="O67" i="18"/>
  <c r="N68" i="18"/>
  <c r="O68" i="18"/>
  <c r="N69" i="18"/>
  <c r="O69" i="18"/>
  <c r="N70" i="18"/>
  <c r="O70" i="18"/>
  <c r="N71" i="18"/>
  <c r="O71" i="18"/>
  <c r="N72" i="18"/>
  <c r="O72" i="18"/>
  <c r="N73" i="18"/>
  <c r="O73" i="18"/>
  <c r="N74" i="18"/>
  <c r="O74" i="18"/>
  <c r="N75" i="18"/>
  <c r="O75" i="18"/>
  <c r="N76" i="18"/>
  <c r="O76" i="18"/>
  <c r="N77" i="18"/>
  <c r="O77" i="18"/>
  <c r="N78" i="18"/>
  <c r="O78" i="18"/>
  <c r="N79" i="18"/>
  <c r="O79" i="18"/>
  <c r="N80" i="18"/>
  <c r="O80" i="18"/>
  <c r="N81" i="18"/>
  <c r="O81" i="18"/>
  <c r="N82" i="18"/>
  <c r="O82" i="18"/>
  <c r="N83" i="18"/>
  <c r="O83" i="18"/>
  <c r="N84" i="18"/>
  <c r="O84" i="18"/>
  <c r="N85" i="18"/>
  <c r="O85" i="18"/>
  <c r="N86" i="18"/>
  <c r="O86" i="18"/>
  <c r="N87" i="18"/>
  <c r="O87" i="18"/>
  <c r="N88" i="18"/>
  <c r="O88" i="18"/>
  <c r="N89" i="18"/>
  <c r="O89" i="18"/>
  <c r="N90" i="18"/>
  <c r="O90" i="18"/>
  <c r="N91" i="18"/>
  <c r="O91" i="18"/>
  <c r="N92" i="18"/>
  <c r="O92" i="18"/>
  <c r="N93" i="18"/>
  <c r="O93" i="18"/>
  <c r="N94" i="18"/>
  <c r="O94" i="18"/>
  <c r="N95" i="18"/>
  <c r="O95" i="18"/>
  <c r="N96" i="18"/>
  <c r="O96" i="18"/>
  <c r="N97" i="18"/>
  <c r="O97" i="18"/>
  <c r="N98" i="18"/>
  <c r="O98" i="18"/>
  <c r="N99" i="18"/>
  <c r="O99" i="18"/>
  <c r="N100" i="18"/>
  <c r="O100" i="18"/>
  <c r="N101" i="18"/>
  <c r="O101" i="18"/>
  <c r="N102" i="18"/>
  <c r="O102" i="18"/>
  <c r="N103" i="18"/>
  <c r="O103" i="18"/>
  <c r="N104" i="18"/>
  <c r="O104" i="18"/>
  <c r="N105" i="18"/>
  <c r="O105" i="18"/>
  <c r="N106" i="18"/>
  <c r="O106" i="18"/>
  <c r="N107" i="18"/>
  <c r="O107" i="18"/>
  <c r="N108" i="18"/>
  <c r="O108" i="18"/>
  <c r="N109" i="18"/>
  <c r="F27" i="18" s="1"/>
  <c r="X92" i="17" s="1"/>
  <c r="O109" i="18"/>
  <c r="G27" i="18" s="1"/>
  <c r="Y92" i="17" s="1"/>
  <c r="N110" i="18"/>
  <c r="F26" i="18" s="1"/>
  <c r="X91" i="17" s="1"/>
  <c r="O110" i="18"/>
  <c r="G26" i="18" s="1"/>
  <c r="Y91" i="17" s="1"/>
  <c r="N111" i="18"/>
  <c r="O111" i="18"/>
  <c r="N112" i="18"/>
  <c r="F25" i="18" s="1"/>
  <c r="X24" i="16" s="1"/>
  <c r="O112" i="18"/>
  <c r="G25" i="18" s="1"/>
  <c r="Y24" i="16" s="1"/>
  <c r="N113" i="18"/>
  <c r="F24" i="18" s="1"/>
  <c r="X89" i="17" s="1"/>
  <c r="O113" i="18"/>
  <c r="G24" i="18" s="1"/>
  <c r="Y89" i="17" s="1"/>
  <c r="N114" i="18"/>
  <c r="F23" i="18" s="1"/>
  <c r="X88" i="17" s="1"/>
  <c r="O114" i="18"/>
  <c r="G23" i="18" s="1"/>
  <c r="Y88" i="17" s="1"/>
  <c r="N115" i="18"/>
  <c r="F22" i="18" s="1"/>
  <c r="X87" i="17" s="1"/>
  <c r="O115" i="18"/>
  <c r="G22" i="18" s="1"/>
  <c r="Y87" i="17" s="1"/>
  <c r="N116" i="18"/>
  <c r="F21" i="18" s="1"/>
  <c r="X20" i="16" s="1"/>
  <c r="O116" i="18"/>
  <c r="G21" i="18" s="1"/>
  <c r="Y86" i="17" s="1"/>
  <c r="N117" i="18"/>
  <c r="F20" i="18" s="1"/>
  <c r="X85" i="17" s="1"/>
  <c r="O117" i="18"/>
  <c r="G20" i="18" s="1"/>
  <c r="Y19" i="16" s="1"/>
  <c r="N118" i="18"/>
  <c r="O118" i="18"/>
  <c r="N119" i="18"/>
  <c r="F19" i="18" s="1"/>
  <c r="X84" i="17" s="1"/>
  <c r="O119" i="18"/>
  <c r="G19" i="18" s="1"/>
  <c r="Y84" i="17" s="1"/>
  <c r="N120" i="18"/>
  <c r="F18" i="18" s="1"/>
  <c r="X83" i="17" s="1"/>
  <c r="O120" i="18"/>
  <c r="G18" i="18" s="1"/>
  <c r="Y83" i="17" s="1"/>
  <c r="N121" i="18"/>
  <c r="O121" i="18"/>
  <c r="N122" i="18"/>
  <c r="F17" i="18" s="1"/>
  <c r="X16" i="16" s="1"/>
  <c r="O122" i="18"/>
  <c r="G17" i="18" s="1"/>
  <c r="Y16" i="16" s="1"/>
  <c r="N123" i="18"/>
  <c r="O123" i="18"/>
  <c r="N124" i="18"/>
  <c r="O124" i="18"/>
  <c r="N125" i="18"/>
  <c r="F16" i="18" s="1"/>
  <c r="X81" i="17" s="1"/>
  <c r="O125" i="18"/>
  <c r="G16" i="18" s="1"/>
  <c r="Y81" i="17" s="1"/>
  <c r="N126" i="18"/>
  <c r="O126" i="18"/>
  <c r="N127" i="18"/>
  <c r="O127" i="18"/>
  <c r="N128" i="18"/>
  <c r="F15" i="18" s="1"/>
  <c r="X14" i="16" s="1"/>
  <c r="O128" i="18"/>
  <c r="G15" i="18" s="1"/>
  <c r="Y14" i="16" s="1"/>
  <c r="N129" i="18"/>
  <c r="O129" i="18"/>
  <c r="N130" i="18"/>
  <c r="O130" i="18"/>
  <c r="N131" i="18"/>
  <c r="O131" i="18"/>
  <c r="N132" i="18"/>
  <c r="O132" i="18"/>
  <c r="N133" i="18"/>
  <c r="O133" i="18"/>
  <c r="N134" i="18"/>
  <c r="O134" i="18"/>
  <c r="N135" i="18"/>
  <c r="O135" i="18"/>
  <c r="N136" i="18"/>
  <c r="O136" i="18"/>
  <c r="N137" i="18"/>
  <c r="O137" i="18"/>
  <c r="N138" i="18"/>
  <c r="O138" i="18"/>
  <c r="N139" i="18"/>
  <c r="O139" i="18"/>
  <c r="N140" i="18"/>
  <c r="O140" i="18"/>
  <c r="N141" i="18"/>
  <c r="F11" i="18" s="1"/>
  <c r="X10" i="16" s="1"/>
  <c r="O141" i="18"/>
  <c r="G11" i="18" s="1"/>
  <c r="Y10" i="16" s="1"/>
  <c r="N142" i="18"/>
  <c r="O142" i="18"/>
  <c r="N143" i="18"/>
  <c r="O143" i="18"/>
  <c r="N144" i="18"/>
  <c r="F9" i="18" s="1"/>
  <c r="X74" i="17" s="1"/>
  <c r="O144" i="18"/>
  <c r="G9" i="18" s="1"/>
  <c r="Y74" i="17" s="1"/>
  <c r="N145" i="18"/>
  <c r="F8" i="18" s="1"/>
  <c r="X7" i="16" s="1"/>
  <c r="O145" i="18"/>
  <c r="G8" i="18" s="1"/>
  <c r="Y7" i="16" s="1"/>
  <c r="N146" i="18"/>
  <c r="F7" i="18" s="1"/>
  <c r="X6" i="16" s="1"/>
  <c r="O146" i="18"/>
  <c r="G7" i="18" s="1"/>
  <c r="Y72" i="17" s="1"/>
  <c r="N147" i="18"/>
  <c r="O147" i="18"/>
  <c r="N148" i="18"/>
  <c r="O148" i="18"/>
  <c r="N149" i="18"/>
  <c r="O149" i="18"/>
  <c r="N150" i="18"/>
  <c r="F4" i="18" s="1"/>
  <c r="X69" i="17" s="1"/>
  <c r="O150" i="18"/>
  <c r="G4" i="18" s="1"/>
  <c r="Y69" i="17" s="1"/>
  <c r="N151" i="18"/>
  <c r="O151" i="18"/>
  <c r="N152" i="18"/>
  <c r="O152" i="18"/>
  <c r="N153" i="18"/>
  <c r="O153" i="18"/>
  <c r="N154" i="18"/>
  <c r="O154" i="18"/>
  <c r="N155" i="18"/>
  <c r="O155" i="18"/>
  <c r="N156" i="18"/>
  <c r="O156" i="18"/>
  <c r="N157" i="18"/>
  <c r="O157" i="18"/>
  <c r="N158" i="18"/>
  <c r="O158" i="18"/>
  <c r="N159" i="18"/>
  <c r="O159" i="18"/>
  <c r="N160" i="18"/>
  <c r="O160" i="18"/>
  <c r="N161" i="18"/>
  <c r="O161" i="18"/>
  <c r="N162" i="18"/>
  <c r="O162" i="18"/>
  <c r="N163" i="18"/>
  <c r="O163" i="18"/>
  <c r="N164" i="18"/>
  <c r="O164" i="18"/>
  <c r="N165" i="18"/>
  <c r="O165" i="18"/>
  <c r="N166" i="18"/>
  <c r="O166" i="18"/>
  <c r="N167" i="18"/>
  <c r="O167" i="18"/>
  <c r="N168" i="18"/>
  <c r="O168" i="18"/>
  <c r="N169" i="18"/>
  <c r="O169" i="18"/>
  <c r="N170" i="18"/>
  <c r="O170" i="18"/>
  <c r="N171" i="18"/>
  <c r="O171" i="18"/>
  <c r="N172" i="18"/>
  <c r="O172" i="18"/>
  <c r="N173" i="18"/>
  <c r="O173" i="18"/>
  <c r="N174" i="18"/>
  <c r="O174" i="18"/>
  <c r="N175" i="18"/>
  <c r="O175" i="18"/>
  <c r="N176" i="18"/>
  <c r="O176" i="18"/>
  <c r="X21" i="16" l="1"/>
  <c r="Y26" i="16"/>
  <c r="Y85" i="17"/>
  <c r="Y8" i="16"/>
  <c r="X73" i="17"/>
  <c r="Y73" i="17"/>
  <c r="X3" i="16"/>
  <c r="X4" i="16"/>
  <c r="X78" i="17"/>
  <c r="X13" i="16"/>
  <c r="Y17" i="16"/>
  <c r="X9" i="16"/>
  <c r="X23" i="16"/>
  <c r="X76" i="17"/>
  <c r="X90" i="17"/>
  <c r="Y3" i="16"/>
  <c r="X80" i="17"/>
  <c r="Y76" i="17"/>
  <c r="X11" i="16"/>
  <c r="X25" i="16"/>
  <c r="Y15" i="16"/>
  <c r="X70" i="17"/>
  <c r="Y25" i="16"/>
  <c r="X8" i="16"/>
  <c r="X22" i="16"/>
  <c r="Y82" i="17"/>
  <c r="X26" i="16"/>
  <c r="X86" i="17"/>
  <c r="X15" i="16"/>
  <c r="X72" i="17"/>
  <c r="Y6" i="16"/>
  <c r="Y20" i="16"/>
  <c r="Y23" i="16"/>
  <c r="M4" i="16"/>
  <c r="M5" i="16"/>
  <c r="M6" i="16"/>
  <c r="M7" i="16"/>
  <c r="M8" i="16"/>
  <c r="M9" i="16"/>
  <c r="M10" i="16"/>
  <c r="M11" i="16"/>
  <c r="M12" i="16"/>
  <c r="M13" i="16"/>
  <c r="M14" i="16"/>
  <c r="M15" i="16"/>
  <c r="M16" i="16"/>
  <c r="M17" i="16"/>
  <c r="M18" i="16"/>
  <c r="M19" i="16"/>
  <c r="M20" i="16"/>
  <c r="M21" i="16"/>
  <c r="M22" i="16"/>
  <c r="M23" i="16"/>
  <c r="M24" i="16"/>
  <c r="M25" i="16"/>
  <c r="M26" i="16"/>
  <c r="M3" i="16"/>
  <c r="P4" i="16"/>
  <c r="P5" i="16"/>
  <c r="P14" i="16"/>
  <c r="P17" i="16"/>
  <c r="P18" i="16"/>
  <c r="P25" i="16"/>
  <c r="P26" i="16"/>
  <c r="P27" i="16"/>
  <c r="P28" i="16"/>
  <c r="P29" i="16"/>
  <c r="P30" i="16"/>
  <c r="P31" i="16"/>
  <c r="P32" i="16"/>
  <c r="P33" i="16"/>
  <c r="P34" i="16"/>
  <c r="P35" i="16"/>
  <c r="P36" i="16"/>
  <c r="P37" i="16"/>
  <c r="P38" i="16"/>
  <c r="P39" i="16"/>
  <c r="P40" i="16"/>
  <c r="P41" i="16"/>
  <c r="P42" i="16"/>
  <c r="P43" i="16"/>
  <c r="P44" i="16"/>
  <c r="P45" i="16"/>
  <c r="P46" i="16"/>
  <c r="P47" i="16"/>
  <c r="P48" i="16"/>
  <c r="P49" i="16"/>
  <c r="P50" i="16"/>
  <c r="P51" i="16"/>
  <c r="P52" i="16"/>
  <c r="P53" i="16"/>
  <c r="P54" i="16"/>
  <c r="P55" i="16"/>
  <c r="P56" i="16"/>
  <c r="P57" i="16"/>
  <c r="P58" i="16"/>
  <c r="P59" i="16"/>
  <c r="P60" i="16"/>
  <c r="P61" i="16"/>
  <c r="P62" i="16"/>
  <c r="P63" i="16"/>
  <c r="P64" i="16"/>
  <c r="P65" i="16"/>
  <c r="P66" i="16"/>
  <c r="P67" i="16"/>
  <c r="P68" i="16"/>
  <c r="P69" i="16"/>
  <c r="P70" i="16"/>
  <c r="P71" i="16"/>
  <c r="P72" i="16"/>
  <c r="P73" i="16"/>
  <c r="P74" i="16"/>
  <c r="P75" i="16"/>
  <c r="P76" i="16"/>
  <c r="P77" i="16"/>
  <c r="P78" i="16"/>
  <c r="P79" i="16"/>
  <c r="P80" i="16"/>
  <c r="P81" i="16"/>
  <c r="P82" i="16"/>
  <c r="P83" i="16"/>
  <c r="P84" i="16"/>
  <c r="P85" i="16"/>
  <c r="P86" i="16"/>
  <c r="P87" i="16"/>
  <c r="P88" i="16"/>
  <c r="P89" i="16"/>
  <c r="P90" i="16"/>
  <c r="P91" i="16"/>
  <c r="L69" i="17" l="1"/>
  <c r="N73" i="17"/>
  <c r="N74" i="17"/>
  <c r="N75" i="17"/>
  <c r="N76" i="17"/>
  <c r="N77" i="17"/>
  <c r="N78" i="17"/>
  <c r="N79" i="17"/>
  <c r="N81" i="17"/>
  <c r="N86" i="17"/>
  <c r="N87" i="17"/>
  <c r="N89" i="17"/>
  <c r="N90" i="17"/>
  <c r="N91" i="17"/>
  <c r="L89" i="17"/>
  <c r="L82" i="17"/>
  <c r="L81" i="17"/>
  <c r="L80" i="17"/>
  <c r="L79" i="17"/>
  <c r="L75" i="17"/>
  <c r="L70" i="17"/>
  <c r="L71" i="17"/>
  <c r="L72" i="17"/>
  <c r="L73" i="17"/>
  <c r="L74" i="17"/>
  <c r="L76" i="17"/>
  <c r="L77" i="17"/>
  <c r="L78" i="17"/>
  <c r="L83" i="17"/>
  <c r="L84" i="17"/>
  <c r="L85" i="17"/>
  <c r="L86" i="17"/>
  <c r="L87" i="17"/>
  <c r="L88" i="17"/>
  <c r="L90" i="17"/>
  <c r="L91" i="17"/>
  <c r="L92" i="17"/>
  <c r="D91" i="17" l="1"/>
  <c r="M70" i="17"/>
  <c r="M71" i="17"/>
  <c r="M72" i="17"/>
  <c r="N72" i="17" s="1"/>
  <c r="M73" i="17"/>
  <c r="M74" i="17"/>
  <c r="M75" i="17"/>
  <c r="M76" i="17"/>
  <c r="M77" i="17"/>
  <c r="M78" i="17"/>
  <c r="M79" i="17"/>
  <c r="M80" i="17"/>
  <c r="M81" i="17"/>
  <c r="M82" i="17"/>
  <c r="M83" i="17"/>
  <c r="M84" i="17"/>
  <c r="M85" i="17"/>
  <c r="M86" i="17"/>
  <c r="P86" i="17" s="1"/>
  <c r="M87" i="17"/>
  <c r="M88" i="17"/>
  <c r="M89" i="17"/>
  <c r="M90" i="17"/>
  <c r="M91" i="17"/>
  <c r="M92" i="17"/>
  <c r="R71" i="17"/>
  <c r="Q4" i="16"/>
  <c r="Q5" i="16"/>
  <c r="Q14" i="16"/>
  <c r="Q17" i="16"/>
  <c r="Q25" i="16"/>
  <c r="Q26" i="16"/>
  <c r="Q18" i="16"/>
  <c r="K26" i="16"/>
  <c r="O3" i="16" l="1"/>
  <c r="R3" i="16" s="1"/>
  <c r="N12" i="16"/>
  <c r="N9" i="16"/>
  <c r="N7" i="16"/>
  <c r="K3" i="16"/>
  <c r="P7" i="16" l="1"/>
  <c r="Q7" i="16" s="1"/>
  <c r="P12" i="16"/>
  <c r="Q12" i="16" s="1"/>
  <c r="P9" i="16"/>
  <c r="Q9" i="16" s="1"/>
  <c r="O26" i="16"/>
  <c r="J1" i="16"/>
  <c r="N6" i="16"/>
  <c r="M69" i="17"/>
  <c r="P70" i="17"/>
  <c r="Q70" i="17" s="1"/>
  <c r="P71" i="17"/>
  <c r="Q71" i="17" s="1"/>
  <c r="P77" i="17"/>
  <c r="Q77" i="17" s="1"/>
  <c r="P80" i="17"/>
  <c r="Q80" i="17" s="1"/>
  <c r="R82" i="17"/>
  <c r="R83" i="17"/>
  <c r="P84" i="17"/>
  <c r="Q84" i="17" s="1"/>
  <c r="P88" i="17"/>
  <c r="Q88" i="17" s="1"/>
  <c r="R91" i="17"/>
  <c r="P92" i="17"/>
  <c r="Q92" i="17" s="1"/>
  <c r="R69" i="17"/>
  <c r="P90" i="17"/>
  <c r="Q90" i="17" s="1"/>
  <c r="P89" i="17"/>
  <c r="Q89" i="17" s="1"/>
  <c r="P87" i="17"/>
  <c r="Q87" i="17" s="1"/>
  <c r="Q86" i="17"/>
  <c r="P75" i="17"/>
  <c r="Q75" i="17" s="1"/>
  <c r="P74" i="17"/>
  <c r="Q74" i="17" s="1"/>
  <c r="P73" i="17"/>
  <c r="Q73" i="17" s="1"/>
  <c r="P72" i="17"/>
  <c r="Q72" i="17" s="1"/>
  <c r="D69" i="17"/>
  <c r="E69" i="17"/>
  <c r="F69" i="17"/>
  <c r="D70" i="17"/>
  <c r="E70" i="17"/>
  <c r="F70" i="17"/>
  <c r="D71" i="17"/>
  <c r="E71" i="17"/>
  <c r="F71" i="17"/>
  <c r="D72" i="17"/>
  <c r="E72" i="17"/>
  <c r="F72" i="17"/>
  <c r="D73" i="17"/>
  <c r="E73" i="17"/>
  <c r="F73" i="17"/>
  <c r="D74" i="17"/>
  <c r="E74" i="17"/>
  <c r="F74" i="17"/>
  <c r="D75" i="17"/>
  <c r="E75" i="17"/>
  <c r="F75" i="17"/>
  <c r="G75" i="17"/>
  <c r="V75" i="17" s="1"/>
  <c r="D76" i="17"/>
  <c r="E76" i="17"/>
  <c r="F76" i="17"/>
  <c r="D77" i="17"/>
  <c r="E77" i="17"/>
  <c r="F77" i="17"/>
  <c r="D78" i="17"/>
  <c r="E78" i="17"/>
  <c r="F78" i="17"/>
  <c r="D79" i="17"/>
  <c r="E79" i="17"/>
  <c r="F79" i="17"/>
  <c r="D80" i="17"/>
  <c r="E80" i="17"/>
  <c r="F80" i="17"/>
  <c r="D81" i="17"/>
  <c r="E81" i="17"/>
  <c r="F81" i="17"/>
  <c r="D82" i="17"/>
  <c r="E82" i="17"/>
  <c r="F82" i="17"/>
  <c r="D83" i="17"/>
  <c r="E83" i="17"/>
  <c r="F83" i="17"/>
  <c r="D84" i="17"/>
  <c r="E84" i="17"/>
  <c r="F84" i="17"/>
  <c r="D85" i="17"/>
  <c r="E85" i="17"/>
  <c r="F85" i="17"/>
  <c r="D86" i="17"/>
  <c r="E86" i="17"/>
  <c r="F86" i="17"/>
  <c r="D87" i="17"/>
  <c r="E87" i="17"/>
  <c r="F87" i="17"/>
  <c r="D88" i="17"/>
  <c r="E88" i="17"/>
  <c r="F88" i="17"/>
  <c r="D89" i="17"/>
  <c r="E89" i="17"/>
  <c r="F89" i="17"/>
  <c r="D90" i="17"/>
  <c r="E90" i="17"/>
  <c r="F90" i="17"/>
  <c r="E91" i="17"/>
  <c r="F91" i="17"/>
  <c r="D92" i="17"/>
  <c r="E92" i="17"/>
  <c r="F92" i="17"/>
  <c r="X68" i="17"/>
  <c r="P68" i="17"/>
  <c r="L68" i="17"/>
  <c r="G68" i="17"/>
  <c r="V68" i="17" s="1"/>
  <c r="F68" i="17"/>
  <c r="W68" i="17" s="1"/>
  <c r="E68" i="17"/>
  <c r="D68" i="17"/>
  <c r="X67" i="17"/>
  <c r="P67" i="17"/>
  <c r="L67" i="17"/>
  <c r="F67" i="17"/>
  <c r="W67" i="17" s="1"/>
  <c r="E67" i="17"/>
  <c r="D67" i="17"/>
  <c r="X66" i="17"/>
  <c r="P66" i="17"/>
  <c r="L66" i="17"/>
  <c r="G66" i="17"/>
  <c r="V66" i="17" s="1"/>
  <c r="F66" i="17"/>
  <c r="W66" i="17" s="1"/>
  <c r="E66" i="17"/>
  <c r="D66" i="17"/>
  <c r="X65" i="17"/>
  <c r="P65" i="17"/>
  <c r="L65" i="17"/>
  <c r="F65" i="17"/>
  <c r="W65" i="17" s="1"/>
  <c r="E65" i="17"/>
  <c r="D65" i="17"/>
  <c r="X64" i="17"/>
  <c r="P64" i="17"/>
  <c r="L64" i="17"/>
  <c r="F64" i="17"/>
  <c r="W64" i="17" s="1"/>
  <c r="E64" i="17"/>
  <c r="D64" i="17"/>
  <c r="X63" i="17"/>
  <c r="P63" i="17"/>
  <c r="L63" i="17"/>
  <c r="G63" i="17"/>
  <c r="V63" i="17" s="1"/>
  <c r="F63" i="17"/>
  <c r="W63" i="17" s="1"/>
  <c r="E63" i="17"/>
  <c r="D63" i="17"/>
  <c r="X62" i="17"/>
  <c r="P62" i="17"/>
  <c r="L62" i="17"/>
  <c r="F62" i="17"/>
  <c r="W62" i="17" s="1"/>
  <c r="E62" i="17"/>
  <c r="D62" i="17"/>
  <c r="X61" i="17"/>
  <c r="P61" i="17"/>
  <c r="L61" i="17"/>
  <c r="F61" i="17"/>
  <c r="W61" i="17" s="1"/>
  <c r="E61" i="17"/>
  <c r="D61" i="17"/>
  <c r="X60" i="17"/>
  <c r="P60" i="17"/>
  <c r="L60" i="17"/>
  <c r="F60" i="17"/>
  <c r="W60" i="17" s="1"/>
  <c r="E60" i="17"/>
  <c r="D60" i="17"/>
  <c r="X59" i="17"/>
  <c r="P59" i="17"/>
  <c r="L59" i="17"/>
  <c r="F59" i="17"/>
  <c r="W59" i="17" s="1"/>
  <c r="E59" i="17"/>
  <c r="D59" i="17"/>
  <c r="X58" i="17"/>
  <c r="P58" i="17"/>
  <c r="L58" i="17"/>
  <c r="F58" i="17"/>
  <c r="W58" i="17" s="1"/>
  <c r="E58" i="17"/>
  <c r="D58" i="17"/>
  <c r="X57" i="17"/>
  <c r="P57" i="17"/>
  <c r="L57" i="17"/>
  <c r="F57" i="17"/>
  <c r="W57" i="17" s="1"/>
  <c r="E57" i="17"/>
  <c r="D57" i="17"/>
  <c r="X56" i="17"/>
  <c r="P56" i="17"/>
  <c r="L56" i="17"/>
  <c r="F56" i="17"/>
  <c r="W56" i="17" s="1"/>
  <c r="E56" i="17"/>
  <c r="D56" i="17"/>
  <c r="X55" i="17"/>
  <c r="P55" i="17"/>
  <c r="L55" i="17"/>
  <c r="F55" i="17"/>
  <c r="W55" i="17" s="1"/>
  <c r="E55" i="17"/>
  <c r="D55" i="17"/>
  <c r="X54" i="17"/>
  <c r="P54" i="17"/>
  <c r="L54" i="17"/>
  <c r="F54" i="17"/>
  <c r="W54" i="17" s="1"/>
  <c r="E54" i="17"/>
  <c r="D54" i="17"/>
  <c r="X53" i="17"/>
  <c r="P53" i="17"/>
  <c r="L53" i="17"/>
  <c r="F53" i="17"/>
  <c r="W53" i="17" s="1"/>
  <c r="E53" i="17"/>
  <c r="D53" i="17"/>
  <c r="X52" i="17"/>
  <c r="P52" i="17"/>
  <c r="L52" i="17"/>
  <c r="F52" i="17"/>
  <c r="W52" i="17" s="1"/>
  <c r="E52" i="17"/>
  <c r="D52" i="17"/>
  <c r="X51" i="17"/>
  <c r="P51" i="17"/>
  <c r="L51" i="17"/>
  <c r="F51" i="17"/>
  <c r="W51" i="17" s="1"/>
  <c r="E51" i="17"/>
  <c r="D51" i="17"/>
  <c r="X50" i="17"/>
  <c r="P50" i="17"/>
  <c r="L50" i="17"/>
  <c r="F50" i="17"/>
  <c r="W50" i="17" s="1"/>
  <c r="E50" i="17"/>
  <c r="D50" i="17"/>
  <c r="X49" i="17"/>
  <c r="P49" i="17"/>
  <c r="L49" i="17"/>
  <c r="F49" i="17"/>
  <c r="W49" i="17" s="1"/>
  <c r="E49" i="17"/>
  <c r="D49" i="17"/>
  <c r="X48" i="17"/>
  <c r="P48" i="17"/>
  <c r="L48" i="17"/>
  <c r="F48" i="17"/>
  <c r="W48" i="17" s="1"/>
  <c r="E48" i="17"/>
  <c r="D48" i="17"/>
  <c r="X47" i="17"/>
  <c r="P47" i="17"/>
  <c r="L47" i="17"/>
  <c r="F47" i="17"/>
  <c r="W47" i="17" s="1"/>
  <c r="E47" i="17"/>
  <c r="D47" i="17"/>
  <c r="X46" i="17"/>
  <c r="P46" i="17"/>
  <c r="L46" i="17"/>
  <c r="G46" i="17"/>
  <c r="V46" i="17" s="1"/>
  <c r="F46" i="17"/>
  <c r="W46" i="17" s="1"/>
  <c r="E46" i="17"/>
  <c r="D46" i="17"/>
  <c r="X45" i="17"/>
  <c r="P45" i="17"/>
  <c r="L45" i="17"/>
  <c r="F45" i="17"/>
  <c r="W45" i="17" s="1"/>
  <c r="E45" i="17"/>
  <c r="D45" i="17"/>
  <c r="X44" i="17"/>
  <c r="P44" i="17"/>
  <c r="L44" i="17"/>
  <c r="F44" i="17"/>
  <c r="W44" i="17" s="1"/>
  <c r="E44" i="17"/>
  <c r="D44" i="17"/>
  <c r="X43" i="17"/>
  <c r="P43" i="17"/>
  <c r="L43" i="17"/>
  <c r="F43" i="17"/>
  <c r="W43" i="17" s="1"/>
  <c r="E43" i="17"/>
  <c r="D43" i="17"/>
  <c r="X42" i="17"/>
  <c r="P42" i="17"/>
  <c r="L42" i="17"/>
  <c r="G42" i="17"/>
  <c r="V42" i="17" s="1"/>
  <c r="F42" i="17"/>
  <c r="W42" i="17" s="1"/>
  <c r="E42" i="17"/>
  <c r="D42" i="17"/>
  <c r="X41" i="17"/>
  <c r="P41" i="17"/>
  <c r="L41" i="17"/>
  <c r="F41" i="17"/>
  <c r="W41" i="17" s="1"/>
  <c r="E41" i="17"/>
  <c r="D41" i="17"/>
  <c r="X40" i="17"/>
  <c r="P40" i="17"/>
  <c r="L40" i="17"/>
  <c r="F40" i="17"/>
  <c r="W40" i="17" s="1"/>
  <c r="E40" i="17"/>
  <c r="D40" i="17"/>
  <c r="X39" i="17"/>
  <c r="P39" i="17"/>
  <c r="L39" i="17"/>
  <c r="F39" i="17"/>
  <c r="W39" i="17" s="1"/>
  <c r="E39" i="17"/>
  <c r="D39" i="17"/>
  <c r="X38" i="17"/>
  <c r="P38" i="17"/>
  <c r="L38" i="17"/>
  <c r="F38" i="17"/>
  <c r="W38" i="17" s="1"/>
  <c r="E38" i="17"/>
  <c r="D38" i="17"/>
  <c r="X37" i="17"/>
  <c r="P37" i="17"/>
  <c r="L37" i="17"/>
  <c r="F37" i="17"/>
  <c r="W37" i="17" s="1"/>
  <c r="E37" i="17"/>
  <c r="D37" i="17"/>
  <c r="X36" i="17"/>
  <c r="P36" i="17"/>
  <c r="L36" i="17"/>
  <c r="F36" i="17"/>
  <c r="W36" i="17" s="1"/>
  <c r="E36" i="17"/>
  <c r="D36" i="17"/>
  <c r="X35" i="17"/>
  <c r="P35" i="17"/>
  <c r="L35" i="17"/>
  <c r="F35" i="17"/>
  <c r="W35" i="17" s="1"/>
  <c r="E35" i="17"/>
  <c r="D35" i="17"/>
  <c r="X34" i="17"/>
  <c r="P34" i="17"/>
  <c r="L34" i="17"/>
  <c r="F34" i="17"/>
  <c r="W34" i="17" s="1"/>
  <c r="E34" i="17"/>
  <c r="D34" i="17"/>
  <c r="X33" i="17"/>
  <c r="P33" i="17"/>
  <c r="L33" i="17"/>
  <c r="G33" i="17"/>
  <c r="F33" i="17"/>
  <c r="W33" i="17" s="1"/>
  <c r="E33" i="17"/>
  <c r="D33" i="17"/>
  <c r="X32" i="17"/>
  <c r="P32" i="17"/>
  <c r="L32" i="17"/>
  <c r="F32" i="17"/>
  <c r="W32" i="17" s="1"/>
  <c r="E32" i="17"/>
  <c r="D32" i="17"/>
  <c r="X31" i="17"/>
  <c r="P31" i="17"/>
  <c r="L31" i="17"/>
  <c r="F31" i="17"/>
  <c r="W31" i="17" s="1"/>
  <c r="E31" i="17"/>
  <c r="D31" i="17"/>
  <c r="X30" i="17"/>
  <c r="P30" i="17"/>
  <c r="L30" i="17"/>
  <c r="G30" i="17"/>
  <c r="V30" i="17" s="1"/>
  <c r="F30" i="17"/>
  <c r="W30" i="17" s="1"/>
  <c r="E30" i="17"/>
  <c r="D30" i="17"/>
  <c r="X29" i="17"/>
  <c r="P29" i="17"/>
  <c r="L29" i="17"/>
  <c r="F29" i="17"/>
  <c r="W29" i="17" s="1"/>
  <c r="E29" i="17"/>
  <c r="D29" i="17"/>
  <c r="X28" i="17"/>
  <c r="P28" i="17"/>
  <c r="L28" i="17"/>
  <c r="F28" i="17"/>
  <c r="W28" i="17" s="1"/>
  <c r="E28" i="17"/>
  <c r="D28" i="17"/>
  <c r="X27" i="17"/>
  <c r="P27" i="17"/>
  <c r="L27" i="17"/>
  <c r="F27" i="17"/>
  <c r="W27" i="17" s="1"/>
  <c r="E27" i="17"/>
  <c r="D27" i="17"/>
  <c r="X26" i="17"/>
  <c r="P26" i="17"/>
  <c r="L26" i="17"/>
  <c r="F26" i="17"/>
  <c r="W26" i="17" s="1"/>
  <c r="E26" i="17"/>
  <c r="D26" i="17"/>
  <c r="X25" i="17"/>
  <c r="P25" i="17"/>
  <c r="L25" i="17"/>
  <c r="F25" i="17"/>
  <c r="W25" i="17" s="1"/>
  <c r="E25" i="17"/>
  <c r="D25" i="17"/>
  <c r="X24" i="17"/>
  <c r="P24" i="17"/>
  <c r="L24" i="17"/>
  <c r="F24" i="17"/>
  <c r="W24" i="17" s="1"/>
  <c r="E24" i="17"/>
  <c r="D24" i="17"/>
  <c r="X23" i="17"/>
  <c r="P23" i="17"/>
  <c r="L23" i="17"/>
  <c r="F23" i="17"/>
  <c r="W23" i="17" s="1"/>
  <c r="E23" i="17"/>
  <c r="D23" i="17"/>
  <c r="X22" i="17"/>
  <c r="P22" i="17"/>
  <c r="L22" i="17"/>
  <c r="F22" i="17"/>
  <c r="W22" i="17" s="1"/>
  <c r="E22" i="17"/>
  <c r="D22" i="17"/>
  <c r="X21" i="17"/>
  <c r="P21" i="17"/>
  <c r="L21" i="17"/>
  <c r="F21" i="17"/>
  <c r="W21" i="17" s="1"/>
  <c r="E21" i="17"/>
  <c r="D21" i="17"/>
  <c r="X20" i="17"/>
  <c r="P20" i="17"/>
  <c r="L20" i="17"/>
  <c r="F20" i="17"/>
  <c r="W20" i="17" s="1"/>
  <c r="E20" i="17"/>
  <c r="D20" i="17"/>
  <c r="X19" i="17"/>
  <c r="P19" i="17"/>
  <c r="L19" i="17"/>
  <c r="F19" i="17"/>
  <c r="W19" i="17" s="1"/>
  <c r="E19" i="17"/>
  <c r="D19" i="17"/>
  <c r="X18" i="17"/>
  <c r="P18" i="17"/>
  <c r="L18" i="17"/>
  <c r="F18" i="17"/>
  <c r="W18" i="17" s="1"/>
  <c r="E18" i="17"/>
  <c r="D18" i="17"/>
  <c r="X17" i="17"/>
  <c r="P17" i="17"/>
  <c r="L17" i="17"/>
  <c r="F17" i="17"/>
  <c r="W17" i="17" s="1"/>
  <c r="E17" i="17"/>
  <c r="D17" i="17"/>
  <c r="X16" i="17"/>
  <c r="P16" i="17"/>
  <c r="L16" i="17"/>
  <c r="F16" i="17"/>
  <c r="W16" i="17" s="1"/>
  <c r="E16" i="17"/>
  <c r="D16" i="17"/>
  <c r="X15" i="17"/>
  <c r="P15" i="17"/>
  <c r="L15" i="17"/>
  <c r="F15" i="17"/>
  <c r="W15" i="17" s="1"/>
  <c r="E15" i="17"/>
  <c r="D15" i="17"/>
  <c r="X14" i="17"/>
  <c r="P14" i="17"/>
  <c r="L14" i="17"/>
  <c r="F14" i="17"/>
  <c r="W14" i="17" s="1"/>
  <c r="E14" i="17"/>
  <c r="D14" i="17"/>
  <c r="X13" i="17"/>
  <c r="P13" i="17"/>
  <c r="L13" i="17"/>
  <c r="G13" i="17"/>
  <c r="F13" i="17"/>
  <c r="W13" i="17" s="1"/>
  <c r="E13" i="17"/>
  <c r="D13" i="17"/>
  <c r="X12" i="17"/>
  <c r="P12" i="17"/>
  <c r="L12" i="17"/>
  <c r="F12" i="17"/>
  <c r="W12" i="17" s="1"/>
  <c r="E12" i="17"/>
  <c r="D12" i="17"/>
  <c r="X11" i="17"/>
  <c r="P11" i="17"/>
  <c r="L11" i="17"/>
  <c r="F11" i="17"/>
  <c r="W11" i="17" s="1"/>
  <c r="E11" i="17"/>
  <c r="D11" i="17"/>
  <c r="X10" i="17"/>
  <c r="P10" i="17"/>
  <c r="L10" i="17"/>
  <c r="F10" i="17"/>
  <c r="W10" i="17" s="1"/>
  <c r="E10" i="17"/>
  <c r="D10" i="17"/>
  <c r="X9" i="17"/>
  <c r="P9" i="17"/>
  <c r="L9" i="17"/>
  <c r="G9" i="17"/>
  <c r="V9" i="17" s="1"/>
  <c r="F9" i="17"/>
  <c r="W9" i="17" s="1"/>
  <c r="E9" i="17"/>
  <c r="D9" i="17"/>
  <c r="X8" i="17"/>
  <c r="P8" i="17"/>
  <c r="L8" i="17"/>
  <c r="F8" i="17"/>
  <c r="W8" i="17" s="1"/>
  <c r="E8" i="17"/>
  <c r="D8" i="17"/>
  <c r="X7" i="17"/>
  <c r="P7" i="17"/>
  <c r="L7" i="17"/>
  <c r="F7" i="17"/>
  <c r="W7" i="17" s="1"/>
  <c r="E7" i="17"/>
  <c r="D7" i="17"/>
  <c r="X6" i="17"/>
  <c r="P6" i="17"/>
  <c r="L6" i="17"/>
  <c r="F6" i="17"/>
  <c r="W6" i="17" s="1"/>
  <c r="E6" i="17"/>
  <c r="D6" i="17"/>
  <c r="X5" i="17"/>
  <c r="P5" i="17"/>
  <c r="L5" i="17"/>
  <c r="F5" i="17"/>
  <c r="W5" i="17" s="1"/>
  <c r="E5" i="17"/>
  <c r="D5" i="17"/>
  <c r="X4" i="17"/>
  <c r="P4" i="17"/>
  <c r="L4" i="17"/>
  <c r="F4" i="17"/>
  <c r="W4" i="17" s="1"/>
  <c r="E4" i="17"/>
  <c r="D4" i="17"/>
  <c r="X3" i="17"/>
  <c r="P3" i="17"/>
  <c r="L3" i="17"/>
  <c r="F3" i="17"/>
  <c r="W3" i="17" s="1"/>
  <c r="E3" i="17"/>
  <c r="D3" i="17"/>
  <c r="P92" i="16"/>
  <c r="K4" i="16"/>
  <c r="K5" i="16"/>
  <c r="K6" i="16"/>
  <c r="K7" i="16"/>
  <c r="K8" i="16"/>
  <c r="K9" i="16"/>
  <c r="K10" i="16"/>
  <c r="K12" i="16"/>
  <c r="K13" i="16"/>
  <c r="K14" i="16"/>
  <c r="K15" i="16"/>
  <c r="K16" i="16"/>
  <c r="K17" i="16"/>
  <c r="K18" i="16"/>
  <c r="K19" i="16"/>
  <c r="K20" i="16"/>
  <c r="K21" i="16"/>
  <c r="K22" i="16"/>
  <c r="N22" i="16" s="1"/>
  <c r="P22" i="16" s="1"/>
  <c r="K23" i="16"/>
  <c r="K24" i="16"/>
  <c r="K25" i="16"/>
  <c r="K27" i="16"/>
  <c r="K28" i="16"/>
  <c r="K29" i="16"/>
  <c r="K30" i="16"/>
  <c r="K31" i="16"/>
  <c r="K32" i="16"/>
  <c r="K33" i="16"/>
  <c r="K34" i="16"/>
  <c r="K35" i="16"/>
  <c r="K36" i="16"/>
  <c r="K37" i="16"/>
  <c r="K38" i="16"/>
  <c r="K39" i="16"/>
  <c r="K40" i="16"/>
  <c r="K41" i="16"/>
  <c r="K42" i="16"/>
  <c r="K43" i="16"/>
  <c r="K44" i="16"/>
  <c r="K45" i="16"/>
  <c r="K46" i="16"/>
  <c r="K47" i="16"/>
  <c r="K48" i="16"/>
  <c r="K49" i="16"/>
  <c r="K50" i="16"/>
  <c r="K51" i="16"/>
  <c r="K52" i="16"/>
  <c r="K53" i="16"/>
  <c r="K54" i="16"/>
  <c r="K55" i="16"/>
  <c r="K56" i="16"/>
  <c r="K57" i="16"/>
  <c r="K58" i="16"/>
  <c r="K59" i="16"/>
  <c r="K60" i="16"/>
  <c r="K61" i="16"/>
  <c r="K62" i="16"/>
  <c r="K63" i="16"/>
  <c r="K64" i="16"/>
  <c r="K65" i="16"/>
  <c r="K66" i="16"/>
  <c r="K67" i="16"/>
  <c r="K68" i="16"/>
  <c r="K69" i="16"/>
  <c r="K70" i="16"/>
  <c r="K71" i="16"/>
  <c r="K72" i="16"/>
  <c r="K73" i="16"/>
  <c r="K74" i="16"/>
  <c r="K75" i="16"/>
  <c r="K76" i="16"/>
  <c r="K77" i="16"/>
  <c r="K78" i="16"/>
  <c r="K79" i="16"/>
  <c r="K80" i="16"/>
  <c r="K81" i="16"/>
  <c r="K82" i="16"/>
  <c r="K83" i="16"/>
  <c r="K84" i="16"/>
  <c r="K85" i="16"/>
  <c r="K86" i="16"/>
  <c r="K87" i="16"/>
  <c r="K88" i="16"/>
  <c r="K89" i="16"/>
  <c r="K90" i="16"/>
  <c r="K91" i="16"/>
  <c r="K92" i="16"/>
  <c r="O4" i="16"/>
  <c r="R4" i="16" s="1"/>
  <c r="O5" i="16"/>
  <c r="O14" i="16"/>
  <c r="R14" i="16" s="1"/>
  <c r="O17" i="16"/>
  <c r="R17" i="16" s="1"/>
  <c r="O18" i="16"/>
  <c r="R18" i="16" s="1"/>
  <c r="O22" i="16"/>
  <c r="R22" i="16" s="1"/>
  <c r="O25" i="16"/>
  <c r="R25" i="16" s="1"/>
  <c r="N19" i="16"/>
  <c r="D11" i="16"/>
  <c r="N8" i="16"/>
  <c r="N10" i="16"/>
  <c r="P10" i="16" s="1"/>
  <c r="N15" i="16"/>
  <c r="N20" i="16"/>
  <c r="N21" i="16"/>
  <c r="N23" i="16"/>
  <c r="N24" i="16"/>
  <c r="N27" i="16"/>
  <c r="N28" i="16"/>
  <c r="N29" i="16"/>
  <c r="N30" i="16"/>
  <c r="N31" i="16"/>
  <c r="N32" i="16"/>
  <c r="N33" i="16"/>
  <c r="N34" i="16"/>
  <c r="N35" i="16"/>
  <c r="N36" i="16"/>
  <c r="N37" i="16"/>
  <c r="N38" i="16"/>
  <c r="N39" i="16"/>
  <c r="N40" i="16"/>
  <c r="N41" i="16"/>
  <c r="N42" i="16"/>
  <c r="N43" i="16"/>
  <c r="N44" i="16"/>
  <c r="N45" i="16"/>
  <c r="N46" i="16"/>
  <c r="N47" i="16"/>
  <c r="N48" i="16"/>
  <c r="N49" i="16"/>
  <c r="N50" i="16"/>
  <c r="N51" i="16"/>
  <c r="N52" i="16"/>
  <c r="N53" i="16"/>
  <c r="N54" i="16"/>
  <c r="N55" i="16"/>
  <c r="N56" i="16"/>
  <c r="N57" i="16"/>
  <c r="N58" i="16"/>
  <c r="N59" i="16"/>
  <c r="N60" i="16"/>
  <c r="N61" i="16"/>
  <c r="N62" i="16"/>
  <c r="N63" i="16"/>
  <c r="N64" i="16"/>
  <c r="N65" i="16"/>
  <c r="N66" i="16"/>
  <c r="N67" i="16"/>
  <c r="N68" i="16"/>
  <c r="N69" i="16"/>
  <c r="N70" i="16"/>
  <c r="N71" i="16"/>
  <c r="N72" i="16"/>
  <c r="N73" i="16"/>
  <c r="N74" i="16"/>
  <c r="N75" i="16"/>
  <c r="N76" i="16"/>
  <c r="N77" i="16"/>
  <c r="N78" i="16"/>
  <c r="N79" i="16"/>
  <c r="N80" i="16"/>
  <c r="N81" i="16"/>
  <c r="N82" i="16"/>
  <c r="N83" i="16"/>
  <c r="N84" i="16"/>
  <c r="N85" i="16"/>
  <c r="N86" i="16"/>
  <c r="N87" i="16"/>
  <c r="N88" i="16"/>
  <c r="N89" i="16"/>
  <c r="N90" i="16"/>
  <c r="N91" i="16"/>
  <c r="N92" i="16"/>
  <c r="D92" i="16"/>
  <c r="E92" i="16"/>
  <c r="F92" i="16"/>
  <c r="G92" i="16"/>
  <c r="AL92" i="16" s="1"/>
  <c r="X92" i="16"/>
  <c r="D5" i="16"/>
  <c r="E5" i="16"/>
  <c r="F5" i="16"/>
  <c r="AC5" i="16" s="1"/>
  <c r="D6" i="16"/>
  <c r="E6" i="16"/>
  <c r="F6" i="16"/>
  <c r="AC6" i="16" s="1"/>
  <c r="D7" i="16"/>
  <c r="E7" i="16"/>
  <c r="F7" i="16"/>
  <c r="AC7" i="16" s="1"/>
  <c r="D8" i="16"/>
  <c r="E8" i="16"/>
  <c r="F8" i="16"/>
  <c r="AC8" i="16" s="1"/>
  <c r="D9" i="16"/>
  <c r="E9" i="16"/>
  <c r="F9" i="16"/>
  <c r="AC9" i="16" s="1"/>
  <c r="G9" i="16"/>
  <c r="AL9" i="16" s="1"/>
  <c r="D10" i="16"/>
  <c r="E10" i="16"/>
  <c r="F10" i="16"/>
  <c r="AC10" i="16" s="1"/>
  <c r="E11" i="16"/>
  <c r="F11" i="16"/>
  <c r="AC11" i="16" s="1"/>
  <c r="E12" i="16"/>
  <c r="F12" i="16"/>
  <c r="AC12" i="16" s="1"/>
  <c r="D13" i="16"/>
  <c r="E13" i="16"/>
  <c r="F13" i="16"/>
  <c r="AC13" i="16" s="1"/>
  <c r="D14" i="16"/>
  <c r="E14" i="16"/>
  <c r="F14" i="16"/>
  <c r="AC14" i="16" s="1"/>
  <c r="D15" i="16"/>
  <c r="E15" i="16"/>
  <c r="F15" i="16"/>
  <c r="AC15" i="16" s="1"/>
  <c r="D16" i="16"/>
  <c r="E16" i="16"/>
  <c r="F16" i="16"/>
  <c r="AC16" i="16" s="1"/>
  <c r="D17" i="16"/>
  <c r="E17" i="16"/>
  <c r="F17" i="16"/>
  <c r="AC17" i="16" s="1"/>
  <c r="D18" i="16"/>
  <c r="E18" i="16"/>
  <c r="F18" i="16"/>
  <c r="AC18" i="16" s="1"/>
  <c r="D19" i="16"/>
  <c r="E19" i="16"/>
  <c r="F19" i="16"/>
  <c r="AC19" i="16" s="1"/>
  <c r="D20" i="16"/>
  <c r="E20" i="16"/>
  <c r="F20" i="16"/>
  <c r="AC20" i="16" s="1"/>
  <c r="D21" i="16"/>
  <c r="E21" i="16"/>
  <c r="F21" i="16"/>
  <c r="AC21" i="16" s="1"/>
  <c r="D22" i="16"/>
  <c r="E22" i="16"/>
  <c r="F22" i="16"/>
  <c r="AC22" i="16" s="1"/>
  <c r="D23" i="16"/>
  <c r="E23" i="16"/>
  <c r="F23" i="16"/>
  <c r="AC23" i="16" s="1"/>
  <c r="D24" i="16"/>
  <c r="E24" i="16"/>
  <c r="F24" i="16"/>
  <c r="AC24" i="16" s="1"/>
  <c r="D25" i="16"/>
  <c r="E25" i="16"/>
  <c r="F25" i="16"/>
  <c r="AC25" i="16" s="1"/>
  <c r="D26" i="16"/>
  <c r="E26" i="16"/>
  <c r="F26" i="16"/>
  <c r="AC26" i="16" s="1"/>
  <c r="D27" i="16"/>
  <c r="E27" i="16"/>
  <c r="F27" i="16"/>
  <c r="X27" i="16"/>
  <c r="D28" i="16"/>
  <c r="E28" i="16"/>
  <c r="F28" i="16"/>
  <c r="X28" i="16"/>
  <c r="D29" i="16"/>
  <c r="E29" i="16"/>
  <c r="F29" i="16"/>
  <c r="X29" i="16"/>
  <c r="D30" i="16"/>
  <c r="E30" i="16"/>
  <c r="F30" i="16"/>
  <c r="X30" i="16"/>
  <c r="D31" i="16"/>
  <c r="E31" i="16"/>
  <c r="F31" i="16"/>
  <c r="X31" i="16"/>
  <c r="D32" i="16"/>
  <c r="E32" i="16"/>
  <c r="F32" i="16"/>
  <c r="X32" i="16"/>
  <c r="D33" i="16"/>
  <c r="E33" i="16"/>
  <c r="F33" i="16"/>
  <c r="G33" i="16"/>
  <c r="AL33" i="16" s="1"/>
  <c r="X33" i="16"/>
  <c r="D34" i="16"/>
  <c r="E34" i="16"/>
  <c r="F34" i="16"/>
  <c r="X34" i="16"/>
  <c r="D35" i="16"/>
  <c r="E35" i="16"/>
  <c r="F35" i="16"/>
  <c r="AC35" i="16" s="1"/>
  <c r="X35" i="16"/>
  <c r="D36" i="16"/>
  <c r="E36" i="16"/>
  <c r="F36" i="16"/>
  <c r="X36" i="16"/>
  <c r="D37" i="16"/>
  <c r="E37" i="16"/>
  <c r="F37" i="16"/>
  <c r="AC37" i="16" s="1"/>
  <c r="G37" i="16"/>
  <c r="X37" i="16"/>
  <c r="D38" i="16"/>
  <c r="E38" i="16"/>
  <c r="F38" i="16"/>
  <c r="AC38" i="16" s="1"/>
  <c r="X38" i="16"/>
  <c r="D39" i="16"/>
  <c r="E39" i="16"/>
  <c r="F39" i="16"/>
  <c r="X39" i="16"/>
  <c r="D40" i="16"/>
  <c r="E40" i="16"/>
  <c r="F40" i="16"/>
  <c r="X40" i="16"/>
  <c r="D41" i="16"/>
  <c r="E41" i="16"/>
  <c r="F41" i="16"/>
  <c r="AC41" i="16" s="1"/>
  <c r="X41" i="16"/>
  <c r="D42" i="16"/>
  <c r="E42" i="16"/>
  <c r="F42" i="16"/>
  <c r="X42" i="16"/>
  <c r="D43" i="16"/>
  <c r="E43" i="16"/>
  <c r="F43" i="16"/>
  <c r="X43" i="16"/>
  <c r="D44" i="16"/>
  <c r="E44" i="16"/>
  <c r="F44" i="16"/>
  <c r="X44" i="16"/>
  <c r="D45" i="16"/>
  <c r="E45" i="16"/>
  <c r="F45" i="16"/>
  <c r="X45" i="16"/>
  <c r="D46" i="16"/>
  <c r="E46" i="16"/>
  <c r="F46" i="16"/>
  <c r="X46" i="16"/>
  <c r="D47" i="16"/>
  <c r="E47" i="16"/>
  <c r="F47" i="16"/>
  <c r="X47" i="16"/>
  <c r="D48" i="16"/>
  <c r="E48" i="16"/>
  <c r="F48" i="16"/>
  <c r="X48" i="16"/>
  <c r="D49" i="16"/>
  <c r="E49" i="16"/>
  <c r="F49" i="16"/>
  <c r="X49" i="16"/>
  <c r="D50" i="16"/>
  <c r="E50" i="16"/>
  <c r="F50" i="16"/>
  <c r="X50" i="16"/>
  <c r="D51" i="16"/>
  <c r="E51" i="16"/>
  <c r="F51" i="16"/>
  <c r="AC51" i="16" s="1"/>
  <c r="X51" i="16"/>
  <c r="D52" i="16"/>
  <c r="E52" i="16"/>
  <c r="F52" i="16"/>
  <c r="AC52" i="16" s="1"/>
  <c r="X52" i="16"/>
  <c r="D53" i="16"/>
  <c r="E53" i="16"/>
  <c r="F53" i="16"/>
  <c r="X53" i="16"/>
  <c r="D54" i="16"/>
  <c r="E54" i="16"/>
  <c r="F54" i="16"/>
  <c r="G54" i="16"/>
  <c r="X54" i="16"/>
  <c r="D55" i="16"/>
  <c r="E55" i="16"/>
  <c r="F55" i="16"/>
  <c r="X55" i="16"/>
  <c r="D56" i="16"/>
  <c r="E56" i="16"/>
  <c r="F56" i="16"/>
  <c r="X56" i="16"/>
  <c r="D57" i="16"/>
  <c r="E57" i="16"/>
  <c r="F57" i="16"/>
  <c r="G57" i="16"/>
  <c r="AL57" i="16" s="1"/>
  <c r="X57" i="16"/>
  <c r="D58" i="16"/>
  <c r="E58" i="16"/>
  <c r="F58" i="16"/>
  <c r="X58" i="16"/>
  <c r="D59" i="16"/>
  <c r="E59" i="16"/>
  <c r="F59" i="16"/>
  <c r="X59" i="16"/>
  <c r="D60" i="16"/>
  <c r="E60" i="16"/>
  <c r="F60" i="16"/>
  <c r="X60" i="16"/>
  <c r="D61" i="16"/>
  <c r="E61" i="16"/>
  <c r="F61" i="16"/>
  <c r="X61" i="16"/>
  <c r="D62" i="16"/>
  <c r="E62" i="16"/>
  <c r="F62" i="16"/>
  <c r="X62" i="16"/>
  <c r="D63" i="16"/>
  <c r="E63" i="16"/>
  <c r="F63" i="16"/>
  <c r="X63" i="16"/>
  <c r="D64" i="16"/>
  <c r="E64" i="16"/>
  <c r="F64" i="16"/>
  <c r="X64" i="16"/>
  <c r="D65" i="16"/>
  <c r="E65" i="16"/>
  <c r="F65" i="16"/>
  <c r="X65" i="16"/>
  <c r="D66" i="16"/>
  <c r="E66" i="16"/>
  <c r="F66" i="16"/>
  <c r="AC66" i="16" s="1"/>
  <c r="G66" i="16"/>
  <c r="AL66" i="16" s="1"/>
  <c r="X66" i="16"/>
  <c r="D67" i="16"/>
  <c r="E67" i="16"/>
  <c r="F67" i="16"/>
  <c r="AC67" i="16" s="1"/>
  <c r="X67" i="16"/>
  <c r="D68" i="16"/>
  <c r="E68" i="16"/>
  <c r="F68" i="16"/>
  <c r="X68" i="16"/>
  <c r="D69" i="16"/>
  <c r="E69" i="16"/>
  <c r="F69" i="16"/>
  <c r="X69" i="16"/>
  <c r="D70" i="16"/>
  <c r="E70" i="16"/>
  <c r="F70" i="16"/>
  <c r="G70" i="16"/>
  <c r="X70" i="16"/>
  <c r="D71" i="16"/>
  <c r="E71" i="16"/>
  <c r="F71" i="16"/>
  <c r="X71" i="16"/>
  <c r="D72" i="16"/>
  <c r="E72" i="16"/>
  <c r="F72" i="16"/>
  <c r="AC72" i="16" s="1"/>
  <c r="X72" i="16"/>
  <c r="D73" i="16"/>
  <c r="E73" i="16"/>
  <c r="F73" i="16"/>
  <c r="X73" i="16"/>
  <c r="D74" i="16"/>
  <c r="E74" i="16"/>
  <c r="F74" i="16"/>
  <c r="X74" i="16"/>
  <c r="D75" i="16"/>
  <c r="E75" i="16"/>
  <c r="F75" i="16"/>
  <c r="X75" i="16"/>
  <c r="D76" i="16"/>
  <c r="E76" i="16"/>
  <c r="F76" i="16"/>
  <c r="X76" i="16"/>
  <c r="D77" i="16"/>
  <c r="E77" i="16"/>
  <c r="F77" i="16"/>
  <c r="X77" i="16"/>
  <c r="D78" i="16"/>
  <c r="E78" i="16"/>
  <c r="F78" i="16"/>
  <c r="X78" i="16"/>
  <c r="D79" i="16"/>
  <c r="E79" i="16"/>
  <c r="F79" i="16"/>
  <c r="X79" i="16"/>
  <c r="D80" i="16"/>
  <c r="E80" i="16"/>
  <c r="F80" i="16"/>
  <c r="X80" i="16"/>
  <c r="D81" i="16"/>
  <c r="E81" i="16"/>
  <c r="F81" i="16"/>
  <c r="AC81" i="16" s="1"/>
  <c r="X81" i="16"/>
  <c r="D82" i="16"/>
  <c r="E82" i="16"/>
  <c r="F82" i="16"/>
  <c r="X82" i="16"/>
  <c r="D83" i="16"/>
  <c r="E83" i="16"/>
  <c r="F83" i="16"/>
  <c r="X83" i="16"/>
  <c r="D84" i="16"/>
  <c r="E84" i="16"/>
  <c r="F84" i="16"/>
  <c r="X84" i="16"/>
  <c r="D85" i="16"/>
  <c r="E85" i="16"/>
  <c r="F85" i="16"/>
  <c r="X85" i="16"/>
  <c r="D86" i="16"/>
  <c r="E86" i="16"/>
  <c r="F86" i="16"/>
  <c r="AC86" i="16" s="1"/>
  <c r="X86" i="16"/>
  <c r="D87" i="16"/>
  <c r="E87" i="16"/>
  <c r="F87" i="16"/>
  <c r="G87" i="16"/>
  <c r="AL87" i="16" s="1"/>
  <c r="X87" i="16"/>
  <c r="D88" i="16"/>
  <c r="E88" i="16"/>
  <c r="F88" i="16"/>
  <c r="X88" i="16"/>
  <c r="D89" i="16"/>
  <c r="E89" i="16"/>
  <c r="F89" i="16"/>
  <c r="X89" i="16"/>
  <c r="D90" i="16"/>
  <c r="E90" i="16"/>
  <c r="F90" i="16"/>
  <c r="AC90" i="16" s="1"/>
  <c r="G90" i="16"/>
  <c r="AL90" i="16" s="1"/>
  <c r="X90" i="16"/>
  <c r="D91" i="16"/>
  <c r="E91" i="16"/>
  <c r="F91" i="16"/>
  <c r="X91" i="16"/>
  <c r="D4" i="16"/>
  <c r="E4" i="16"/>
  <c r="F4" i="16"/>
  <c r="AC4" i="16" s="1"/>
  <c r="P16" i="16" l="1"/>
  <c r="N16" i="16"/>
  <c r="P8" i="16"/>
  <c r="Q8" i="16" s="1"/>
  <c r="P19" i="16"/>
  <c r="Q19" i="16" s="1"/>
  <c r="P6" i="16"/>
  <c r="P24" i="16"/>
  <c r="Q24" i="16" s="1"/>
  <c r="O16" i="16"/>
  <c r="R16" i="16" s="1"/>
  <c r="W16" i="16" s="1"/>
  <c r="P23" i="16"/>
  <c r="Q23" i="16" s="1"/>
  <c r="P21" i="16"/>
  <c r="Q21" i="16" s="1"/>
  <c r="P20" i="16"/>
  <c r="Q20" i="16" s="1"/>
  <c r="P15" i="16"/>
  <c r="Q15" i="16" s="1"/>
  <c r="O11" i="16"/>
  <c r="R11" i="16" s="1"/>
  <c r="W11" i="16" s="1"/>
  <c r="AC62" i="16"/>
  <c r="AC89" i="16"/>
  <c r="AC76" i="16"/>
  <c r="O10" i="16"/>
  <c r="R10" i="16" s="1"/>
  <c r="W10" i="16" s="1"/>
  <c r="Q10" i="16"/>
  <c r="AC47" i="16"/>
  <c r="AC33" i="16"/>
  <c r="AC45" i="16"/>
  <c r="AC53" i="16"/>
  <c r="AC39" i="16"/>
  <c r="V54" i="16"/>
  <c r="AL54" i="16"/>
  <c r="V70" i="16"/>
  <c r="AL70" i="16"/>
  <c r="V37" i="16"/>
  <c r="AD37" i="16" s="1"/>
  <c r="AE37" i="16" s="1"/>
  <c r="AL37" i="16"/>
  <c r="P69" i="17"/>
  <c r="Q69" i="17" s="1"/>
  <c r="P91" i="17"/>
  <c r="Q91" i="17" s="1"/>
  <c r="P83" i="17"/>
  <c r="Q83" i="17" s="1"/>
  <c r="R92" i="17"/>
  <c r="W92" i="17" s="1"/>
  <c r="R80" i="17"/>
  <c r="W80" i="17" s="1"/>
  <c r="AC44" i="16"/>
  <c r="W74" i="16"/>
  <c r="AC74" i="16"/>
  <c r="W64" i="16"/>
  <c r="AC64" i="16"/>
  <c r="W54" i="16"/>
  <c r="AC54" i="16"/>
  <c r="W40" i="16"/>
  <c r="AC40" i="16"/>
  <c r="W30" i="16"/>
  <c r="AC30" i="16"/>
  <c r="W84" i="16"/>
  <c r="AC84" i="16"/>
  <c r="W77" i="16"/>
  <c r="AC77" i="16"/>
  <c r="W60" i="16"/>
  <c r="AC60" i="16"/>
  <c r="W50" i="16"/>
  <c r="AC50" i="16"/>
  <c r="W43" i="16"/>
  <c r="AC43" i="16"/>
  <c r="W91" i="16"/>
  <c r="AC91" i="16"/>
  <c r="W57" i="16"/>
  <c r="AC57" i="16"/>
  <c r="W70" i="16"/>
  <c r="AC70" i="16"/>
  <c r="W36" i="16"/>
  <c r="AC36" i="16"/>
  <c r="W80" i="16"/>
  <c r="AC80" i="16"/>
  <c r="W46" i="16"/>
  <c r="AC46" i="16"/>
  <c r="W56" i="16"/>
  <c r="AC56" i="16"/>
  <c r="W83" i="16"/>
  <c r="AC83" i="16"/>
  <c r="W59" i="16"/>
  <c r="AC59" i="16"/>
  <c r="W69" i="16"/>
  <c r="AC69" i="16"/>
  <c r="W88" i="16"/>
  <c r="AC88" i="16"/>
  <c r="W87" i="16"/>
  <c r="AC87" i="16"/>
  <c r="W73" i="16"/>
  <c r="AC73" i="16"/>
  <c r="W49" i="16"/>
  <c r="AC49" i="16"/>
  <c r="W42" i="16"/>
  <c r="AC42" i="16"/>
  <c r="W32" i="16"/>
  <c r="AC32" i="16"/>
  <c r="W79" i="16"/>
  <c r="AC79" i="16"/>
  <c r="W28" i="16"/>
  <c r="AC28" i="16"/>
  <c r="W29" i="16"/>
  <c r="AC29" i="16"/>
  <c r="W55" i="16"/>
  <c r="AC55" i="16"/>
  <c r="W82" i="16"/>
  <c r="AC82" i="16"/>
  <c r="W75" i="16"/>
  <c r="AC75" i="16"/>
  <c r="W65" i="16"/>
  <c r="AC65" i="16"/>
  <c r="W58" i="16"/>
  <c r="AC58" i="16"/>
  <c r="W48" i="16"/>
  <c r="AC48" i="16"/>
  <c r="W31" i="16"/>
  <c r="AC31" i="16"/>
  <c r="W63" i="16"/>
  <c r="AC63" i="16"/>
  <c r="W68" i="16"/>
  <c r="AC68" i="16"/>
  <c r="W34" i="16"/>
  <c r="AC34" i="16"/>
  <c r="W92" i="16"/>
  <c r="AC92" i="16"/>
  <c r="W85" i="16"/>
  <c r="AC85" i="16"/>
  <c r="W78" i="16"/>
  <c r="AC78" i="16"/>
  <c r="W71" i="16"/>
  <c r="AC71" i="16"/>
  <c r="W61" i="16"/>
  <c r="AC61" i="16"/>
  <c r="W27" i="16"/>
  <c r="AC27" i="16"/>
  <c r="K1" i="16"/>
  <c r="N1" i="16"/>
  <c r="R84" i="17"/>
  <c r="W84" i="17" s="1"/>
  <c r="R70" i="17"/>
  <c r="W70" i="17" s="1"/>
  <c r="P82" i="17"/>
  <c r="Q82" i="17" s="1"/>
  <c r="P79" i="17"/>
  <c r="Q79" i="17" s="1"/>
  <c r="R79" i="17"/>
  <c r="W79" i="17" s="1"/>
  <c r="P78" i="17"/>
  <c r="Q78" i="17" s="1"/>
  <c r="R78" i="17"/>
  <c r="W78" i="17" s="1"/>
  <c r="P81" i="17"/>
  <c r="Q81" i="17" s="1"/>
  <c r="R81" i="17"/>
  <c r="W81" i="17" s="1"/>
  <c r="R85" i="17"/>
  <c r="W85" i="17" s="1"/>
  <c r="P85" i="17"/>
  <c r="Q85" i="17" s="1"/>
  <c r="P76" i="17"/>
  <c r="Q76" i="17" s="1"/>
  <c r="R76" i="17"/>
  <c r="W76" i="17" s="1"/>
  <c r="H13" i="17"/>
  <c r="AF69" i="17"/>
  <c r="R77" i="17"/>
  <c r="W77" i="17" s="1"/>
  <c r="R90" i="17"/>
  <c r="W90" i="17" s="1"/>
  <c r="R89" i="17"/>
  <c r="W89" i="17" s="1"/>
  <c r="R75" i="17"/>
  <c r="W75" i="17" s="1"/>
  <c r="Z75" i="17" s="1"/>
  <c r="R88" i="17"/>
  <c r="W88" i="17" s="1"/>
  <c r="R74" i="17"/>
  <c r="W74" i="17" s="1"/>
  <c r="R87" i="17"/>
  <c r="W87" i="17" s="1"/>
  <c r="R73" i="17"/>
  <c r="W73" i="17" s="1"/>
  <c r="R86" i="17"/>
  <c r="W86" i="17" s="1"/>
  <c r="R72" i="17"/>
  <c r="W72" i="17" s="1"/>
  <c r="W69" i="17"/>
  <c r="H75" i="17"/>
  <c r="Z9" i="17"/>
  <c r="AA9" i="17" s="1"/>
  <c r="H30" i="17"/>
  <c r="W82" i="17"/>
  <c r="W71" i="17"/>
  <c r="Z63" i="17"/>
  <c r="AA63" i="17" s="1"/>
  <c r="W91" i="17"/>
  <c r="W83" i="17"/>
  <c r="H9" i="17"/>
  <c r="H63" i="17"/>
  <c r="H46" i="17"/>
  <c r="Z46" i="17"/>
  <c r="AA46" i="17" s="1"/>
  <c r="Z66" i="17"/>
  <c r="AA66" i="17" s="1"/>
  <c r="H33" i="17"/>
  <c r="Z30" i="17"/>
  <c r="AA30" i="17" s="1"/>
  <c r="H42" i="17"/>
  <c r="Z42" i="17"/>
  <c r="AA42" i="17" s="1"/>
  <c r="Z68" i="17"/>
  <c r="AA68" i="17" s="1"/>
  <c r="H68" i="17"/>
  <c r="H66" i="17"/>
  <c r="V13" i="17"/>
  <c r="Z13" i="17" s="1"/>
  <c r="AA13" i="17" s="1"/>
  <c r="V33" i="17"/>
  <c r="Z33" i="17" s="1"/>
  <c r="AA33" i="17" s="1"/>
  <c r="W18" i="16"/>
  <c r="O24" i="16"/>
  <c r="R24" i="16" s="1"/>
  <c r="O15" i="16"/>
  <c r="R15" i="16" s="1"/>
  <c r="O6" i="16"/>
  <c r="R6" i="16" s="1"/>
  <c r="O13" i="16"/>
  <c r="R13" i="16" s="1"/>
  <c r="O12" i="16"/>
  <c r="R12" i="16" s="1"/>
  <c r="O23" i="16"/>
  <c r="R23" i="16" s="1"/>
  <c r="O9" i="16"/>
  <c r="R9" i="16" s="1"/>
  <c r="O8" i="16"/>
  <c r="R8" i="16" s="1"/>
  <c r="O21" i="16"/>
  <c r="R21" i="16" s="1"/>
  <c r="O7" i="16"/>
  <c r="R7" i="16" s="1"/>
  <c r="O20" i="16"/>
  <c r="R20" i="16" s="1"/>
  <c r="O19" i="16"/>
  <c r="R19" i="16" s="1"/>
  <c r="H9" i="16"/>
  <c r="W22" i="16"/>
  <c r="W25" i="16"/>
  <c r="W26" i="16"/>
  <c r="W17" i="16"/>
  <c r="H90" i="16"/>
  <c r="H33" i="16"/>
  <c r="H57" i="16"/>
  <c r="H54" i="16"/>
  <c r="H92" i="16"/>
  <c r="V9" i="16"/>
  <c r="W72" i="16"/>
  <c r="W47" i="16"/>
  <c r="W39" i="16"/>
  <c r="W89" i="16"/>
  <c r="W67" i="16"/>
  <c r="W52" i="16"/>
  <c r="W44" i="16"/>
  <c r="W33" i="16"/>
  <c r="W5" i="16"/>
  <c r="W62" i="16"/>
  <c r="W14" i="16"/>
  <c r="W86" i="16"/>
  <c r="W41" i="16"/>
  <c r="W76" i="16"/>
  <c r="W38" i="16"/>
  <c r="W81" i="16"/>
  <c r="W66" i="16"/>
  <c r="W51" i="16"/>
  <c r="W35" i="16"/>
  <c r="W90" i="16"/>
  <c r="W53" i="16"/>
  <c r="W45" i="16"/>
  <c r="W37" i="16"/>
  <c r="V92" i="16"/>
  <c r="H87" i="16"/>
  <c r="H37" i="16"/>
  <c r="H66" i="16"/>
  <c r="V57" i="16"/>
  <c r="H70" i="16"/>
  <c r="V33" i="16"/>
  <c r="V90" i="16"/>
  <c r="AD90" i="16" s="1"/>
  <c r="AE90" i="16" s="1"/>
  <c r="V66" i="16"/>
  <c r="AD66" i="16" s="1"/>
  <c r="AE66" i="16" s="1"/>
  <c r="V87" i="16"/>
  <c r="W4" i="16"/>
  <c r="P1" i="16" l="1"/>
  <c r="AD33" i="16"/>
  <c r="AE33" i="16" s="1"/>
  <c r="Q6" i="16"/>
  <c r="AA75" i="17"/>
  <c r="AB75" i="17"/>
  <c r="Q16" i="16"/>
  <c r="Q22" i="16"/>
  <c r="Z37" i="16"/>
  <c r="AA37" i="16" s="1"/>
  <c r="Z54" i="16"/>
  <c r="AA54" i="16" s="1"/>
  <c r="AD54" i="16"/>
  <c r="AE54" i="16" s="1"/>
  <c r="AD70" i="16"/>
  <c r="AE70" i="16" s="1"/>
  <c r="Z70" i="16"/>
  <c r="AA70" i="16" s="1"/>
  <c r="Z87" i="16"/>
  <c r="AA87" i="16" s="1"/>
  <c r="Z57" i="16"/>
  <c r="AA57" i="16" s="1"/>
  <c r="Z92" i="16"/>
  <c r="AA92" i="16" s="1"/>
  <c r="AD87" i="16"/>
  <c r="AE87" i="16" s="1"/>
  <c r="AD57" i="16"/>
  <c r="AE57" i="16" s="1"/>
  <c r="AD92" i="16"/>
  <c r="AE92" i="16" s="1"/>
  <c r="O1" i="16"/>
  <c r="W23" i="16"/>
  <c r="W13" i="16"/>
  <c r="W24" i="16"/>
  <c r="W9" i="16"/>
  <c r="Z9" i="16" s="1"/>
  <c r="AA9" i="16" s="1"/>
  <c r="AD9" i="16"/>
  <c r="AE9" i="16" s="1"/>
  <c r="W19" i="16"/>
  <c r="W12" i="16"/>
  <c r="W15" i="16"/>
  <c r="W20" i="16"/>
  <c r="W7" i="16"/>
  <c r="W21" i="16"/>
  <c r="Z66" i="16"/>
  <c r="AA66" i="16" s="1"/>
  <c r="Z33" i="16"/>
  <c r="AA33" i="16" s="1"/>
  <c r="Z90" i="16"/>
  <c r="AA90" i="16" s="1"/>
  <c r="F3" i="16"/>
  <c r="AC3" i="16" s="1"/>
  <c r="E3" i="16"/>
  <c r="D3" i="16"/>
  <c r="T58" i="7"/>
  <c r="W3" i="16" l="1"/>
  <c r="W6" i="16"/>
  <c r="R1" i="16"/>
  <c r="W8" i="16"/>
  <c r="AI3" i="16"/>
  <c r="K29" i="10" l="1"/>
  <c r="K28" i="10"/>
  <c r="K11" i="10"/>
  <c r="H81" i="7"/>
  <c r="H80" i="7"/>
  <c r="G81" i="7"/>
  <c r="G80" i="7"/>
  <c r="F81" i="7"/>
  <c r="F80" i="7"/>
  <c r="A81" i="7"/>
  <c r="A80" i="7"/>
  <c r="S7" i="7"/>
  <c r="T70" i="7" l="1"/>
  <c r="AD70" i="7"/>
  <c r="AG70" i="7"/>
  <c r="AH70" i="7" s="1"/>
  <c r="F27" i="8"/>
  <c r="G27" i="8"/>
  <c r="M27" i="8" s="1"/>
  <c r="H27" i="8"/>
  <c r="I27" i="8" s="1"/>
  <c r="F28" i="8"/>
  <c r="G28" i="8"/>
  <c r="M28" i="8" s="1"/>
  <c r="H28" i="8"/>
  <c r="F29" i="8"/>
  <c r="G29" i="8"/>
  <c r="M29" i="8" s="1"/>
  <c r="M33" i="8" s="1"/>
  <c r="H29" i="8"/>
  <c r="I29" i="8" s="1"/>
  <c r="F30" i="8"/>
  <c r="G30" i="8"/>
  <c r="M30" i="8" s="1"/>
  <c r="H30" i="8"/>
  <c r="J30" i="8" s="1"/>
  <c r="K30" i="8" s="1"/>
  <c r="U24" i="8"/>
  <c r="V24" i="8"/>
  <c r="W24" i="8"/>
  <c r="U25" i="8"/>
  <c r="V25" i="8"/>
  <c r="W25" i="8" s="1"/>
  <c r="F25" i="8"/>
  <c r="H26" i="8"/>
  <c r="J26" i="8" s="1"/>
  <c r="K26" i="8" s="1"/>
  <c r="G26" i="8"/>
  <c r="M26" i="8" s="1"/>
  <c r="U26" i="8" s="1"/>
  <c r="V26" i="8" s="1"/>
  <c r="W26" i="8" s="1"/>
  <c r="F26" i="8"/>
  <c r="E26" i="8"/>
  <c r="H25" i="8"/>
  <c r="J25" i="8" s="1"/>
  <c r="K25" i="8" s="1"/>
  <c r="G25" i="8"/>
  <c r="M25" i="8" s="1"/>
  <c r="E25" i="8"/>
  <c r="J27" i="8" l="1"/>
  <c r="K27" i="8" s="1"/>
  <c r="L27" i="8" s="1"/>
  <c r="N27" i="8" s="1"/>
  <c r="I28" i="8"/>
  <c r="L30" i="8"/>
  <c r="N30" i="8" s="1"/>
  <c r="I30" i="8"/>
  <c r="J28" i="8"/>
  <c r="K28" i="8" s="1"/>
  <c r="L28" i="8" s="1"/>
  <c r="N28" i="8" s="1"/>
  <c r="J29" i="8"/>
  <c r="I26" i="8"/>
  <c r="L25" i="8"/>
  <c r="N25" i="8" s="1"/>
  <c r="L26" i="8"/>
  <c r="N26" i="8" s="1"/>
  <c r="I25" i="8"/>
  <c r="K29" i="8" l="1"/>
  <c r="L29" i="8" s="1"/>
  <c r="N29" i="8" s="1"/>
  <c r="S78" i="7"/>
  <c r="T78" i="7" s="1"/>
  <c r="S79" i="7" l="1"/>
  <c r="M24" i="8"/>
  <c r="L24" i="8" s="1"/>
  <c r="N24" i="8" s="1"/>
  <c r="K24" i="8"/>
  <c r="J24" i="8"/>
  <c r="I24" i="8"/>
  <c r="A79" i="7"/>
  <c r="X79" i="7"/>
  <c r="J79" i="7"/>
  <c r="K79" i="7" s="1"/>
  <c r="I79" i="7"/>
  <c r="L79" i="7" l="1"/>
  <c r="M79" i="7" s="1"/>
  <c r="O79" i="7" s="1"/>
  <c r="X78" i="7" l="1"/>
  <c r="H78" i="7"/>
  <c r="J78" i="7" s="1"/>
  <c r="G78" i="7"/>
  <c r="F78" i="7"/>
  <c r="A78" i="7"/>
  <c r="L78" i="7" l="1"/>
  <c r="K78" i="7"/>
  <c r="I78" i="7"/>
  <c r="M78" i="7" l="1"/>
  <c r="O78" i="7" s="1"/>
  <c r="AH57" i="7" l="1"/>
  <c r="AH56" i="7"/>
  <c r="AH55" i="7"/>
  <c r="K4" i="14" l="1"/>
  <c r="K5" i="14"/>
  <c r="K3" i="14"/>
  <c r="E22" i="8"/>
  <c r="F22" i="8"/>
  <c r="G22" i="8"/>
  <c r="M22" i="8" s="1"/>
  <c r="U22" i="8" s="1"/>
  <c r="V22" i="8" s="1"/>
  <c r="H22" i="8"/>
  <c r="E23" i="8"/>
  <c r="F23" i="8"/>
  <c r="G23" i="8"/>
  <c r="M23" i="8" s="1"/>
  <c r="U23" i="8" s="1"/>
  <c r="V23" i="8" s="1"/>
  <c r="H23" i="8"/>
  <c r="I22" i="8" l="1"/>
  <c r="W22" i="8"/>
  <c r="J23" i="8"/>
  <c r="K23" i="8" s="1"/>
  <c r="W23" i="8"/>
  <c r="L23" i="8"/>
  <c r="N23" i="8" s="1"/>
  <c r="I23" i="8"/>
  <c r="J22" i="8"/>
  <c r="K22" i="8" s="1"/>
  <c r="L22" i="8" s="1"/>
  <c r="N22" i="8" s="1"/>
  <c r="S5" i="7" l="1"/>
  <c r="X5" i="7" l="1"/>
  <c r="E7" i="2" l="1"/>
  <c r="F7" i="2"/>
  <c r="G7" i="2"/>
  <c r="H7" i="2"/>
  <c r="E8" i="2"/>
  <c r="F8" i="2"/>
  <c r="G8" i="2"/>
  <c r="H8" i="2"/>
  <c r="J8" i="2" s="1"/>
  <c r="E9" i="2"/>
  <c r="F9" i="2"/>
  <c r="G9" i="2"/>
  <c r="H9" i="2"/>
  <c r="S38" i="7"/>
  <c r="S8" i="7"/>
  <c r="T8" i="7" s="1"/>
  <c r="E4" i="2"/>
  <c r="F4" i="2"/>
  <c r="G4" i="2"/>
  <c r="H4" i="2"/>
  <c r="E5" i="2"/>
  <c r="F5" i="2"/>
  <c r="G5" i="2"/>
  <c r="H5" i="2"/>
  <c r="J5" i="2" s="1"/>
  <c r="E6" i="2"/>
  <c r="F6" i="2"/>
  <c r="G6" i="2"/>
  <c r="H6" i="2"/>
  <c r="I6" i="2" s="1"/>
  <c r="I4" i="2" l="1"/>
  <c r="I7" i="2"/>
  <c r="I9" i="2"/>
  <c r="J9" i="2"/>
  <c r="J7" i="2"/>
  <c r="K8" i="2"/>
  <c r="L8" i="2"/>
  <c r="I8" i="2"/>
  <c r="K5" i="2"/>
  <c r="L5" i="2"/>
  <c r="J6" i="2"/>
  <c r="J4" i="2"/>
  <c r="I5" i="2"/>
  <c r="L7" i="2" l="1"/>
  <c r="K7" i="2"/>
  <c r="M7" i="2" s="1"/>
  <c r="O7" i="2" s="1"/>
  <c r="T7" i="2" s="1"/>
  <c r="K9" i="2"/>
  <c r="L9" i="2"/>
  <c r="M8" i="2"/>
  <c r="O8" i="2" s="1"/>
  <c r="T8" i="2" s="1"/>
  <c r="L4" i="2"/>
  <c r="K4" i="2"/>
  <c r="K6" i="2"/>
  <c r="L6" i="2"/>
  <c r="M5" i="2"/>
  <c r="O5" i="2" l="1"/>
  <c r="T5" i="2" s="1"/>
  <c r="M6" i="2"/>
  <c r="O6" i="2" s="1"/>
  <c r="M4" i="2"/>
  <c r="O4" i="2" s="1"/>
  <c r="T4" i="2" s="1"/>
  <c r="M9" i="2"/>
  <c r="O9" i="2" s="1"/>
  <c r="T9" i="2" s="1"/>
  <c r="T6" i="2"/>
  <c r="X77" i="7" l="1"/>
  <c r="X76" i="7"/>
  <c r="X75" i="7"/>
  <c r="X74" i="7"/>
  <c r="X73" i="7"/>
  <c r="X72" i="7"/>
  <c r="X71" i="7"/>
  <c r="S72" i="7"/>
  <c r="AD72" i="7" s="1"/>
  <c r="S73" i="7"/>
  <c r="AD73" i="7" s="1"/>
  <c r="S74" i="7"/>
  <c r="AD74" i="7" s="1"/>
  <c r="S75" i="7"/>
  <c r="S76" i="7"/>
  <c r="S77" i="7"/>
  <c r="S71" i="7"/>
  <c r="AD71" i="7" s="1"/>
  <c r="E71" i="7"/>
  <c r="F71" i="7"/>
  <c r="G71" i="7"/>
  <c r="H71" i="7"/>
  <c r="E72" i="7"/>
  <c r="F72" i="7"/>
  <c r="G72" i="7"/>
  <c r="H72" i="7"/>
  <c r="E73" i="7"/>
  <c r="F73" i="7"/>
  <c r="G73" i="7"/>
  <c r="H73" i="7"/>
  <c r="E74" i="7"/>
  <c r="F74" i="7"/>
  <c r="G74" i="7"/>
  <c r="H74" i="7"/>
  <c r="J74" i="7" s="1"/>
  <c r="K74" i="7" s="1"/>
  <c r="E75" i="7"/>
  <c r="F75" i="7"/>
  <c r="G75" i="7"/>
  <c r="H75" i="7"/>
  <c r="E76" i="7"/>
  <c r="F76" i="7"/>
  <c r="G76" i="7"/>
  <c r="H76" i="7"/>
  <c r="J76" i="7" s="1"/>
  <c r="K76" i="7" s="1"/>
  <c r="E77" i="7"/>
  <c r="F77" i="7"/>
  <c r="G77" i="7"/>
  <c r="H77" i="7"/>
  <c r="J77" i="7" s="1"/>
  <c r="A70" i="7"/>
  <c r="A71" i="7"/>
  <c r="A72" i="7"/>
  <c r="A73" i="7"/>
  <c r="A74" i="7"/>
  <c r="A75" i="7"/>
  <c r="A76" i="7"/>
  <c r="A77" i="7"/>
  <c r="T75" i="7" l="1"/>
  <c r="AD75" i="7"/>
  <c r="T76" i="7"/>
  <c r="AD76" i="7"/>
  <c r="T77" i="7"/>
  <c r="AD77" i="7"/>
  <c r="T71" i="7"/>
  <c r="I72" i="7"/>
  <c r="T74" i="7"/>
  <c r="I73" i="7"/>
  <c r="T73" i="7"/>
  <c r="T72" i="7"/>
  <c r="K77" i="7"/>
  <c r="L77" i="7"/>
  <c r="I77" i="7"/>
  <c r="L74" i="7"/>
  <c r="M74" i="7" s="1"/>
  <c r="O74" i="7" s="1"/>
  <c r="I75" i="7"/>
  <c r="L76" i="7"/>
  <c r="M76" i="7" s="1"/>
  <c r="O76" i="7" s="1"/>
  <c r="Y76" i="7" s="1"/>
  <c r="I71" i="7"/>
  <c r="I76" i="7"/>
  <c r="I74" i="7"/>
  <c r="J72" i="7"/>
  <c r="J73" i="7"/>
  <c r="J71" i="7"/>
  <c r="J75" i="7"/>
  <c r="M77" i="7" l="1"/>
  <c r="O77" i="7" s="1"/>
  <c r="K75" i="7"/>
  <c r="L75" i="7"/>
  <c r="K71" i="7"/>
  <c r="L71" i="7"/>
  <c r="K73" i="7"/>
  <c r="L73" i="7"/>
  <c r="K72" i="7"/>
  <c r="L72" i="7"/>
  <c r="M75" i="7" l="1"/>
  <c r="O75" i="7" s="1"/>
  <c r="Y75" i="7" s="1"/>
  <c r="M71" i="7"/>
  <c r="O71" i="7" s="1"/>
  <c r="M72" i="7"/>
  <c r="O72" i="7" s="1"/>
  <c r="M73" i="7"/>
  <c r="O73" i="7" s="1"/>
  <c r="E20" i="8" l="1"/>
  <c r="F20" i="8"/>
  <c r="G20" i="8"/>
  <c r="M20" i="8" s="1"/>
  <c r="U20" i="8" s="1"/>
  <c r="V20" i="8" s="1"/>
  <c r="H20" i="8"/>
  <c r="W20" i="8" s="1"/>
  <c r="E21" i="8"/>
  <c r="F21" i="8"/>
  <c r="G21" i="8"/>
  <c r="M21" i="8" s="1"/>
  <c r="U21" i="8" s="1"/>
  <c r="V21" i="8" s="1"/>
  <c r="H21" i="8"/>
  <c r="H19" i="8"/>
  <c r="G19" i="8"/>
  <c r="M19" i="8" s="1"/>
  <c r="U19" i="8" s="1"/>
  <c r="V19" i="8" s="1"/>
  <c r="F19" i="8"/>
  <c r="E19" i="8"/>
  <c r="E18" i="8"/>
  <c r="F18" i="8"/>
  <c r="G18" i="8"/>
  <c r="M18" i="8" s="1"/>
  <c r="U18" i="8" s="1"/>
  <c r="V18" i="8" s="1"/>
  <c r="W18" i="8" s="1"/>
  <c r="H18" i="8"/>
  <c r="E16" i="8"/>
  <c r="F16" i="8"/>
  <c r="G16" i="8"/>
  <c r="M16" i="8" s="1"/>
  <c r="U16" i="8" s="1"/>
  <c r="V16" i="8" s="1"/>
  <c r="W16" i="8" s="1"/>
  <c r="H16" i="8"/>
  <c r="E17" i="8"/>
  <c r="F17" i="8"/>
  <c r="G17" i="8"/>
  <c r="M17" i="8" s="1"/>
  <c r="U17" i="8" s="1"/>
  <c r="V17" i="8" s="1"/>
  <c r="W17" i="8" s="1"/>
  <c r="H17" i="8"/>
  <c r="E15" i="8"/>
  <c r="F15" i="8"/>
  <c r="G15" i="8"/>
  <c r="M15" i="8" s="1"/>
  <c r="U15" i="8" s="1"/>
  <c r="V15" i="8" s="1"/>
  <c r="W15" i="8" s="1"/>
  <c r="H15" i="8"/>
  <c r="J19" i="8" l="1"/>
  <c r="K19" i="8" s="1"/>
  <c r="W19" i="8"/>
  <c r="W21" i="8"/>
  <c r="I20" i="8"/>
  <c r="I16" i="8"/>
  <c r="I17" i="8"/>
  <c r="I21" i="8"/>
  <c r="I18" i="8"/>
  <c r="I15" i="8"/>
  <c r="J21" i="8"/>
  <c r="K21" i="8" s="1"/>
  <c r="L21" i="8" s="1"/>
  <c r="N21" i="8" s="1"/>
  <c r="J20" i="8"/>
  <c r="K20" i="8" s="1"/>
  <c r="L20" i="8" s="1"/>
  <c r="N20" i="8" s="1"/>
  <c r="L19" i="8"/>
  <c r="N19" i="8" s="1"/>
  <c r="I19" i="8"/>
  <c r="J18" i="8"/>
  <c r="K18" i="8" s="1"/>
  <c r="L18" i="8" s="1"/>
  <c r="N18" i="8" s="1"/>
  <c r="J16" i="8"/>
  <c r="K16" i="8" s="1"/>
  <c r="L16" i="8" s="1"/>
  <c r="N16" i="8" s="1"/>
  <c r="J17" i="8"/>
  <c r="K17" i="8" s="1"/>
  <c r="L17" i="8" s="1"/>
  <c r="N17" i="8" s="1"/>
  <c r="J15" i="8"/>
  <c r="K15" i="8" s="1"/>
  <c r="L15" i="8" s="1"/>
  <c r="N15" i="8" s="1"/>
  <c r="E14" i="8" l="1"/>
  <c r="F14" i="8"/>
  <c r="G14" i="8"/>
  <c r="M14" i="8" s="1"/>
  <c r="U14" i="8" s="1"/>
  <c r="V14" i="8" s="1"/>
  <c r="H14" i="8"/>
  <c r="W14" i="8" s="1"/>
  <c r="I14" i="8" l="1"/>
  <c r="J14" i="8"/>
  <c r="K14" i="8" s="1"/>
  <c r="L14" i="8" s="1"/>
  <c r="N14" i="8" s="1"/>
  <c r="E13" i="8" l="1"/>
  <c r="F13" i="8"/>
  <c r="G13" i="8"/>
  <c r="M13" i="8" s="1"/>
  <c r="U13" i="8" s="1"/>
  <c r="V13" i="8" s="1"/>
  <c r="W13" i="8" s="1"/>
  <c r="H13" i="8"/>
  <c r="E12" i="8"/>
  <c r="F12" i="8"/>
  <c r="G12" i="8"/>
  <c r="M12" i="8" s="1"/>
  <c r="U12" i="8" s="1"/>
  <c r="V12" i="8" s="1"/>
  <c r="H12" i="8"/>
  <c r="W12" i="8" l="1"/>
  <c r="I12" i="8"/>
  <c r="I13" i="8"/>
  <c r="J13" i="8"/>
  <c r="K13" i="8" s="1"/>
  <c r="L13" i="8" s="1"/>
  <c r="N13" i="8" s="1"/>
  <c r="J12" i="8"/>
  <c r="K12" i="8" s="1"/>
  <c r="L12" i="8" s="1"/>
  <c r="N12" i="8" s="1"/>
  <c r="E7" i="8" l="1"/>
  <c r="F7" i="8"/>
  <c r="G7" i="8"/>
  <c r="M7" i="8" s="1"/>
  <c r="U7" i="8" s="1"/>
  <c r="V7" i="8" s="1"/>
  <c r="H7" i="8"/>
  <c r="W7" i="8" s="1"/>
  <c r="E8" i="8"/>
  <c r="F8" i="8"/>
  <c r="G8" i="8"/>
  <c r="M8" i="8" s="1"/>
  <c r="H8" i="8"/>
  <c r="J8" i="8" s="1"/>
  <c r="K8" i="8" s="1"/>
  <c r="E9" i="8"/>
  <c r="F9" i="8"/>
  <c r="G9" i="8"/>
  <c r="M9" i="8" s="1"/>
  <c r="H9" i="8"/>
  <c r="E10" i="8"/>
  <c r="F10" i="8"/>
  <c r="G10" i="8"/>
  <c r="M10" i="8" s="1"/>
  <c r="U10" i="8" s="1"/>
  <c r="V10" i="8" s="1"/>
  <c r="H10" i="8"/>
  <c r="E11" i="8"/>
  <c r="F11" i="8"/>
  <c r="G11" i="8"/>
  <c r="M11" i="8" s="1"/>
  <c r="U11" i="8" s="1"/>
  <c r="V11" i="8" s="1"/>
  <c r="H11" i="8"/>
  <c r="U9" i="8" l="1"/>
  <c r="V9" i="8" s="1"/>
  <c r="W9" i="8" s="1"/>
  <c r="I7" i="8"/>
  <c r="I8" i="8"/>
  <c r="I11" i="8"/>
  <c r="I9" i="8"/>
  <c r="L8" i="8"/>
  <c r="N8" i="8" s="1"/>
  <c r="I10" i="8"/>
  <c r="W10" i="8"/>
  <c r="U8" i="8"/>
  <c r="V8" i="8" s="1"/>
  <c r="W8" i="8" s="1"/>
  <c r="J10" i="8"/>
  <c r="K10" i="8" s="1"/>
  <c r="L10" i="8" s="1"/>
  <c r="N10" i="8" s="1"/>
  <c r="J9" i="8"/>
  <c r="K9" i="8" s="1"/>
  <c r="L9" i="8" s="1"/>
  <c r="N9" i="8" s="1"/>
  <c r="W11" i="8"/>
  <c r="J11" i="8"/>
  <c r="K11" i="8" s="1"/>
  <c r="L11" i="8" s="1"/>
  <c r="N11" i="8" s="1"/>
  <c r="J7" i="8"/>
  <c r="K7" i="8" s="1"/>
  <c r="L7" i="8" s="1"/>
  <c r="N7" i="8" s="1"/>
  <c r="E6" i="8" l="1"/>
  <c r="F6" i="8"/>
  <c r="G6" i="8"/>
  <c r="M6" i="8" s="1"/>
  <c r="U6" i="8" s="1"/>
  <c r="V6" i="8" s="1"/>
  <c r="H6" i="8"/>
  <c r="W6" i="8" s="1"/>
  <c r="E5" i="8"/>
  <c r="F5" i="8"/>
  <c r="G5" i="8"/>
  <c r="M5" i="8" s="1"/>
  <c r="U5" i="8" s="1"/>
  <c r="V5" i="8" s="1"/>
  <c r="H5" i="8"/>
  <c r="W5" i="8" l="1"/>
  <c r="I5" i="8"/>
  <c r="I6" i="8"/>
  <c r="J6" i="8"/>
  <c r="K6" i="8" s="1"/>
  <c r="L6" i="8" s="1"/>
  <c r="N6" i="8" s="1"/>
  <c r="J5" i="8"/>
  <c r="K5" i="8" s="1"/>
  <c r="L5" i="8" s="1"/>
  <c r="N5" i="8" s="1"/>
  <c r="M32" i="13" l="1"/>
  <c r="BQ32" i="13" s="1"/>
  <c r="BP32" i="13" s="1"/>
  <c r="AW31" i="13"/>
  <c r="AV31" i="13"/>
  <c r="AU31" i="13"/>
  <c r="AT31" i="13"/>
  <c r="AX31" i="13" s="1"/>
  <c r="BF30" i="13"/>
  <c r="AX30" i="13"/>
  <c r="AR30" i="13"/>
  <c r="AN30" i="13"/>
  <c r="AM30" i="13"/>
  <c r="AK30" i="13"/>
  <c r="AB30" i="13"/>
  <c r="S30" i="13"/>
  <c r="Q30" i="13"/>
  <c r="L30" i="13"/>
  <c r="K30" i="13"/>
  <c r="M30" i="13" s="1"/>
  <c r="BF29" i="13"/>
  <c r="AX29" i="13"/>
  <c r="AN29" i="13"/>
  <c r="AM29" i="13"/>
  <c r="AK29" i="13"/>
  <c r="AB29" i="13"/>
  <c r="S29" i="13"/>
  <c r="Q29" i="13"/>
  <c r="L29" i="13"/>
  <c r="M29" i="13" s="1"/>
  <c r="K29" i="13"/>
  <c r="AX28" i="13"/>
  <c r="AK28" i="13"/>
  <c r="AB28" i="13"/>
  <c r="S28" i="13"/>
  <c r="Q28" i="13"/>
  <c r="L28" i="13"/>
  <c r="K28" i="13"/>
  <c r="M28" i="13" s="1"/>
  <c r="BF27" i="13"/>
  <c r="AX27" i="13"/>
  <c r="AR27" i="13"/>
  <c r="AN27" i="13"/>
  <c r="AM27" i="13"/>
  <c r="AK27" i="13"/>
  <c r="AB27" i="13"/>
  <c r="AC27" i="13" s="1"/>
  <c r="S27" i="13"/>
  <c r="Q27" i="13"/>
  <c r="M27" i="13"/>
  <c r="N27" i="13" s="1"/>
  <c r="O27" i="13" s="1"/>
  <c r="L27" i="13"/>
  <c r="K27" i="13"/>
  <c r="BF26" i="13"/>
  <c r="AX26" i="13"/>
  <c r="AN26" i="13"/>
  <c r="AK26" i="13"/>
  <c r="AB26" i="13"/>
  <c r="S26" i="13"/>
  <c r="Q26" i="13"/>
  <c r="M26" i="13"/>
  <c r="BQ26" i="13" s="1"/>
  <c r="BP26" i="13" s="1"/>
  <c r="BO26" i="13" s="1"/>
  <c r="L26" i="13"/>
  <c r="K26" i="13"/>
  <c r="BF25" i="13"/>
  <c r="AX25" i="13"/>
  <c r="AN25" i="13"/>
  <c r="AK25" i="13"/>
  <c r="AB25" i="13"/>
  <c r="S25" i="13"/>
  <c r="Q25" i="13"/>
  <c r="L25" i="13"/>
  <c r="M25" i="13" s="1"/>
  <c r="K25" i="13"/>
  <c r="BF24" i="13"/>
  <c r="AX24" i="13"/>
  <c r="AR24" i="13"/>
  <c r="AN24" i="13"/>
  <c r="AM24" i="13"/>
  <c r="AK24" i="13"/>
  <c r="AB24" i="13"/>
  <c r="S24" i="13"/>
  <c r="Q24" i="13"/>
  <c r="T24" i="13" s="1"/>
  <c r="U24" i="13" s="1"/>
  <c r="M24" i="13"/>
  <c r="N24" i="13" s="1"/>
  <c r="O24" i="13" s="1"/>
  <c r="L24" i="13"/>
  <c r="K24" i="13"/>
  <c r="BF23" i="13"/>
  <c r="AX23" i="13"/>
  <c r="AN23" i="13"/>
  <c r="Y23" i="13"/>
  <c r="AB23" i="13" s="1"/>
  <c r="S23" i="13"/>
  <c r="Q23" i="13"/>
  <c r="M23" i="13"/>
  <c r="BQ23" i="13" s="1"/>
  <c r="BP23" i="13" s="1"/>
  <c r="BO23" i="13" s="1"/>
  <c r="L23" i="13"/>
  <c r="K23" i="13"/>
  <c r="AX22" i="13"/>
  <c r="Y22" i="13"/>
  <c r="AB22" i="13" s="1"/>
  <c r="S22" i="13"/>
  <c r="Q22" i="13"/>
  <c r="L22" i="13"/>
  <c r="K22" i="13"/>
  <c r="M22" i="13" s="1"/>
  <c r="BF21" i="13"/>
  <c r="AX21" i="13"/>
  <c r="AN21" i="13"/>
  <c r="AM21" i="13"/>
  <c r="AK21" i="13"/>
  <c r="AB21" i="13"/>
  <c r="Y21" i="13"/>
  <c r="S21" i="13"/>
  <c r="Q21" i="13"/>
  <c r="T21" i="13" s="1"/>
  <c r="U21" i="13" s="1"/>
  <c r="L21" i="13"/>
  <c r="K21" i="13"/>
  <c r="M21" i="13" s="1"/>
  <c r="BF20" i="13"/>
  <c r="AX20" i="13"/>
  <c r="AR20" i="13"/>
  <c r="AN20" i="13"/>
  <c r="AM20" i="13"/>
  <c r="Y20" i="13"/>
  <c r="AB20" i="13" s="1"/>
  <c r="S20" i="13"/>
  <c r="Q20" i="13"/>
  <c r="M20" i="13"/>
  <c r="BQ20" i="13" s="1"/>
  <c r="BP20" i="13" s="1"/>
  <c r="BO20" i="13" s="1"/>
  <c r="L20" i="13"/>
  <c r="K20" i="13"/>
  <c r="AX19" i="13"/>
  <c r="AR19" i="13"/>
  <c r="AM19" i="13"/>
  <c r="AK19" i="13"/>
  <c r="Y19" i="13"/>
  <c r="AB19" i="13" s="1"/>
  <c r="S19" i="13"/>
  <c r="Q19" i="13"/>
  <c r="T19" i="13" s="1"/>
  <c r="U19" i="13" s="1"/>
  <c r="L19" i="13"/>
  <c r="K19" i="13"/>
  <c r="M19" i="13" s="1"/>
  <c r="BF18" i="13"/>
  <c r="AX18" i="13"/>
  <c r="AR18" i="13"/>
  <c r="AN18" i="13"/>
  <c r="AM18" i="13"/>
  <c r="AK18" i="13"/>
  <c r="AB18" i="13"/>
  <c r="Y18" i="13"/>
  <c r="S18" i="13"/>
  <c r="Q18" i="13"/>
  <c r="L18" i="13"/>
  <c r="K18" i="13"/>
  <c r="M18" i="13" s="1"/>
  <c r="BF17" i="13"/>
  <c r="AX17" i="13"/>
  <c r="AN17" i="13"/>
  <c r="AM17" i="13"/>
  <c r="AK17" i="13"/>
  <c r="AB17" i="13"/>
  <c r="S17" i="13"/>
  <c r="Q17" i="13"/>
  <c r="M17" i="13"/>
  <c r="BQ17" i="13" s="1"/>
  <c r="BP17" i="13" s="1"/>
  <c r="BO17" i="13" s="1"/>
  <c r="L17" i="13"/>
  <c r="K17" i="13"/>
  <c r="BF16" i="13"/>
  <c r="AX16" i="13"/>
  <c r="AN16" i="13"/>
  <c r="AK16" i="13"/>
  <c r="AB16" i="13"/>
  <c r="Y16" i="13"/>
  <c r="S16" i="13"/>
  <c r="Q16" i="13"/>
  <c r="T16" i="13" s="1"/>
  <c r="U16" i="13" s="1"/>
  <c r="L16" i="13"/>
  <c r="K16" i="13"/>
  <c r="M16" i="13" s="1"/>
  <c r="AX15" i="13"/>
  <c r="AR15" i="13"/>
  <c r="AN15" i="13"/>
  <c r="AM15" i="13"/>
  <c r="AK15" i="13"/>
  <c r="AB15" i="13"/>
  <c r="S15" i="13"/>
  <c r="Q15" i="13"/>
  <c r="L15" i="13"/>
  <c r="M15" i="13" s="1"/>
  <c r="K15" i="13"/>
  <c r="E15" i="13"/>
  <c r="AX14" i="13"/>
  <c r="Y14" i="13"/>
  <c r="AB14" i="13" s="1"/>
  <c r="S14" i="13"/>
  <c r="Q14" i="13"/>
  <c r="L14" i="13"/>
  <c r="M14" i="13" s="1"/>
  <c r="K14" i="13"/>
  <c r="AX13" i="13"/>
  <c r="AR13" i="13"/>
  <c r="AM13" i="13"/>
  <c r="AK13" i="13"/>
  <c r="Y13" i="13"/>
  <c r="AB13" i="13" s="1"/>
  <c r="S13" i="13"/>
  <c r="Q13" i="13"/>
  <c r="L13" i="13"/>
  <c r="K13" i="13"/>
  <c r="M13" i="13" s="1"/>
  <c r="BF12" i="13"/>
  <c r="AX12" i="13"/>
  <c r="AN12" i="13"/>
  <c r="AK12" i="13"/>
  <c r="AB12" i="13"/>
  <c r="Y12" i="13"/>
  <c r="S12" i="13"/>
  <c r="Q12" i="13"/>
  <c r="L12" i="13"/>
  <c r="K12" i="13"/>
  <c r="M12" i="13" s="1"/>
  <c r="J12" i="13"/>
  <c r="AX11" i="13"/>
  <c r="AM11" i="13"/>
  <c r="AK11" i="13"/>
  <c r="Y11" i="13"/>
  <c r="AB11" i="13" s="1"/>
  <c r="S11" i="13"/>
  <c r="Q11" i="13"/>
  <c r="M11" i="13"/>
  <c r="BQ11" i="13" s="1"/>
  <c r="BP11" i="13" s="1"/>
  <c r="BO11" i="13" s="1"/>
  <c r="L11" i="13"/>
  <c r="K11" i="13"/>
  <c r="BF10" i="13"/>
  <c r="AX10" i="13"/>
  <c r="AN10" i="13"/>
  <c r="AK10" i="13"/>
  <c r="AB10" i="13"/>
  <c r="S10" i="13"/>
  <c r="Q10" i="13"/>
  <c r="L10" i="13"/>
  <c r="K10" i="13"/>
  <c r="M10" i="13" s="1"/>
  <c r="AX9" i="13"/>
  <c r="AK9" i="13"/>
  <c r="Y9" i="13"/>
  <c r="AB9" i="13" s="1"/>
  <c r="S9" i="13"/>
  <c r="Q9" i="13"/>
  <c r="M9" i="13"/>
  <c r="N9" i="13" s="1"/>
  <c r="O9" i="13" s="1"/>
  <c r="L9" i="13"/>
  <c r="K9" i="13"/>
  <c r="BF8" i="13"/>
  <c r="AX8" i="13"/>
  <c r="AR8" i="13"/>
  <c r="AN8" i="13"/>
  <c r="AK8" i="13"/>
  <c r="Y8" i="13"/>
  <c r="AB8" i="13" s="1"/>
  <c r="S8" i="13"/>
  <c r="Q8" i="13"/>
  <c r="L8" i="13"/>
  <c r="M8" i="13" s="1"/>
  <c r="K8" i="13"/>
  <c r="BF7" i="13"/>
  <c r="AX7" i="13"/>
  <c r="AR7" i="13"/>
  <c r="AN7" i="13"/>
  <c r="AM7" i="13"/>
  <c r="AK7" i="13"/>
  <c r="AB7" i="13"/>
  <c r="S7" i="13"/>
  <c r="Q7" i="13"/>
  <c r="T7" i="13" s="1"/>
  <c r="U7" i="13" s="1"/>
  <c r="L7" i="13"/>
  <c r="K7" i="13"/>
  <c r="M7" i="13" s="1"/>
  <c r="AX6" i="13"/>
  <c r="AR6" i="13"/>
  <c r="AM6" i="13"/>
  <c r="AK6" i="13"/>
  <c r="AB6" i="13"/>
  <c r="Y6" i="13"/>
  <c r="S6" i="13"/>
  <c r="Q6" i="13"/>
  <c r="L6" i="13"/>
  <c r="M6" i="13" s="1"/>
  <c r="K6" i="13"/>
  <c r="BF5" i="13"/>
  <c r="AX5" i="13"/>
  <c r="AR5" i="13"/>
  <c r="AN5" i="13"/>
  <c r="AM5" i="13"/>
  <c r="AK5" i="13"/>
  <c r="AB5" i="13"/>
  <c r="S5" i="13"/>
  <c r="Q5" i="13"/>
  <c r="T5" i="13" s="1"/>
  <c r="U5" i="13" s="1"/>
  <c r="L5" i="13"/>
  <c r="K5" i="13"/>
  <c r="M5" i="13" s="1"/>
  <c r="N1" i="13"/>
  <c r="T15" i="13" l="1"/>
  <c r="U15" i="13" s="1"/>
  <c r="T23" i="13"/>
  <c r="U23" i="13" s="1"/>
  <c r="T6" i="13"/>
  <c r="U6" i="13" s="1"/>
  <c r="T20" i="13"/>
  <c r="U20" i="13" s="1"/>
  <c r="T17" i="13"/>
  <c r="U17" i="13" s="1"/>
  <c r="T10" i="13"/>
  <c r="U10" i="13" s="1"/>
  <c r="T13" i="13"/>
  <c r="U13" i="13" s="1"/>
  <c r="T27" i="13"/>
  <c r="U27" i="13" s="1"/>
  <c r="T30" i="13"/>
  <c r="U30" i="13" s="1"/>
  <c r="T12" i="13"/>
  <c r="U12" i="13" s="1"/>
  <c r="T26" i="13"/>
  <c r="U26" i="13" s="1"/>
  <c r="T29" i="13"/>
  <c r="U29" i="13" s="1"/>
  <c r="T18" i="13"/>
  <c r="U18" i="13" s="1"/>
  <c r="T9" i="13"/>
  <c r="U9" i="13" s="1"/>
  <c r="T25" i="13"/>
  <c r="U25" i="13" s="1"/>
  <c r="T8" i="13"/>
  <c r="U8" i="13" s="1"/>
  <c r="T11" i="13"/>
  <c r="U11" i="13" s="1"/>
  <c r="T14" i="13"/>
  <c r="U14" i="13" s="1"/>
  <c r="T22" i="13"/>
  <c r="U22" i="13" s="1"/>
  <c r="T28" i="13"/>
  <c r="U28" i="13" s="1"/>
  <c r="BQ29" i="13"/>
  <c r="BP29" i="13" s="1"/>
  <c r="BO29" i="13" s="1"/>
  <c r="N29" i="13"/>
  <c r="O29" i="13" s="1"/>
  <c r="M31" i="13"/>
  <c r="BQ31" i="13" s="1"/>
  <c r="BP31" i="13" s="1"/>
  <c r="BQ6" i="13"/>
  <c r="BP6" i="13" s="1"/>
  <c r="BO6" i="13" s="1"/>
  <c r="N6" i="13"/>
  <c r="BQ15" i="13"/>
  <c r="BP15" i="13" s="1"/>
  <c r="BO15" i="13" s="1"/>
  <c r="N15" i="13"/>
  <c r="AC5" i="13"/>
  <c r="AC26" i="13"/>
  <c r="AC29" i="13"/>
  <c r="BQ5" i="13"/>
  <c r="BP5" i="13" s="1"/>
  <c r="BO5" i="13" s="1"/>
  <c r="N5" i="13"/>
  <c r="O5" i="13" s="1"/>
  <c r="BQ19" i="13"/>
  <c r="BP19" i="13" s="1"/>
  <c r="BO19" i="13" s="1"/>
  <c r="N19" i="13"/>
  <c r="O19" i="13" s="1"/>
  <c r="BQ8" i="13"/>
  <c r="BP8" i="13" s="1"/>
  <c r="BO8" i="13" s="1"/>
  <c r="N8" i="13"/>
  <c r="O8" i="13" s="1"/>
  <c r="N14" i="13"/>
  <c r="O14" i="13" s="1"/>
  <c r="BQ14" i="13"/>
  <c r="BP14" i="13" s="1"/>
  <c r="BO14" i="13" s="1"/>
  <c r="N12" i="13"/>
  <c r="BQ12" i="13"/>
  <c r="BP12" i="13" s="1"/>
  <c r="BO12" i="13" s="1"/>
  <c r="N22" i="13"/>
  <c r="O22" i="13" s="1"/>
  <c r="BQ22" i="13"/>
  <c r="BP22" i="13" s="1"/>
  <c r="BO22" i="13" s="1"/>
  <c r="BQ25" i="13"/>
  <c r="BP25" i="13" s="1"/>
  <c r="BO25" i="13" s="1"/>
  <c r="N25" i="13"/>
  <c r="AC9" i="13"/>
  <c r="BQ7" i="13"/>
  <c r="BP7" i="13" s="1"/>
  <c r="BO7" i="13" s="1"/>
  <c r="N7" i="13"/>
  <c r="BQ21" i="13"/>
  <c r="BP21" i="13" s="1"/>
  <c r="BO21" i="13" s="1"/>
  <c r="N21" i="13"/>
  <c r="O21" i="13" s="1"/>
  <c r="N28" i="13"/>
  <c r="BQ28" i="13"/>
  <c r="BP28" i="13" s="1"/>
  <c r="BO28" i="13" s="1"/>
  <c r="N18" i="13"/>
  <c r="BQ18" i="13"/>
  <c r="BP18" i="13" s="1"/>
  <c r="BO18" i="13" s="1"/>
  <c r="N16" i="13"/>
  <c r="O16" i="13" s="1"/>
  <c r="BQ16" i="13"/>
  <c r="BP16" i="13" s="1"/>
  <c r="BO16" i="13" s="1"/>
  <c r="BQ10" i="13"/>
  <c r="BP10" i="13" s="1"/>
  <c r="BO10" i="13" s="1"/>
  <c r="N10" i="13"/>
  <c r="O10" i="13" s="1"/>
  <c r="AC11" i="13"/>
  <c r="BQ13" i="13"/>
  <c r="BP13" i="13" s="1"/>
  <c r="BO13" i="13" s="1"/>
  <c r="N13" i="13"/>
  <c r="O13" i="13" s="1"/>
  <c r="N30" i="13"/>
  <c r="BQ30" i="13"/>
  <c r="BP30" i="13" s="1"/>
  <c r="BO30" i="13" s="1"/>
  <c r="AC24" i="13"/>
  <c r="BQ24" i="13"/>
  <c r="BP24" i="13" s="1"/>
  <c r="BO24" i="13" s="1"/>
  <c r="BQ27" i="13"/>
  <c r="BP27" i="13" s="1"/>
  <c r="BO27" i="13" s="1"/>
  <c r="BQ9" i="13"/>
  <c r="BP9" i="13" s="1"/>
  <c r="BO9" i="13" s="1"/>
  <c r="N11" i="13"/>
  <c r="O11" i="13" s="1"/>
  <c r="N17" i="13"/>
  <c r="O17" i="13" s="1"/>
  <c r="N20" i="13"/>
  <c r="O20" i="13" s="1"/>
  <c r="N23" i="13"/>
  <c r="O23" i="13" s="1"/>
  <c r="N26" i="13"/>
  <c r="O26" i="13" s="1"/>
  <c r="AC18" i="13" l="1"/>
  <c r="O18" i="13"/>
  <c r="AC21" i="13"/>
  <c r="AC20" i="13"/>
  <c r="AC12" i="13"/>
  <c r="O12" i="13"/>
  <c r="AC30" i="13"/>
  <c r="O30" i="13"/>
  <c r="AC10" i="13"/>
  <c r="AC13" i="13"/>
  <c r="AC17" i="13"/>
  <c r="O28" i="13"/>
  <c r="AC28" i="13"/>
  <c r="O15" i="13"/>
  <c r="AC15" i="13"/>
  <c r="AC7" i="13"/>
  <c r="O7" i="13"/>
  <c r="O6" i="13"/>
  <c r="AC6" i="13"/>
  <c r="AC22" i="13"/>
  <c r="AC14" i="13"/>
  <c r="AC19" i="13"/>
  <c r="AC23" i="13"/>
  <c r="O25" i="13"/>
  <c r="AC25" i="13"/>
  <c r="AC8" i="13"/>
  <c r="AC16" i="13"/>
  <c r="E5" i="12" l="1"/>
  <c r="F5" i="12"/>
  <c r="G5" i="12"/>
  <c r="M5" i="12" s="1"/>
  <c r="H5" i="12"/>
  <c r="E6" i="12"/>
  <c r="F6" i="12"/>
  <c r="G6" i="12"/>
  <c r="M6" i="12" s="1"/>
  <c r="H6" i="12"/>
  <c r="J6" i="12" s="1"/>
  <c r="K6" i="12" s="1"/>
  <c r="E7" i="12"/>
  <c r="F7" i="12"/>
  <c r="G7" i="12"/>
  <c r="M7" i="12" s="1"/>
  <c r="H7" i="12"/>
  <c r="E8" i="12"/>
  <c r="F8" i="12"/>
  <c r="G8" i="12"/>
  <c r="M8" i="12" s="1"/>
  <c r="H8" i="12"/>
  <c r="E9" i="12"/>
  <c r="F9" i="12"/>
  <c r="G9" i="12"/>
  <c r="M9" i="12" s="1"/>
  <c r="H9" i="12"/>
  <c r="H4" i="12"/>
  <c r="J4" i="12" s="1"/>
  <c r="K4" i="12" s="1"/>
  <c r="G4" i="12"/>
  <c r="M4" i="12" s="1"/>
  <c r="F4" i="12"/>
  <c r="E4" i="12"/>
  <c r="I9" i="12" l="1"/>
  <c r="I5" i="12"/>
  <c r="L4" i="12"/>
  <c r="N4" i="12" s="1"/>
  <c r="I7" i="12"/>
  <c r="I8" i="12"/>
  <c r="L6" i="12"/>
  <c r="N6" i="12" s="1"/>
  <c r="I6" i="12"/>
  <c r="J7" i="12"/>
  <c r="J9" i="12"/>
  <c r="J5" i="12"/>
  <c r="J8" i="12"/>
  <c r="S4" i="12"/>
  <c r="I4" i="12"/>
  <c r="K8" i="12" l="1"/>
  <c r="L8" i="12" s="1"/>
  <c r="N8" i="12" s="1"/>
  <c r="K5" i="12"/>
  <c r="L5" i="12" s="1"/>
  <c r="N5" i="12" s="1"/>
  <c r="K7" i="12"/>
  <c r="L7" i="12" s="1"/>
  <c r="N7" i="12" s="1"/>
  <c r="K9" i="12"/>
  <c r="L9" i="12" s="1"/>
  <c r="N9" i="12" s="1"/>
  <c r="S70" i="7" l="1"/>
  <c r="E70" i="7" l="1"/>
  <c r="F70" i="7"/>
  <c r="G70" i="7"/>
  <c r="H70" i="7"/>
  <c r="J70" i="7" s="1"/>
  <c r="K70" i="7" l="1"/>
  <c r="L70" i="7"/>
  <c r="I70" i="7"/>
  <c r="M70" i="7" l="1"/>
  <c r="O70" i="7" s="1"/>
  <c r="X54" i="2"/>
  <c r="X55" i="2"/>
  <c r="X56" i="2"/>
  <c r="X57" i="2"/>
  <c r="X58" i="2"/>
  <c r="X59" i="2"/>
  <c r="X60" i="2"/>
  <c r="X61" i="2"/>
  <c r="X62" i="2"/>
  <c r="X63" i="2"/>
  <c r="X64" i="2"/>
  <c r="X65" i="2"/>
  <c r="X66" i="2"/>
  <c r="X67" i="2"/>
  <c r="X68" i="2"/>
  <c r="X69" i="2"/>
  <c r="X70" i="2"/>
  <c r="X71" i="2"/>
  <c r="X72" i="2"/>
  <c r="X73" i="2"/>
  <c r="X74" i="2"/>
  <c r="X75" i="2"/>
  <c r="X76" i="2"/>
  <c r="X77" i="2"/>
  <c r="X78" i="2"/>
  <c r="X79" i="2"/>
  <c r="X80" i="2"/>
  <c r="X81" i="2"/>
  <c r="X82" i="2"/>
  <c r="X83" i="2"/>
  <c r="X84" i="2"/>
  <c r="X85" i="2"/>
  <c r="X86" i="2"/>
  <c r="X87" i="2"/>
  <c r="X88" i="2"/>
  <c r="X89" i="2"/>
  <c r="X90" i="2"/>
  <c r="X91" i="2"/>
  <c r="X92" i="2"/>
  <c r="X93" i="2"/>
  <c r="X94" i="2"/>
  <c r="X95" i="2"/>
  <c r="X96" i="2"/>
  <c r="X97" i="2"/>
  <c r="X98" i="2"/>
  <c r="X99" i="2"/>
  <c r="X100" i="2"/>
  <c r="X101" i="2"/>
  <c r="X102" i="2"/>
  <c r="X103" i="2"/>
  <c r="X104" i="2"/>
  <c r="X105" i="2"/>
  <c r="X106" i="2"/>
  <c r="X107" i="2"/>
  <c r="X108" i="2"/>
  <c r="X109" i="2"/>
  <c r="X110" i="2"/>
  <c r="X111" i="2"/>
  <c r="X112" i="2"/>
  <c r="X113" i="2"/>
  <c r="X114" i="2"/>
  <c r="X115" i="2"/>
  <c r="X116" i="2"/>
  <c r="X117" i="2"/>
  <c r="X118" i="2"/>
  <c r="X119" i="2"/>
  <c r="X120" i="2"/>
  <c r="X121" i="2"/>
  <c r="X122" i="2"/>
  <c r="X123" i="2"/>
  <c r="X124" i="2"/>
  <c r="X125" i="2"/>
  <c r="X126" i="2"/>
  <c r="X127" i="2"/>
  <c r="X128" i="2"/>
  <c r="X129" i="2"/>
  <c r="X130" i="2"/>
  <c r="X131" i="2"/>
  <c r="X132" i="2"/>
  <c r="X133" i="2"/>
  <c r="X134" i="2"/>
  <c r="X135" i="2"/>
  <c r="X136" i="2"/>
  <c r="X137" i="2"/>
  <c r="X138" i="2"/>
  <c r="X139" i="2"/>
  <c r="X140" i="2"/>
  <c r="X141" i="2"/>
  <c r="X142" i="2"/>
  <c r="X143" i="2"/>
  <c r="X144" i="2"/>
  <c r="X145" i="2"/>
  <c r="X146" i="2"/>
  <c r="X147" i="2"/>
  <c r="X148" i="2"/>
  <c r="X149" i="2"/>
  <c r="X150" i="2"/>
  <c r="X151" i="2"/>
  <c r="X152" i="2"/>
  <c r="X153" i="2"/>
  <c r="X154" i="2"/>
  <c r="X155" i="2"/>
  <c r="X156" i="2"/>
  <c r="X157" i="2"/>
  <c r="X158" i="2"/>
  <c r="X159" i="2"/>
  <c r="X160" i="2"/>
  <c r="X161" i="2"/>
  <c r="X162" i="2"/>
  <c r="X163" i="2"/>
  <c r="X164" i="2"/>
  <c r="X165" i="2"/>
  <c r="X166" i="2"/>
  <c r="X167" i="2"/>
  <c r="X168" i="2"/>
  <c r="X169" i="2"/>
  <c r="X170" i="2"/>
  <c r="X171" i="2"/>
  <c r="X172" i="2"/>
  <c r="X173" i="2"/>
  <c r="X174" i="2"/>
  <c r="X175" i="2"/>
  <c r="X176" i="2"/>
  <c r="X177" i="2"/>
  <c r="X178" i="2"/>
  <c r="X179" i="2"/>
  <c r="X180" i="2"/>
  <c r="X181" i="2"/>
  <c r="X182" i="2"/>
  <c r="X183" i="2"/>
  <c r="X184" i="2"/>
  <c r="X185" i="2"/>
  <c r="X186" i="2"/>
  <c r="X187" i="2"/>
  <c r="X188" i="2"/>
  <c r="X189" i="2"/>
  <c r="X190" i="2"/>
  <c r="X191" i="2"/>
  <c r="X192" i="2"/>
  <c r="X193" i="2"/>
  <c r="X194" i="2"/>
  <c r="X195" i="2"/>
  <c r="X196" i="2"/>
  <c r="E54" i="2"/>
  <c r="F54" i="2"/>
  <c r="G54" i="2"/>
  <c r="H54" i="2"/>
  <c r="J54" i="2" s="1"/>
  <c r="E55" i="2"/>
  <c r="F55" i="2"/>
  <c r="G55" i="2"/>
  <c r="H55" i="2"/>
  <c r="J55" i="2" s="1"/>
  <c r="E56" i="2"/>
  <c r="F56" i="2"/>
  <c r="G56" i="2"/>
  <c r="H56" i="2"/>
  <c r="E57" i="2"/>
  <c r="F57" i="2"/>
  <c r="G57" i="2"/>
  <c r="H57" i="2"/>
  <c r="E58" i="2"/>
  <c r="F58" i="2"/>
  <c r="G58" i="2"/>
  <c r="H58" i="2"/>
  <c r="E59" i="2"/>
  <c r="F59" i="2"/>
  <c r="G59" i="2"/>
  <c r="H59" i="2"/>
  <c r="E60" i="2"/>
  <c r="F60" i="2"/>
  <c r="G60" i="2"/>
  <c r="H60" i="2"/>
  <c r="E61" i="2"/>
  <c r="F61" i="2"/>
  <c r="G61" i="2"/>
  <c r="H61" i="2"/>
  <c r="E62" i="2"/>
  <c r="F62" i="2"/>
  <c r="G62" i="2"/>
  <c r="H62" i="2"/>
  <c r="J62" i="2" s="1"/>
  <c r="K62" i="2" s="1"/>
  <c r="E63" i="2"/>
  <c r="F63" i="2"/>
  <c r="G63" i="2"/>
  <c r="H63" i="2"/>
  <c r="E64" i="2"/>
  <c r="F64" i="2"/>
  <c r="G64" i="2"/>
  <c r="H64" i="2"/>
  <c r="J64" i="2" s="1"/>
  <c r="K64" i="2" s="1"/>
  <c r="E65" i="2"/>
  <c r="F65" i="2"/>
  <c r="G65" i="2"/>
  <c r="H65" i="2"/>
  <c r="J65" i="2" s="1"/>
  <c r="K65" i="2" s="1"/>
  <c r="E66" i="2"/>
  <c r="F66" i="2"/>
  <c r="G66" i="2"/>
  <c r="H66" i="2"/>
  <c r="E67" i="2"/>
  <c r="F67" i="2"/>
  <c r="G67" i="2"/>
  <c r="H67" i="2"/>
  <c r="E68" i="2"/>
  <c r="F68" i="2"/>
  <c r="G68" i="2"/>
  <c r="H68" i="2"/>
  <c r="E69" i="2"/>
  <c r="F69" i="2"/>
  <c r="G69" i="2"/>
  <c r="H69" i="2"/>
  <c r="J69" i="2" s="1"/>
  <c r="E70" i="2"/>
  <c r="F70" i="2"/>
  <c r="G70" i="2"/>
  <c r="H70" i="2"/>
  <c r="E71" i="2"/>
  <c r="F71" i="2"/>
  <c r="G71" i="2"/>
  <c r="H71" i="2"/>
  <c r="J71" i="2" s="1"/>
  <c r="E72" i="2"/>
  <c r="F72" i="2"/>
  <c r="G72" i="2"/>
  <c r="H72" i="2"/>
  <c r="E73" i="2"/>
  <c r="F73" i="2"/>
  <c r="G73" i="2"/>
  <c r="H73" i="2"/>
  <c r="J73" i="2" s="1"/>
  <c r="E74" i="2"/>
  <c r="F74" i="2"/>
  <c r="G74" i="2"/>
  <c r="H74" i="2"/>
  <c r="E75" i="2"/>
  <c r="F75" i="2"/>
  <c r="G75" i="2"/>
  <c r="H75" i="2"/>
  <c r="J75" i="2" s="1"/>
  <c r="L75" i="2" s="1"/>
  <c r="E76" i="2"/>
  <c r="F76" i="2"/>
  <c r="G76" i="2"/>
  <c r="H76" i="2"/>
  <c r="E77" i="2"/>
  <c r="F77" i="2"/>
  <c r="G77" i="2"/>
  <c r="H77" i="2"/>
  <c r="E78" i="2"/>
  <c r="F78" i="2"/>
  <c r="G78" i="2"/>
  <c r="H78" i="2"/>
  <c r="J78" i="2" s="1"/>
  <c r="K78" i="2" s="1"/>
  <c r="E79" i="2"/>
  <c r="F79" i="2"/>
  <c r="G79" i="2"/>
  <c r="H79" i="2"/>
  <c r="J79" i="2" s="1"/>
  <c r="E80" i="2"/>
  <c r="F80" i="2"/>
  <c r="G80" i="2"/>
  <c r="H80" i="2"/>
  <c r="E81" i="2"/>
  <c r="F81" i="2"/>
  <c r="G81" i="2"/>
  <c r="H81" i="2"/>
  <c r="J81" i="2" s="1"/>
  <c r="E82" i="2"/>
  <c r="F82" i="2"/>
  <c r="G82" i="2"/>
  <c r="H82" i="2"/>
  <c r="E83" i="2"/>
  <c r="F83" i="2"/>
  <c r="G83" i="2"/>
  <c r="H83" i="2"/>
  <c r="J83" i="2" s="1"/>
  <c r="E84" i="2"/>
  <c r="F84" i="2"/>
  <c r="G84" i="2"/>
  <c r="H84" i="2"/>
  <c r="E85" i="2"/>
  <c r="F85" i="2"/>
  <c r="G85" i="2"/>
  <c r="H85" i="2"/>
  <c r="J85" i="2" s="1"/>
  <c r="E86" i="2"/>
  <c r="F86" i="2"/>
  <c r="G86" i="2"/>
  <c r="H86" i="2"/>
  <c r="J86" i="2" s="1"/>
  <c r="K86" i="2" s="1"/>
  <c r="E87" i="2"/>
  <c r="F87" i="2"/>
  <c r="G87" i="2"/>
  <c r="H87" i="2"/>
  <c r="E88" i="2"/>
  <c r="F88" i="2"/>
  <c r="G88" i="2"/>
  <c r="H88" i="2"/>
  <c r="J88" i="2" s="1"/>
  <c r="E89" i="2"/>
  <c r="F89" i="2"/>
  <c r="G89" i="2"/>
  <c r="H89" i="2"/>
  <c r="J89" i="2" s="1"/>
  <c r="E90" i="2"/>
  <c r="F90" i="2"/>
  <c r="G90" i="2"/>
  <c r="H90" i="2"/>
  <c r="E91" i="2"/>
  <c r="F91" i="2"/>
  <c r="G91" i="2"/>
  <c r="H91" i="2"/>
  <c r="E92" i="2"/>
  <c r="F92" i="2"/>
  <c r="G92" i="2"/>
  <c r="H92" i="2"/>
  <c r="J92" i="2" s="1"/>
  <c r="E93" i="2"/>
  <c r="F93" i="2"/>
  <c r="G93" i="2"/>
  <c r="H93" i="2"/>
  <c r="J93" i="2" s="1"/>
  <c r="E94" i="2"/>
  <c r="F94" i="2"/>
  <c r="G94" i="2"/>
  <c r="H94" i="2"/>
  <c r="E95" i="2"/>
  <c r="F95" i="2"/>
  <c r="G95" i="2"/>
  <c r="H95" i="2"/>
  <c r="E96" i="2"/>
  <c r="F96" i="2"/>
  <c r="G96" i="2"/>
  <c r="H96" i="2"/>
  <c r="E97" i="2"/>
  <c r="F97" i="2"/>
  <c r="G97" i="2"/>
  <c r="H97" i="2"/>
  <c r="E98" i="2"/>
  <c r="F98" i="2"/>
  <c r="G98" i="2"/>
  <c r="H98" i="2"/>
  <c r="E99" i="2"/>
  <c r="F99" i="2"/>
  <c r="G99" i="2"/>
  <c r="H99" i="2"/>
  <c r="J99" i="2" s="1"/>
  <c r="K99" i="2" s="1"/>
  <c r="E100" i="2"/>
  <c r="F100" i="2"/>
  <c r="G100" i="2"/>
  <c r="H100" i="2"/>
  <c r="J100" i="2" s="1"/>
  <c r="K100" i="2" s="1"/>
  <c r="E101" i="2"/>
  <c r="F101" i="2"/>
  <c r="G101" i="2"/>
  <c r="H101" i="2"/>
  <c r="E102" i="2"/>
  <c r="F102" i="2"/>
  <c r="G102" i="2"/>
  <c r="H102" i="2"/>
  <c r="J102" i="2" s="1"/>
  <c r="K102" i="2" s="1"/>
  <c r="E103" i="2"/>
  <c r="F103" i="2"/>
  <c r="G103" i="2"/>
  <c r="H103" i="2"/>
  <c r="E104" i="2"/>
  <c r="F104" i="2"/>
  <c r="G104" i="2"/>
  <c r="H104" i="2"/>
  <c r="E105" i="2"/>
  <c r="F105" i="2"/>
  <c r="G105" i="2"/>
  <c r="H105" i="2"/>
  <c r="E106" i="2"/>
  <c r="F106" i="2"/>
  <c r="G106" i="2"/>
  <c r="H106" i="2"/>
  <c r="J106" i="2" s="1"/>
  <c r="L106" i="2" s="1"/>
  <c r="E107" i="2"/>
  <c r="F107" i="2"/>
  <c r="G107" i="2"/>
  <c r="H107" i="2"/>
  <c r="E108" i="2"/>
  <c r="F108" i="2"/>
  <c r="G108" i="2"/>
  <c r="H108" i="2"/>
  <c r="E109" i="2"/>
  <c r="F109" i="2"/>
  <c r="G109" i="2"/>
  <c r="H109" i="2"/>
  <c r="E110" i="2"/>
  <c r="F110" i="2"/>
  <c r="G110" i="2"/>
  <c r="H110" i="2"/>
  <c r="E111" i="2"/>
  <c r="F111" i="2"/>
  <c r="G111" i="2"/>
  <c r="H111" i="2"/>
  <c r="J111" i="2" s="1"/>
  <c r="K111" i="2" s="1"/>
  <c r="E112" i="2"/>
  <c r="F112" i="2"/>
  <c r="G112" i="2"/>
  <c r="H112" i="2"/>
  <c r="E113" i="2"/>
  <c r="F113" i="2"/>
  <c r="G113" i="2"/>
  <c r="H113" i="2"/>
  <c r="J113" i="2" s="1"/>
  <c r="K113" i="2" s="1"/>
  <c r="E114" i="2"/>
  <c r="F114" i="2"/>
  <c r="G114" i="2"/>
  <c r="H114" i="2"/>
  <c r="E115" i="2"/>
  <c r="F115" i="2"/>
  <c r="G115" i="2"/>
  <c r="H115" i="2"/>
  <c r="J115" i="2" s="1"/>
  <c r="E116" i="2"/>
  <c r="F116" i="2"/>
  <c r="G116" i="2"/>
  <c r="H116" i="2"/>
  <c r="E117" i="2"/>
  <c r="F117" i="2"/>
  <c r="G117" i="2"/>
  <c r="H117" i="2"/>
  <c r="J117" i="2" s="1"/>
  <c r="L117" i="2" s="1"/>
  <c r="E118" i="2"/>
  <c r="F118" i="2"/>
  <c r="G118" i="2"/>
  <c r="H118" i="2"/>
  <c r="J118" i="2" s="1"/>
  <c r="K118" i="2" s="1"/>
  <c r="E119" i="2"/>
  <c r="F119" i="2"/>
  <c r="G119" i="2"/>
  <c r="H119" i="2"/>
  <c r="E120" i="2"/>
  <c r="F120" i="2"/>
  <c r="G120" i="2"/>
  <c r="H120" i="2"/>
  <c r="J120" i="2" s="1"/>
  <c r="K120" i="2" s="1"/>
  <c r="E121" i="2"/>
  <c r="F121" i="2"/>
  <c r="G121" i="2"/>
  <c r="H121" i="2"/>
  <c r="E122" i="2"/>
  <c r="F122" i="2"/>
  <c r="G122" i="2"/>
  <c r="H122" i="2"/>
  <c r="E123" i="2"/>
  <c r="F123" i="2"/>
  <c r="G123" i="2"/>
  <c r="H123" i="2"/>
  <c r="E124" i="2"/>
  <c r="F124" i="2"/>
  <c r="G124" i="2"/>
  <c r="H124" i="2"/>
  <c r="E125" i="2"/>
  <c r="F125" i="2"/>
  <c r="G125" i="2"/>
  <c r="H125" i="2"/>
  <c r="J125" i="2" s="1"/>
  <c r="E126" i="2"/>
  <c r="F126" i="2"/>
  <c r="G126" i="2"/>
  <c r="H126" i="2"/>
  <c r="E127" i="2"/>
  <c r="F127" i="2"/>
  <c r="G127" i="2"/>
  <c r="H127" i="2"/>
  <c r="J127" i="2" s="1"/>
  <c r="E128" i="2"/>
  <c r="F128" i="2"/>
  <c r="G128" i="2"/>
  <c r="H128" i="2"/>
  <c r="E129" i="2"/>
  <c r="F129" i="2"/>
  <c r="G129" i="2"/>
  <c r="H129" i="2"/>
  <c r="E130" i="2"/>
  <c r="F130" i="2"/>
  <c r="G130" i="2"/>
  <c r="H130" i="2"/>
  <c r="E131" i="2"/>
  <c r="F131" i="2"/>
  <c r="G131" i="2"/>
  <c r="H131" i="2"/>
  <c r="E132" i="2"/>
  <c r="F132" i="2"/>
  <c r="G132" i="2"/>
  <c r="H132" i="2"/>
  <c r="J132" i="2" s="1"/>
  <c r="K132" i="2" s="1"/>
  <c r="E133" i="2"/>
  <c r="F133" i="2"/>
  <c r="G133" i="2"/>
  <c r="H133" i="2"/>
  <c r="E134" i="2"/>
  <c r="F134" i="2"/>
  <c r="G134" i="2"/>
  <c r="H134" i="2"/>
  <c r="J134" i="2" s="1"/>
  <c r="L134" i="2" s="1"/>
  <c r="E135" i="2"/>
  <c r="F135" i="2"/>
  <c r="G135" i="2"/>
  <c r="H135" i="2"/>
  <c r="J135" i="2" s="1"/>
  <c r="E136" i="2"/>
  <c r="F136" i="2"/>
  <c r="G136" i="2"/>
  <c r="H136" i="2"/>
  <c r="E137" i="2"/>
  <c r="F137" i="2"/>
  <c r="G137" i="2"/>
  <c r="H137" i="2"/>
  <c r="E138" i="2"/>
  <c r="F138" i="2"/>
  <c r="G138" i="2"/>
  <c r="H138" i="2"/>
  <c r="E139" i="2"/>
  <c r="F139" i="2"/>
  <c r="G139" i="2"/>
  <c r="H139" i="2"/>
  <c r="E140" i="2"/>
  <c r="F140" i="2"/>
  <c r="G140" i="2"/>
  <c r="H140" i="2"/>
  <c r="E141" i="2"/>
  <c r="F141" i="2"/>
  <c r="G141" i="2"/>
  <c r="H141" i="2"/>
  <c r="J141" i="2" s="1"/>
  <c r="E142" i="2"/>
  <c r="F142" i="2"/>
  <c r="G142" i="2"/>
  <c r="H142" i="2"/>
  <c r="J142" i="2" s="1"/>
  <c r="K142" i="2" s="1"/>
  <c r="E143" i="2"/>
  <c r="F143" i="2"/>
  <c r="G143" i="2"/>
  <c r="H143" i="2"/>
  <c r="E144" i="2"/>
  <c r="F144" i="2"/>
  <c r="G144" i="2"/>
  <c r="H144" i="2"/>
  <c r="E145" i="2"/>
  <c r="F145" i="2"/>
  <c r="G145" i="2"/>
  <c r="H145" i="2"/>
  <c r="J145" i="2" s="1"/>
  <c r="L145" i="2" s="1"/>
  <c r="E146" i="2"/>
  <c r="F146" i="2"/>
  <c r="G146" i="2"/>
  <c r="H146" i="2"/>
  <c r="J146" i="2" s="1"/>
  <c r="K146" i="2" s="1"/>
  <c r="E147" i="2"/>
  <c r="F147" i="2"/>
  <c r="G147" i="2"/>
  <c r="H147" i="2"/>
  <c r="E148" i="2"/>
  <c r="F148" i="2"/>
  <c r="G148" i="2"/>
  <c r="H148" i="2"/>
  <c r="J148" i="2" s="1"/>
  <c r="E149" i="2"/>
  <c r="F149" i="2"/>
  <c r="G149" i="2"/>
  <c r="H149" i="2"/>
  <c r="J149" i="2" s="1"/>
  <c r="E150" i="2"/>
  <c r="F150" i="2"/>
  <c r="G150" i="2"/>
  <c r="H150" i="2"/>
  <c r="E151" i="2"/>
  <c r="F151" i="2"/>
  <c r="G151" i="2"/>
  <c r="H151" i="2"/>
  <c r="E152" i="2"/>
  <c r="F152" i="2"/>
  <c r="G152" i="2"/>
  <c r="H152" i="2"/>
  <c r="E153" i="2"/>
  <c r="F153" i="2"/>
  <c r="G153" i="2"/>
  <c r="H153" i="2"/>
  <c r="J153" i="2" s="1"/>
  <c r="K153" i="2" s="1"/>
  <c r="E154" i="2"/>
  <c r="F154" i="2"/>
  <c r="G154" i="2"/>
  <c r="H154" i="2"/>
  <c r="J154" i="2" s="1"/>
  <c r="K154" i="2" s="1"/>
  <c r="E155" i="2"/>
  <c r="F155" i="2"/>
  <c r="G155" i="2"/>
  <c r="H155" i="2"/>
  <c r="J155" i="2" s="1"/>
  <c r="K155" i="2" s="1"/>
  <c r="E156" i="2"/>
  <c r="F156" i="2"/>
  <c r="G156" i="2"/>
  <c r="H156" i="2"/>
  <c r="J156" i="2" s="1"/>
  <c r="K156" i="2" s="1"/>
  <c r="E157" i="2"/>
  <c r="F157" i="2"/>
  <c r="G157" i="2"/>
  <c r="H157" i="2"/>
  <c r="J157" i="2" s="1"/>
  <c r="K157" i="2" s="1"/>
  <c r="E158" i="2"/>
  <c r="F158" i="2"/>
  <c r="G158" i="2"/>
  <c r="H158" i="2"/>
  <c r="E159" i="2"/>
  <c r="F159" i="2"/>
  <c r="G159" i="2"/>
  <c r="H159" i="2"/>
  <c r="J159" i="2" s="1"/>
  <c r="E160" i="2"/>
  <c r="F160" i="2"/>
  <c r="G160" i="2"/>
  <c r="H160" i="2"/>
  <c r="J160" i="2" s="1"/>
  <c r="K160" i="2" s="1"/>
  <c r="E161" i="2"/>
  <c r="F161" i="2"/>
  <c r="G161" i="2"/>
  <c r="H161" i="2"/>
  <c r="E162" i="2"/>
  <c r="F162" i="2"/>
  <c r="G162" i="2"/>
  <c r="H162" i="2"/>
  <c r="J162" i="2" s="1"/>
  <c r="E163" i="2"/>
  <c r="F163" i="2"/>
  <c r="G163" i="2"/>
  <c r="H163" i="2"/>
  <c r="E164" i="2"/>
  <c r="F164" i="2"/>
  <c r="G164" i="2"/>
  <c r="H164" i="2"/>
  <c r="E165" i="2"/>
  <c r="F165" i="2"/>
  <c r="G165" i="2"/>
  <c r="H165" i="2"/>
  <c r="E166" i="2"/>
  <c r="F166" i="2"/>
  <c r="G166" i="2"/>
  <c r="H166" i="2"/>
  <c r="E167" i="2"/>
  <c r="F167" i="2"/>
  <c r="G167" i="2"/>
  <c r="H167" i="2"/>
  <c r="E168" i="2"/>
  <c r="F168" i="2"/>
  <c r="G168" i="2"/>
  <c r="H168" i="2"/>
  <c r="E169" i="2"/>
  <c r="F169" i="2"/>
  <c r="G169" i="2"/>
  <c r="H169" i="2"/>
  <c r="J169" i="2" s="1"/>
  <c r="L169" i="2" s="1"/>
  <c r="E170" i="2"/>
  <c r="F170" i="2"/>
  <c r="G170" i="2"/>
  <c r="H170" i="2"/>
  <c r="J170" i="2" s="1"/>
  <c r="K170" i="2" s="1"/>
  <c r="E171" i="2"/>
  <c r="F171" i="2"/>
  <c r="G171" i="2"/>
  <c r="H171" i="2"/>
  <c r="J171" i="2" s="1"/>
  <c r="K171" i="2" s="1"/>
  <c r="E172" i="2"/>
  <c r="F172" i="2"/>
  <c r="G172" i="2"/>
  <c r="H172" i="2"/>
  <c r="E173" i="2"/>
  <c r="F173" i="2"/>
  <c r="G173" i="2"/>
  <c r="H173" i="2"/>
  <c r="J173" i="2" s="1"/>
  <c r="L173" i="2" s="1"/>
  <c r="E174" i="2"/>
  <c r="F174" i="2"/>
  <c r="G174" i="2"/>
  <c r="H174" i="2"/>
  <c r="J174" i="2" s="1"/>
  <c r="K174" i="2" s="1"/>
  <c r="E175" i="2"/>
  <c r="F175" i="2"/>
  <c r="G175" i="2"/>
  <c r="H175" i="2"/>
  <c r="E176" i="2"/>
  <c r="F176" i="2"/>
  <c r="G176" i="2"/>
  <c r="H176" i="2"/>
  <c r="J176" i="2" s="1"/>
  <c r="L176" i="2" s="1"/>
  <c r="E177" i="2"/>
  <c r="F177" i="2"/>
  <c r="G177" i="2"/>
  <c r="H177" i="2"/>
  <c r="E178" i="2"/>
  <c r="F178" i="2"/>
  <c r="G178" i="2"/>
  <c r="H178" i="2"/>
  <c r="E179" i="2"/>
  <c r="F179" i="2"/>
  <c r="G179" i="2"/>
  <c r="H179" i="2"/>
  <c r="E180" i="2"/>
  <c r="F180" i="2"/>
  <c r="G180" i="2"/>
  <c r="H180" i="2"/>
  <c r="E181" i="2"/>
  <c r="F181" i="2"/>
  <c r="G181" i="2"/>
  <c r="H181" i="2"/>
  <c r="J181" i="2" s="1"/>
  <c r="E182" i="2"/>
  <c r="F182" i="2"/>
  <c r="G182" i="2"/>
  <c r="H182" i="2"/>
  <c r="E183" i="2"/>
  <c r="F183" i="2"/>
  <c r="G183" i="2"/>
  <c r="H183" i="2"/>
  <c r="E184" i="2"/>
  <c r="F184" i="2"/>
  <c r="G184" i="2"/>
  <c r="H184" i="2"/>
  <c r="E185" i="2"/>
  <c r="F185" i="2"/>
  <c r="G185" i="2"/>
  <c r="H185" i="2"/>
  <c r="J185" i="2" s="1"/>
  <c r="K185" i="2" s="1"/>
  <c r="E186" i="2"/>
  <c r="F186" i="2"/>
  <c r="G186" i="2"/>
  <c r="H186" i="2"/>
  <c r="J186" i="2" s="1"/>
  <c r="E187" i="2"/>
  <c r="F187" i="2"/>
  <c r="G187" i="2"/>
  <c r="H187" i="2"/>
  <c r="J187" i="2" s="1"/>
  <c r="L187" i="2" s="1"/>
  <c r="E188" i="2"/>
  <c r="F188" i="2"/>
  <c r="G188" i="2"/>
  <c r="H188" i="2"/>
  <c r="J188" i="2" s="1"/>
  <c r="E189" i="2"/>
  <c r="F189" i="2"/>
  <c r="G189" i="2"/>
  <c r="H189" i="2"/>
  <c r="E190" i="2"/>
  <c r="F190" i="2"/>
  <c r="G190" i="2"/>
  <c r="H190" i="2"/>
  <c r="J190" i="2" s="1"/>
  <c r="K190" i="2" s="1"/>
  <c r="E191" i="2"/>
  <c r="F191" i="2"/>
  <c r="G191" i="2"/>
  <c r="H191" i="2"/>
  <c r="E192" i="2"/>
  <c r="F192" i="2"/>
  <c r="G192" i="2"/>
  <c r="H192" i="2"/>
  <c r="E193" i="2"/>
  <c r="F193" i="2"/>
  <c r="G193" i="2"/>
  <c r="H193" i="2"/>
  <c r="E194" i="2"/>
  <c r="F194" i="2"/>
  <c r="G194" i="2"/>
  <c r="H194" i="2"/>
  <c r="J194" i="2" s="1"/>
  <c r="E195" i="2"/>
  <c r="F195" i="2"/>
  <c r="G195" i="2"/>
  <c r="H195" i="2"/>
  <c r="E196" i="2"/>
  <c r="F196" i="2"/>
  <c r="G196" i="2"/>
  <c r="H196" i="2"/>
  <c r="J196" i="2" s="1"/>
  <c r="S20" i="7"/>
  <c r="S9" i="7"/>
  <c r="AD20" i="7" l="1"/>
  <c r="AG20" i="7"/>
  <c r="AH20" i="7" s="1"/>
  <c r="I140" i="2"/>
  <c r="I184" i="2"/>
  <c r="I171" i="2"/>
  <c r="L102" i="2"/>
  <c r="M102" i="2" s="1"/>
  <c r="I136" i="2"/>
  <c r="I59" i="2"/>
  <c r="I187" i="2"/>
  <c r="L190" i="2"/>
  <c r="M190" i="2" s="1"/>
  <c r="K187" i="2"/>
  <c r="M187" i="2" s="1"/>
  <c r="J184" i="2"/>
  <c r="K184" i="2" s="1"/>
  <c r="I149" i="2"/>
  <c r="I131" i="2"/>
  <c r="I124" i="2"/>
  <c r="I69" i="2"/>
  <c r="I155" i="2"/>
  <c r="I170" i="2"/>
  <c r="I156" i="2"/>
  <c r="I101" i="2"/>
  <c r="I189" i="2"/>
  <c r="I66" i="2"/>
  <c r="I148" i="2"/>
  <c r="I96" i="2"/>
  <c r="K88" i="2"/>
  <c r="L88" i="2"/>
  <c r="K162" i="2"/>
  <c r="L162" i="2"/>
  <c r="I157" i="2"/>
  <c r="I176" i="2"/>
  <c r="I173" i="2"/>
  <c r="I105" i="2"/>
  <c r="I89" i="2"/>
  <c r="I82" i="2"/>
  <c r="I72" i="2"/>
  <c r="I159" i="2"/>
  <c r="I106" i="2"/>
  <c r="I129" i="2"/>
  <c r="I188" i="2"/>
  <c r="I128" i="2"/>
  <c r="I125" i="2"/>
  <c r="I121" i="2"/>
  <c r="I111" i="2"/>
  <c r="I178" i="2"/>
  <c r="I165" i="2"/>
  <c r="I152" i="2"/>
  <c r="J101" i="2"/>
  <c r="L101" i="2" s="1"/>
  <c r="I61" i="2"/>
  <c r="I174" i="2"/>
  <c r="I103" i="2"/>
  <c r="I87" i="2"/>
  <c r="I123" i="2"/>
  <c r="L157" i="2"/>
  <c r="L89" i="2"/>
  <c r="K89" i="2"/>
  <c r="K92" i="2"/>
  <c r="L92" i="2"/>
  <c r="K194" i="2"/>
  <c r="L194" i="2"/>
  <c r="L135" i="2"/>
  <c r="K135" i="2"/>
  <c r="K54" i="2"/>
  <c r="L54" i="2"/>
  <c r="L148" i="2"/>
  <c r="K148" i="2"/>
  <c r="I190" i="2"/>
  <c r="I181" i="2"/>
  <c r="I162" i="2"/>
  <c r="I130" i="2"/>
  <c r="L120" i="2"/>
  <c r="M120" i="2" s="1"/>
  <c r="K117" i="2"/>
  <c r="M117" i="2" s="1"/>
  <c r="I114" i="2"/>
  <c r="I104" i="2"/>
  <c r="L99" i="2"/>
  <c r="M99" i="2" s="1"/>
  <c r="U99" i="2" s="1"/>
  <c r="V99" i="2" s="1"/>
  <c r="W99" i="2" s="1"/>
  <c r="J72" i="2"/>
  <c r="K72" i="2" s="1"/>
  <c r="I56" i="2"/>
  <c r="I192" i="2"/>
  <c r="J96" i="2"/>
  <c r="L78" i="2"/>
  <c r="M78" i="2" s="1"/>
  <c r="I183" i="2"/>
  <c r="I145" i="2"/>
  <c r="I126" i="2"/>
  <c r="I117" i="2"/>
  <c r="J87" i="2"/>
  <c r="K87" i="2" s="1"/>
  <c r="I68" i="2"/>
  <c r="I186" i="2"/>
  <c r="I151" i="2"/>
  <c r="I142" i="2"/>
  <c r="I138" i="2"/>
  <c r="I135" i="2"/>
  <c r="K106" i="2"/>
  <c r="M106" i="2" s="1"/>
  <c r="J103" i="2"/>
  <c r="I196" i="2"/>
  <c r="I191" i="2"/>
  <c r="I160" i="2"/>
  <c r="I122" i="2"/>
  <c r="I119" i="2"/>
  <c r="I116" i="2"/>
  <c r="I113" i="2"/>
  <c r="I78" i="2"/>
  <c r="J61" i="2"/>
  <c r="L61" i="2" s="1"/>
  <c r="I58" i="2"/>
  <c r="I185" i="2"/>
  <c r="I175" i="2"/>
  <c r="I112" i="2"/>
  <c r="I83" i="2"/>
  <c r="I77" i="2"/>
  <c r="I194" i="2"/>
  <c r="K134" i="2"/>
  <c r="M134" i="2" s="1"/>
  <c r="J131" i="2"/>
  <c r="K131" i="2" s="1"/>
  <c r="J128" i="2"/>
  <c r="K128" i="2" s="1"/>
  <c r="I100" i="2"/>
  <c r="K149" i="2"/>
  <c r="L149" i="2"/>
  <c r="L85" i="2"/>
  <c r="K85" i="2"/>
  <c r="K115" i="2"/>
  <c r="L115" i="2"/>
  <c r="K73" i="2"/>
  <c r="L73" i="2"/>
  <c r="J195" i="2"/>
  <c r="K195" i="2" s="1"/>
  <c r="I195" i="2"/>
  <c r="I134" i="2"/>
  <c r="I93" i="2"/>
  <c r="I71" i="2"/>
  <c r="I163" i="2"/>
  <c r="J163" i="2"/>
  <c r="J139" i="2"/>
  <c r="K139" i="2" s="1"/>
  <c r="I139" i="2"/>
  <c r="K93" i="2"/>
  <c r="L93" i="2"/>
  <c r="I90" i="2"/>
  <c r="J90" i="2"/>
  <c r="K90" i="2" s="1"/>
  <c r="I172" i="2"/>
  <c r="K145" i="2"/>
  <c r="M145" i="2" s="1"/>
  <c r="I133" i="2"/>
  <c r="K79" i="2"/>
  <c r="L79" i="2"/>
  <c r="I76" i="2"/>
  <c r="J76" i="2"/>
  <c r="K76" i="2" s="1"/>
  <c r="I70" i="2"/>
  <c r="I67" i="2"/>
  <c r="J67" i="2"/>
  <c r="L64" i="2"/>
  <c r="M64" i="2" s="1"/>
  <c r="I143" i="2"/>
  <c r="J143" i="2"/>
  <c r="K143" i="2" s="1"/>
  <c r="K169" i="2"/>
  <c r="M169" i="2" s="1"/>
  <c r="I73" i="2"/>
  <c r="I193" i="2"/>
  <c r="I158" i="2"/>
  <c r="J167" i="2"/>
  <c r="K167" i="2" s="1"/>
  <c r="I167" i="2"/>
  <c r="I177" i="2"/>
  <c r="J177" i="2"/>
  <c r="I150" i="2"/>
  <c r="I169" i="2"/>
  <c r="I95" i="2"/>
  <c r="J95" i="2"/>
  <c r="K75" i="2"/>
  <c r="M75" i="2" s="1"/>
  <c r="J59" i="2"/>
  <c r="L59" i="2" s="1"/>
  <c r="J191" i="2"/>
  <c r="L159" i="2"/>
  <c r="K159" i="2"/>
  <c r="I153" i="2"/>
  <c r="J129" i="2"/>
  <c r="K129" i="2" s="1"/>
  <c r="J97" i="2"/>
  <c r="K97" i="2" s="1"/>
  <c r="I97" i="2"/>
  <c r="K81" i="2"/>
  <c r="L81" i="2"/>
  <c r="I75" i="2"/>
  <c r="I107" i="2"/>
  <c r="J107" i="2"/>
  <c r="I168" i="2"/>
  <c r="I144" i="2"/>
  <c r="J114" i="2"/>
  <c r="K114" i="2" s="1"/>
  <c r="I63" i="2"/>
  <c r="I60" i="2"/>
  <c r="L188" i="2"/>
  <c r="K188" i="2"/>
  <c r="K176" i="2"/>
  <c r="M176" i="2" s="1"/>
  <c r="K173" i="2"/>
  <c r="M173" i="2" s="1"/>
  <c r="I115" i="2"/>
  <c r="I179" i="2"/>
  <c r="J104" i="2"/>
  <c r="K104" i="2" s="1"/>
  <c r="I94" i="2"/>
  <c r="I86" i="2"/>
  <c r="L65" i="2"/>
  <c r="M65" i="2" s="1"/>
  <c r="J121" i="2"/>
  <c r="I99" i="2"/>
  <c r="I92" i="2"/>
  <c r="I85" i="2"/>
  <c r="I164" i="2"/>
  <c r="I154" i="2"/>
  <c r="I141" i="2"/>
  <c r="I132" i="2"/>
  <c r="I110" i="2"/>
  <c r="I98" i="2"/>
  <c r="I91" i="2"/>
  <c r="I74" i="2"/>
  <c r="J58" i="2"/>
  <c r="K58" i="2" s="1"/>
  <c r="I55" i="2"/>
  <c r="I180" i="2"/>
  <c r="I146" i="2"/>
  <c r="I137" i="2"/>
  <c r="I127" i="2"/>
  <c r="I118" i="2"/>
  <c r="I84" i="2"/>
  <c r="I79" i="2"/>
  <c r="I64" i="2"/>
  <c r="I161" i="2"/>
  <c r="I109" i="2"/>
  <c r="I102" i="2"/>
  <c r="I88" i="2"/>
  <c r="I81" i="2"/>
  <c r="I182" i="2"/>
  <c r="I166" i="2"/>
  <c r="I65" i="2"/>
  <c r="I57" i="2"/>
  <c r="I147" i="2"/>
  <c r="I120" i="2"/>
  <c r="I108" i="2"/>
  <c r="I80" i="2"/>
  <c r="I62" i="2"/>
  <c r="I54" i="2"/>
  <c r="K141" i="2"/>
  <c r="L141" i="2"/>
  <c r="K186" i="2"/>
  <c r="L186" i="2"/>
  <c r="K69" i="2"/>
  <c r="L69" i="2"/>
  <c r="L113" i="2"/>
  <c r="K127" i="2"/>
  <c r="L127" i="2"/>
  <c r="K55" i="2"/>
  <c r="L55" i="2"/>
  <c r="K71" i="2"/>
  <c r="L71" i="2"/>
  <c r="L196" i="2"/>
  <c r="K196" i="2"/>
  <c r="K125" i="2"/>
  <c r="L125" i="2"/>
  <c r="K83" i="2"/>
  <c r="L83" i="2"/>
  <c r="K181" i="2"/>
  <c r="L181" i="2"/>
  <c r="L111" i="2"/>
  <c r="J179" i="2"/>
  <c r="J151" i="2"/>
  <c r="J137" i="2"/>
  <c r="J123" i="2"/>
  <c r="J109" i="2"/>
  <c r="K109" i="2" s="1"/>
  <c r="J193" i="2"/>
  <c r="L185" i="2"/>
  <c r="M185" i="2" s="1"/>
  <c r="L171" i="2"/>
  <c r="M171" i="2" s="1"/>
  <c r="J165" i="2"/>
  <c r="J182" i="2"/>
  <c r="L174" i="2"/>
  <c r="M174" i="2" s="1"/>
  <c r="J168" i="2"/>
  <c r="L160" i="2"/>
  <c r="M160" i="2" s="1"/>
  <c r="L146" i="2"/>
  <c r="M146" i="2" s="1"/>
  <c r="J140" i="2"/>
  <c r="L132" i="2"/>
  <c r="M132" i="2" s="1"/>
  <c r="J126" i="2"/>
  <c r="L118" i="2"/>
  <c r="M118" i="2" s="1"/>
  <c r="J112" i="2"/>
  <c r="K112" i="2" s="1"/>
  <c r="J98" i="2"/>
  <c r="J84" i="2"/>
  <c r="J70" i="2"/>
  <c r="L62" i="2"/>
  <c r="M62" i="2" s="1"/>
  <c r="J56" i="2"/>
  <c r="J180" i="2"/>
  <c r="J166" i="2"/>
  <c r="J152" i="2"/>
  <c r="J138" i="2"/>
  <c r="J124" i="2"/>
  <c r="J110" i="2"/>
  <c r="K110" i="2" s="1"/>
  <c r="J82" i="2"/>
  <c r="J68" i="2"/>
  <c r="J183" i="2"/>
  <c r="J57" i="2"/>
  <c r="J172" i="2"/>
  <c r="J158" i="2"/>
  <c r="J144" i="2"/>
  <c r="J130" i="2"/>
  <c r="J116" i="2"/>
  <c r="J74" i="2"/>
  <c r="J60" i="2"/>
  <c r="J189" i="2"/>
  <c r="J161" i="2"/>
  <c r="J147" i="2"/>
  <c r="J133" i="2"/>
  <c r="J119" i="2"/>
  <c r="J105" i="2"/>
  <c r="J91" i="2"/>
  <c r="J77" i="2"/>
  <c r="J63" i="2"/>
  <c r="J175" i="2"/>
  <c r="J192" i="2"/>
  <c r="J178" i="2"/>
  <c r="L170" i="2"/>
  <c r="M170" i="2" s="1"/>
  <c r="J164" i="2"/>
  <c r="L156" i="2"/>
  <c r="M156" i="2" s="1"/>
  <c r="U156" i="2" s="1"/>
  <c r="J150" i="2"/>
  <c r="L142" i="2"/>
  <c r="M142" i="2" s="1"/>
  <c r="J136" i="2"/>
  <c r="J122" i="2"/>
  <c r="J108" i="2"/>
  <c r="L100" i="2"/>
  <c r="M100" i="2" s="1"/>
  <c r="J94" i="2"/>
  <c r="L86" i="2"/>
  <c r="M86" i="2" s="1"/>
  <c r="J80" i="2"/>
  <c r="J66" i="2"/>
  <c r="L108" i="2" l="1"/>
  <c r="K108" i="2"/>
  <c r="K59" i="2"/>
  <c r="M92" i="2"/>
  <c r="L128" i="2"/>
  <c r="M128" i="2" s="1"/>
  <c r="O128" i="2" s="1"/>
  <c r="K61" i="2"/>
  <c r="M61" i="2" s="1"/>
  <c r="O61" i="2" s="1"/>
  <c r="L184" i="2"/>
  <c r="M184" i="2" s="1"/>
  <c r="O184" i="2" s="1"/>
  <c r="M194" i="2"/>
  <c r="U194" i="2" s="1"/>
  <c r="V194" i="2" s="1"/>
  <c r="W194" i="2" s="1"/>
  <c r="M93" i="2"/>
  <c r="U93" i="2" s="1"/>
  <c r="V93" i="2" s="1"/>
  <c r="W93" i="2" s="1"/>
  <c r="M115" i="2"/>
  <c r="O115" i="2" s="1"/>
  <c r="M135" i="2"/>
  <c r="U135" i="2" s="1"/>
  <c r="V135" i="2" s="1"/>
  <c r="W135" i="2" s="1"/>
  <c r="M162" i="2"/>
  <c r="U162" i="2" s="1"/>
  <c r="V162" i="2" s="1"/>
  <c r="W162" i="2" s="1"/>
  <c r="K101" i="2"/>
  <c r="M101" i="2" s="1"/>
  <c r="O101" i="2" s="1"/>
  <c r="M89" i="2"/>
  <c r="O89" i="2" s="1"/>
  <c r="L87" i="2"/>
  <c r="M87" i="2" s="1"/>
  <c r="M157" i="2"/>
  <c r="L76" i="2"/>
  <c r="M76" i="2" s="1"/>
  <c r="O76" i="2" s="1"/>
  <c r="L131" i="2"/>
  <c r="M131" i="2" s="1"/>
  <c r="M88" i="2"/>
  <c r="U88" i="2" s="1"/>
  <c r="V88" i="2" s="1"/>
  <c r="W88" i="2" s="1"/>
  <c r="M54" i="2"/>
  <c r="O54" i="2" s="1"/>
  <c r="M149" i="2"/>
  <c r="U149" i="2" s="1"/>
  <c r="V149" i="2" s="1"/>
  <c r="W149" i="2" s="1"/>
  <c r="M148" i="2"/>
  <c r="U148" i="2" s="1"/>
  <c r="V148" i="2" s="1"/>
  <c r="W148" i="2" s="1"/>
  <c r="M188" i="2"/>
  <c r="O188" i="2" s="1"/>
  <c r="L97" i="2"/>
  <c r="M97" i="2" s="1"/>
  <c r="L58" i="2"/>
  <c r="M58" i="2" s="1"/>
  <c r="U58" i="2" s="1"/>
  <c r="V58" i="2" s="1"/>
  <c r="W58" i="2" s="1"/>
  <c r="M73" i="2"/>
  <c r="O73" i="2" s="1"/>
  <c r="M79" i="2"/>
  <c r="O79" i="2" s="1"/>
  <c r="L72" i="2"/>
  <c r="M72" i="2" s="1"/>
  <c r="O72" i="2" s="1"/>
  <c r="M81" i="2"/>
  <c r="O81" i="2" s="1"/>
  <c r="L143" i="2"/>
  <c r="M143" i="2" s="1"/>
  <c r="U143" i="2" s="1"/>
  <c r="V143" i="2" s="1"/>
  <c r="W143" i="2" s="1"/>
  <c r="O99" i="2"/>
  <c r="L103" i="2"/>
  <c r="K103" i="2"/>
  <c r="K96" i="2"/>
  <c r="L96" i="2"/>
  <c r="U65" i="2"/>
  <c r="V65" i="2" s="1"/>
  <c r="W65" i="2" s="1"/>
  <c r="O65" i="2"/>
  <c r="U145" i="2"/>
  <c r="V145" i="2" s="1"/>
  <c r="W145" i="2" s="1"/>
  <c r="O145" i="2"/>
  <c r="U173" i="2"/>
  <c r="V173" i="2" s="1"/>
  <c r="W173" i="2" s="1"/>
  <c r="O173" i="2"/>
  <c r="O100" i="2"/>
  <c r="U100" i="2"/>
  <c r="V100" i="2" s="1"/>
  <c r="W100" i="2" s="1"/>
  <c r="K107" i="2"/>
  <c r="L107" i="2"/>
  <c r="M159" i="2"/>
  <c r="L129" i="2"/>
  <c r="M129" i="2" s="1"/>
  <c r="U176" i="2"/>
  <c r="V176" i="2" s="1"/>
  <c r="W176" i="2" s="1"/>
  <c r="O176" i="2"/>
  <c r="U128" i="2"/>
  <c r="V128" i="2" s="1"/>
  <c r="W128" i="2" s="1"/>
  <c r="L167" i="2"/>
  <c r="M167" i="2" s="1"/>
  <c r="U92" i="2"/>
  <c r="V92" i="2" s="1"/>
  <c r="W92" i="2" s="1"/>
  <c r="O92" i="2"/>
  <c r="O120" i="2"/>
  <c r="U120" i="2"/>
  <c r="V120" i="2" s="1"/>
  <c r="W120" i="2" s="1"/>
  <c r="K191" i="2"/>
  <c r="L191" i="2"/>
  <c r="L163" i="2"/>
  <c r="K163" i="2"/>
  <c r="L114" i="2"/>
  <c r="M114" i="2" s="1"/>
  <c r="U142" i="2"/>
  <c r="V142" i="2" s="1"/>
  <c r="W142" i="2" s="1"/>
  <c r="O142" i="2"/>
  <c r="O64" i="2"/>
  <c r="U64" i="2"/>
  <c r="V64" i="2" s="1"/>
  <c r="W64" i="2" s="1"/>
  <c r="O132" i="2"/>
  <c r="U132" i="2"/>
  <c r="V132" i="2" s="1"/>
  <c r="W132" i="2" s="1"/>
  <c r="L121" i="2"/>
  <c r="K121" i="2"/>
  <c r="U187" i="2"/>
  <c r="V187" i="2" s="1"/>
  <c r="W187" i="2" s="1"/>
  <c r="O187" i="2"/>
  <c r="O160" i="2"/>
  <c r="U160" i="2"/>
  <c r="V160" i="2" s="1"/>
  <c r="W160" i="2" s="1"/>
  <c r="O156" i="2"/>
  <c r="V156" i="2"/>
  <c r="W156" i="2" s="1"/>
  <c r="L90" i="2"/>
  <c r="M90" i="2" s="1"/>
  <c r="O170" i="2"/>
  <c r="U170" i="2"/>
  <c r="V170" i="2" s="1"/>
  <c r="W170" i="2" s="1"/>
  <c r="L153" i="2"/>
  <c r="M153" i="2" s="1"/>
  <c r="U153" i="2" s="1"/>
  <c r="U134" i="2"/>
  <c r="V134" i="2" s="1"/>
  <c r="W134" i="2" s="1"/>
  <c r="O134" i="2"/>
  <c r="O169" i="2"/>
  <c r="U169" i="2"/>
  <c r="V169" i="2" s="1"/>
  <c r="W169" i="2" s="1"/>
  <c r="O106" i="2"/>
  <c r="U106" i="2"/>
  <c r="V106" i="2" s="1"/>
  <c r="W106" i="2" s="1"/>
  <c r="O75" i="2"/>
  <c r="U75" i="2"/>
  <c r="V75" i="2" s="1"/>
  <c r="W75" i="2" s="1"/>
  <c r="O117" i="2"/>
  <c r="U117" i="2"/>
  <c r="V117" i="2" s="1"/>
  <c r="W117" i="2" s="1"/>
  <c r="O78" i="2"/>
  <c r="U78" i="2"/>
  <c r="V78" i="2" s="1"/>
  <c r="W78" i="2" s="1"/>
  <c r="U190" i="2"/>
  <c r="V190" i="2" s="1"/>
  <c r="W190" i="2" s="1"/>
  <c r="O190" i="2"/>
  <c r="U62" i="2"/>
  <c r="V62" i="2" s="1"/>
  <c r="W62" i="2" s="1"/>
  <c r="O62" i="2"/>
  <c r="U171" i="2"/>
  <c r="V171" i="2" s="1"/>
  <c r="W171" i="2" s="1"/>
  <c r="O171" i="2"/>
  <c r="L139" i="2"/>
  <c r="M139" i="2" s="1"/>
  <c r="L104" i="2"/>
  <c r="M104" i="2" s="1"/>
  <c r="U185" i="2"/>
  <c r="V185" i="2" s="1"/>
  <c r="W185" i="2" s="1"/>
  <c r="O185" i="2"/>
  <c r="K177" i="2"/>
  <c r="L177" i="2"/>
  <c r="M85" i="2"/>
  <c r="L95" i="2"/>
  <c r="K95" i="2"/>
  <c r="O146" i="2"/>
  <c r="U146" i="2"/>
  <c r="V146" i="2" s="1"/>
  <c r="W146" i="2" s="1"/>
  <c r="U86" i="2"/>
  <c r="V86" i="2" s="1"/>
  <c r="W86" i="2" s="1"/>
  <c r="O86" i="2"/>
  <c r="O174" i="2"/>
  <c r="U174" i="2"/>
  <c r="V174" i="2" s="1"/>
  <c r="W174" i="2" s="1"/>
  <c r="U102" i="2"/>
  <c r="V102" i="2" s="1"/>
  <c r="W102" i="2" s="1"/>
  <c r="O102" i="2"/>
  <c r="L67" i="2"/>
  <c r="K67" i="2"/>
  <c r="L195" i="2"/>
  <c r="M195" i="2" s="1"/>
  <c r="O118" i="2"/>
  <c r="U118" i="2"/>
  <c r="V118" i="2" s="1"/>
  <c r="W118" i="2" s="1"/>
  <c r="M181" i="2"/>
  <c r="M69" i="2"/>
  <c r="M59" i="2"/>
  <c r="M125" i="2"/>
  <c r="K56" i="2"/>
  <c r="L56" i="2"/>
  <c r="K116" i="2"/>
  <c r="L116" i="2"/>
  <c r="L151" i="2"/>
  <c r="K151" i="2"/>
  <c r="K175" i="2"/>
  <c r="L175" i="2"/>
  <c r="K77" i="2"/>
  <c r="L77" i="2"/>
  <c r="K130" i="2"/>
  <c r="L130" i="2"/>
  <c r="L168" i="2"/>
  <c r="K168" i="2"/>
  <c r="L179" i="2"/>
  <c r="K179" i="2"/>
  <c r="K60" i="2"/>
  <c r="L60" i="2"/>
  <c r="M113" i="2"/>
  <c r="U113" i="2" s="1"/>
  <c r="L70" i="2"/>
  <c r="K70" i="2"/>
  <c r="K91" i="2"/>
  <c r="L91" i="2"/>
  <c r="K144" i="2"/>
  <c r="L144" i="2"/>
  <c r="K124" i="2"/>
  <c r="L124" i="2"/>
  <c r="M83" i="2"/>
  <c r="K74" i="2"/>
  <c r="L74" i="2"/>
  <c r="K63" i="2"/>
  <c r="L63" i="2"/>
  <c r="K82" i="2"/>
  <c r="L82" i="2"/>
  <c r="K136" i="2"/>
  <c r="L136" i="2"/>
  <c r="L110" i="2"/>
  <c r="K150" i="2"/>
  <c r="L150" i="2"/>
  <c r="K105" i="2"/>
  <c r="L105" i="2"/>
  <c r="K158" i="2"/>
  <c r="L158" i="2"/>
  <c r="K138" i="2"/>
  <c r="L138" i="2"/>
  <c r="L84" i="2"/>
  <c r="K84" i="2"/>
  <c r="L182" i="2"/>
  <c r="K182" i="2"/>
  <c r="M196" i="2"/>
  <c r="M127" i="2"/>
  <c r="K183" i="2"/>
  <c r="L183" i="2"/>
  <c r="M71" i="2"/>
  <c r="K119" i="2"/>
  <c r="L119" i="2"/>
  <c r="L165" i="2"/>
  <c r="K165" i="2"/>
  <c r="M55" i="2"/>
  <c r="K68" i="2"/>
  <c r="L68" i="2"/>
  <c r="K133" i="2"/>
  <c r="L133" i="2"/>
  <c r="L140" i="2"/>
  <c r="K140" i="2"/>
  <c r="K152" i="2"/>
  <c r="L152" i="2"/>
  <c r="L166" i="2"/>
  <c r="K166" i="2"/>
  <c r="M186" i="2"/>
  <c r="K122" i="2"/>
  <c r="L122" i="2"/>
  <c r="L154" i="2"/>
  <c r="K66" i="2"/>
  <c r="L66" i="2"/>
  <c r="K147" i="2"/>
  <c r="L147" i="2"/>
  <c r="K161" i="2"/>
  <c r="L161" i="2"/>
  <c r="L112" i="2"/>
  <c r="L193" i="2"/>
  <c r="K193" i="2"/>
  <c r="L123" i="2"/>
  <c r="K123" i="2"/>
  <c r="K164" i="2"/>
  <c r="L164" i="2"/>
  <c r="L180" i="2"/>
  <c r="K180" i="2"/>
  <c r="K80" i="2"/>
  <c r="L80" i="2"/>
  <c r="K189" i="2"/>
  <c r="L189" i="2"/>
  <c r="K57" i="2"/>
  <c r="L57" i="2"/>
  <c r="M111" i="2"/>
  <c r="U111" i="2" s="1"/>
  <c r="M141" i="2"/>
  <c r="K137" i="2"/>
  <c r="L137" i="2"/>
  <c r="K172" i="2"/>
  <c r="L172" i="2"/>
  <c r="L98" i="2"/>
  <c r="K98" i="2"/>
  <c r="K178" i="2"/>
  <c r="L178" i="2"/>
  <c r="K94" i="2"/>
  <c r="L94" i="2"/>
  <c r="K192" i="2"/>
  <c r="L192" i="2"/>
  <c r="L155" i="2"/>
  <c r="L126" i="2"/>
  <c r="K126" i="2"/>
  <c r="L109" i="2"/>
  <c r="U61" i="2" l="1"/>
  <c r="V61" i="2" s="1"/>
  <c r="W61" i="2" s="1"/>
  <c r="U76" i="2"/>
  <c r="V76" i="2" s="1"/>
  <c r="W76" i="2" s="1"/>
  <c r="O194" i="2"/>
  <c r="M123" i="2"/>
  <c r="U123" i="2" s="1"/>
  <c r="V123" i="2" s="1"/>
  <c r="W123" i="2" s="1"/>
  <c r="U157" i="2"/>
  <c r="V157" i="2" s="1"/>
  <c r="W157" i="2" s="1"/>
  <c r="O162" i="2"/>
  <c r="U115" i="2"/>
  <c r="V115" i="2" s="1"/>
  <c r="W115" i="2" s="1"/>
  <c r="U184" i="2"/>
  <c r="V184" i="2" s="1"/>
  <c r="W184" i="2" s="1"/>
  <c r="O93" i="2"/>
  <c r="U54" i="2"/>
  <c r="V54" i="2" s="1"/>
  <c r="W54" i="2" s="1"/>
  <c r="O135" i="2"/>
  <c r="U188" i="2"/>
  <c r="V188" i="2" s="1"/>
  <c r="W188" i="2" s="1"/>
  <c r="O148" i="2"/>
  <c r="O58" i="2"/>
  <c r="M96" i="2"/>
  <c r="O96" i="2" s="1"/>
  <c r="M103" i="2"/>
  <c r="U103" i="2" s="1"/>
  <c r="V103" i="2" s="1"/>
  <c r="W103" i="2" s="1"/>
  <c r="O88" i="2"/>
  <c r="U131" i="2"/>
  <c r="V131" i="2" s="1"/>
  <c r="W131" i="2" s="1"/>
  <c r="O131" i="2"/>
  <c r="O87" i="2"/>
  <c r="U87" i="2"/>
  <c r="V87" i="2" s="1"/>
  <c r="W87" i="2" s="1"/>
  <c r="U101" i="2"/>
  <c r="V101" i="2" s="1"/>
  <c r="W101" i="2" s="1"/>
  <c r="M126" i="2"/>
  <c r="O126" i="2" s="1"/>
  <c r="M154" i="2"/>
  <c r="U72" i="2"/>
  <c r="V72" i="2" s="1"/>
  <c r="W72" i="2" s="1"/>
  <c r="O149" i="2"/>
  <c r="U81" i="2"/>
  <c r="V81" i="2" s="1"/>
  <c r="W81" i="2" s="1"/>
  <c r="O157" i="2"/>
  <c r="U89" i="2"/>
  <c r="V89" i="2" s="1"/>
  <c r="W89" i="2" s="1"/>
  <c r="M179" i="2"/>
  <c r="O179" i="2" s="1"/>
  <c r="U79" i="2"/>
  <c r="V79" i="2" s="1"/>
  <c r="W79" i="2" s="1"/>
  <c r="M121" i="2"/>
  <c r="O121" i="2" s="1"/>
  <c r="M98" i="2"/>
  <c r="O98" i="2" s="1"/>
  <c r="U73" i="2"/>
  <c r="V73" i="2" s="1"/>
  <c r="W73" i="2" s="1"/>
  <c r="O143" i="2"/>
  <c r="U195" i="2"/>
  <c r="V195" i="2" s="1"/>
  <c r="W195" i="2" s="1"/>
  <c r="O195" i="2"/>
  <c r="O139" i="2"/>
  <c r="U139" i="2"/>
  <c r="V139" i="2" s="1"/>
  <c r="W139" i="2" s="1"/>
  <c r="V153" i="2"/>
  <c r="W153" i="2" s="1"/>
  <c r="O153" i="2"/>
  <c r="O113" i="2"/>
  <c r="V113" i="2"/>
  <c r="W113" i="2" s="1"/>
  <c r="M166" i="2"/>
  <c r="O125" i="2"/>
  <c r="U125" i="2"/>
  <c r="V125" i="2" s="1"/>
  <c r="W125" i="2" s="1"/>
  <c r="U85" i="2"/>
  <c r="V85" i="2" s="1"/>
  <c r="W85" i="2" s="1"/>
  <c r="O85" i="2"/>
  <c r="M163" i="2"/>
  <c r="U127" i="2"/>
  <c r="V127" i="2" s="1"/>
  <c r="W127" i="2" s="1"/>
  <c r="O127" i="2"/>
  <c r="O104" i="2"/>
  <c r="U104" i="2"/>
  <c r="V104" i="2" s="1"/>
  <c r="W104" i="2" s="1"/>
  <c r="U141" i="2"/>
  <c r="V141" i="2" s="1"/>
  <c r="W141" i="2" s="1"/>
  <c r="O141" i="2"/>
  <c r="U59" i="2"/>
  <c r="V59" i="2" s="1"/>
  <c r="W59" i="2" s="1"/>
  <c r="O59" i="2"/>
  <c r="U55" i="2"/>
  <c r="V55" i="2" s="1"/>
  <c r="W55" i="2" s="1"/>
  <c r="O55" i="2"/>
  <c r="O186" i="2"/>
  <c r="U186" i="2"/>
  <c r="V186" i="2" s="1"/>
  <c r="W186" i="2" s="1"/>
  <c r="O69" i="2"/>
  <c r="U69" i="2"/>
  <c r="V69" i="2" s="1"/>
  <c r="W69" i="2" s="1"/>
  <c r="M177" i="2"/>
  <c r="O90" i="2"/>
  <c r="U90" i="2"/>
  <c r="V90" i="2" s="1"/>
  <c r="W90" i="2" s="1"/>
  <c r="M107" i="2"/>
  <c r="U167" i="2"/>
  <c r="V167" i="2" s="1"/>
  <c r="W167" i="2" s="1"/>
  <c r="O167" i="2"/>
  <c r="M191" i="2"/>
  <c r="O83" i="2"/>
  <c r="U83" i="2"/>
  <c r="V83" i="2" s="1"/>
  <c r="W83" i="2" s="1"/>
  <c r="O181" i="2"/>
  <c r="U181" i="2"/>
  <c r="V181" i="2" s="1"/>
  <c r="W181" i="2" s="1"/>
  <c r="M95" i="2"/>
  <c r="V111" i="2"/>
  <c r="W111" i="2" s="1"/>
  <c r="O111" i="2"/>
  <c r="U71" i="2"/>
  <c r="V71" i="2" s="1"/>
  <c r="W71" i="2" s="1"/>
  <c r="O71" i="2"/>
  <c r="O196" i="2"/>
  <c r="U196" i="2"/>
  <c r="V196" i="2" s="1"/>
  <c r="W196" i="2" s="1"/>
  <c r="O114" i="2"/>
  <c r="U114" i="2"/>
  <c r="V114" i="2" s="1"/>
  <c r="W114" i="2" s="1"/>
  <c r="U97" i="2"/>
  <c r="V97" i="2" s="1"/>
  <c r="W97" i="2" s="1"/>
  <c r="O97" i="2"/>
  <c r="M67" i="2"/>
  <c r="U129" i="2"/>
  <c r="V129" i="2" s="1"/>
  <c r="W129" i="2" s="1"/>
  <c r="O129" i="2"/>
  <c r="U159" i="2"/>
  <c r="V159" i="2" s="1"/>
  <c r="W159" i="2" s="1"/>
  <c r="O159" i="2"/>
  <c r="M110" i="2"/>
  <c r="U110" i="2" s="1"/>
  <c r="M105" i="2"/>
  <c r="M70" i="2"/>
  <c r="M66" i="2"/>
  <c r="M74" i="2"/>
  <c r="M144" i="2"/>
  <c r="M108" i="2"/>
  <c r="U108" i="2" s="1"/>
  <c r="M178" i="2"/>
  <c r="M189" i="2"/>
  <c r="M164" i="2"/>
  <c r="M136" i="2"/>
  <c r="M192" i="2"/>
  <c r="M172" i="2"/>
  <c r="M137" i="2"/>
  <c r="M147" i="2"/>
  <c r="M140" i="2"/>
  <c r="M158" i="2"/>
  <c r="M63" i="2"/>
  <c r="M124" i="2"/>
  <c r="M168" i="2"/>
  <c r="M151" i="2"/>
  <c r="M175" i="2"/>
  <c r="M109" i="2"/>
  <c r="U109" i="2" s="1"/>
  <c r="V109" i="2" s="1"/>
  <c r="M180" i="2"/>
  <c r="M152" i="2"/>
  <c r="M80" i="2"/>
  <c r="M130" i="2"/>
  <c r="M116" i="2"/>
  <c r="M138" i="2"/>
  <c r="M133" i="2"/>
  <c r="M91" i="2"/>
  <c r="M60" i="2"/>
  <c r="M161" i="2"/>
  <c r="M183" i="2"/>
  <c r="M68" i="2"/>
  <c r="M77" i="2"/>
  <c r="M56" i="2"/>
  <c r="M119" i="2"/>
  <c r="M150" i="2"/>
  <c r="M155" i="2"/>
  <c r="U155" i="2" s="1"/>
  <c r="M57" i="2"/>
  <c r="M122" i="2"/>
  <c r="M193" i="2"/>
  <c r="M182" i="2"/>
  <c r="M82" i="2"/>
  <c r="M94" i="2"/>
  <c r="M112" i="2"/>
  <c r="U112" i="2" s="1"/>
  <c r="M165" i="2"/>
  <c r="M84" i="2"/>
  <c r="S11" i="7"/>
  <c r="O123" i="2" l="1"/>
  <c r="U154" i="2"/>
  <c r="V154" i="2" s="1"/>
  <c r="W154" i="2" s="1"/>
  <c r="U121" i="2"/>
  <c r="V121" i="2" s="1"/>
  <c r="W121" i="2" s="1"/>
  <c r="U96" i="2"/>
  <c r="V96" i="2" s="1"/>
  <c r="W96" i="2" s="1"/>
  <c r="O103" i="2"/>
  <c r="O154" i="2"/>
  <c r="U126" i="2"/>
  <c r="V126" i="2" s="1"/>
  <c r="W126" i="2" s="1"/>
  <c r="U98" i="2"/>
  <c r="V98" i="2" s="1"/>
  <c r="W98" i="2" s="1"/>
  <c r="U179" i="2"/>
  <c r="V179" i="2" s="1"/>
  <c r="W179" i="2" s="1"/>
  <c r="O80" i="2"/>
  <c r="U80" i="2"/>
  <c r="V80" i="2" s="1"/>
  <c r="W80" i="2" s="1"/>
  <c r="U172" i="2"/>
  <c r="V172" i="2" s="1"/>
  <c r="W172" i="2" s="1"/>
  <c r="O172" i="2"/>
  <c r="O82" i="2"/>
  <c r="U82" i="2"/>
  <c r="V82" i="2" s="1"/>
  <c r="W82" i="2" s="1"/>
  <c r="U56" i="2"/>
  <c r="V56" i="2" s="1"/>
  <c r="W56" i="2" s="1"/>
  <c r="O56" i="2"/>
  <c r="U180" i="2"/>
  <c r="V180" i="2" s="1"/>
  <c r="W180" i="2" s="1"/>
  <c r="O180" i="2"/>
  <c r="O110" i="2"/>
  <c r="V110" i="2"/>
  <c r="W110" i="2" s="1"/>
  <c r="U130" i="2"/>
  <c r="V130" i="2" s="1"/>
  <c r="W130" i="2" s="1"/>
  <c r="O130" i="2"/>
  <c r="O137" i="2"/>
  <c r="U137" i="2"/>
  <c r="V137" i="2" s="1"/>
  <c r="W137" i="2" s="1"/>
  <c r="U191" i="2"/>
  <c r="V191" i="2" s="1"/>
  <c r="W191" i="2" s="1"/>
  <c r="O191" i="2"/>
  <c r="U105" i="2"/>
  <c r="V105" i="2" s="1"/>
  <c r="W105" i="2" s="1"/>
  <c r="O105" i="2"/>
  <c r="O192" i="2"/>
  <c r="U192" i="2"/>
  <c r="V192" i="2" s="1"/>
  <c r="W192" i="2" s="1"/>
  <c r="U68" i="2"/>
  <c r="V68" i="2" s="1"/>
  <c r="W68" i="2" s="1"/>
  <c r="O68" i="2"/>
  <c r="O175" i="2"/>
  <c r="U175" i="2"/>
  <c r="V175" i="2" s="1"/>
  <c r="W175" i="2" s="1"/>
  <c r="O166" i="2"/>
  <c r="U166" i="2"/>
  <c r="V166" i="2" s="1"/>
  <c r="W166" i="2" s="1"/>
  <c r="U152" i="2"/>
  <c r="V152" i="2" s="1"/>
  <c r="W152" i="2" s="1"/>
  <c r="O152" i="2"/>
  <c r="W109" i="2"/>
  <c r="O109" i="2"/>
  <c r="O151" i="2"/>
  <c r="U151" i="2"/>
  <c r="V151" i="2" s="1"/>
  <c r="W151" i="2" s="1"/>
  <c r="U161" i="2"/>
  <c r="V161" i="2" s="1"/>
  <c r="W161" i="2" s="1"/>
  <c r="O161" i="2"/>
  <c r="U164" i="2"/>
  <c r="V164" i="2" s="1"/>
  <c r="W164" i="2" s="1"/>
  <c r="O164" i="2"/>
  <c r="U122" i="2"/>
  <c r="V122" i="2" s="1"/>
  <c r="W122" i="2" s="1"/>
  <c r="O122" i="2"/>
  <c r="O124" i="2"/>
  <c r="U124" i="2"/>
  <c r="V124" i="2" s="1"/>
  <c r="W124" i="2" s="1"/>
  <c r="O57" i="2"/>
  <c r="U57" i="2"/>
  <c r="V57" i="2" s="1"/>
  <c r="W57" i="2" s="1"/>
  <c r="U91" i="2"/>
  <c r="V91" i="2" s="1"/>
  <c r="W91" i="2" s="1"/>
  <c r="O91" i="2"/>
  <c r="U63" i="2"/>
  <c r="V63" i="2" s="1"/>
  <c r="W63" i="2" s="1"/>
  <c r="O63" i="2"/>
  <c r="O189" i="2"/>
  <c r="U189" i="2"/>
  <c r="V189" i="2" s="1"/>
  <c r="W189" i="2" s="1"/>
  <c r="U77" i="2"/>
  <c r="V77" i="2" s="1"/>
  <c r="W77" i="2" s="1"/>
  <c r="O77" i="2"/>
  <c r="U182" i="2"/>
  <c r="V182" i="2" s="1"/>
  <c r="W182" i="2" s="1"/>
  <c r="O182" i="2"/>
  <c r="U95" i="2"/>
  <c r="V95" i="2" s="1"/>
  <c r="W95" i="2" s="1"/>
  <c r="O95" i="2"/>
  <c r="V155" i="2"/>
  <c r="W155" i="2" s="1"/>
  <c r="O155" i="2"/>
  <c r="U158" i="2"/>
  <c r="V158" i="2" s="1"/>
  <c r="W158" i="2" s="1"/>
  <c r="O158" i="2"/>
  <c r="U178" i="2"/>
  <c r="V178" i="2" s="1"/>
  <c r="W178" i="2" s="1"/>
  <c r="O178" i="2"/>
  <c r="O163" i="2"/>
  <c r="U163" i="2"/>
  <c r="V163" i="2" s="1"/>
  <c r="W163" i="2" s="1"/>
  <c r="O112" i="2"/>
  <c r="V112" i="2"/>
  <c r="W112" i="2" s="1"/>
  <c r="O70" i="2"/>
  <c r="U70" i="2"/>
  <c r="V70" i="2" s="1"/>
  <c r="W70" i="2" s="1"/>
  <c r="U183" i="2"/>
  <c r="V183" i="2" s="1"/>
  <c r="W183" i="2" s="1"/>
  <c r="O183" i="2"/>
  <c r="O193" i="2"/>
  <c r="U193" i="2"/>
  <c r="V193" i="2" s="1"/>
  <c r="W193" i="2" s="1"/>
  <c r="O168" i="2"/>
  <c r="U168" i="2"/>
  <c r="V168" i="2" s="1"/>
  <c r="W168" i="2" s="1"/>
  <c r="O150" i="2"/>
  <c r="U150" i="2"/>
  <c r="V150" i="2" s="1"/>
  <c r="W150" i="2" s="1"/>
  <c r="O133" i="2"/>
  <c r="U133" i="2"/>
  <c r="V133" i="2" s="1"/>
  <c r="W133" i="2" s="1"/>
  <c r="O108" i="2"/>
  <c r="V108" i="2"/>
  <c r="W108" i="2" s="1"/>
  <c r="O66" i="2"/>
  <c r="U66" i="2"/>
  <c r="V66" i="2" s="1"/>
  <c r="W66" i="2" s="1"/>
  <c r="O94" i="2"/>
  <c r="U94" i="2"/>
  <c r="V94" i="2" s="1"/>
  <c r="W94" i="2" s="1"/>
  <c r="U107" i="2"/>
  <c r="V107" i="2" s="1"/>
  <c r="W107" i="2" s="1"/>
  <c r="O107" i="2"/>
  <c r="U136" i="2"/>
  <c r="V136" i="2" s="1"/>
  <c r="W136" i="2" s="1"/>
  <c r="O136" i="2"/>
  <c r="O177" i="2"/>
  <c r="U177" i="2"/>
  <c r="V177" i="2" s="1"/>
  <c r="W177" i="2" s="1"/>
  <c r="U60" i="2"/>
  <c r="V60" i="2" s="1"/>
  <c r="W60" i="2" s="1"/>
  <c r="O60" i="2"/>
  <c r="U67" i="2"/>
  <c r="V67" i="2" s="1"/>
  <c r="W67" i="2" s="1"/>
  <c r="O67" i="2"/>
  <c r="O84" i="2"/>
  <c r="U84" i="2"/>
  <c r="V84" i="2" s="1"/>
  <c r="W84" i="2" s="1"/>
  <c r="U119" i="2"/>
  <c r="V119" i="2" s="1"/>
  <c r="W119" i="2" s="1"/>
  <c r="O119" i="2"/>
  <c r="U138" i="2"/>
  <c r="V138" i="2" s="1"/>
  <c r="W138" i="2" s="1"/>
  <c r="O138" i="2"/>
  <c r="O140" i="2"/>
  <c r="U140" i="2"/>
  <c r="V140" i="2" s="1"/>
  <c r="W140" i="2" s="1"/>
  <c r="U144" i="2"/>
  <c r="V144" i="2" s="1"/>
  <c r="W144" i="2" s="1"/>
  <c r="O144" i="2"/>
  <c r="U165" i="2"/>
  <c r="V165" i="2" s="1"/>
  <c r="W165" i="2" s="1"/>
  <c r="O165" i="2"/>
  <c r="U116" i="2"/>
  <c r="V116" i="2" s="1"/>
  <c r="W116" i="2" s="1"/>
  <c r="O116" i="2"/>
  <c r="O147" i="2"/>
  <c r="U147" i="2"/>
  <c r="V147" i="2" s="1"/>
  <c r="W147" i="2" s="1"/>
  <c r="U74" i="2"/>
  <c r="V74" i="2" s="1"/>
  <c r="W74" i="2" s="1"/>
  <c r="O74" i="2"/>
  <c r="X48" i="7"/>
  <c r="X8" i="7"/>
  <c r="T20" i="7"/>
  <c r="S46" i="7"/>
  <c r="AG46" i="7" s="1"/>
  <c r="AH46" i="7" s="1"/>
  <c r="T46" i="7" l="1"/>
  <c r="AD46" i="7"/>
  <c r="S21" i="7"/>
  <c r="AD21" i="7" l="1"/>
  <c r="AG21" i="7"/>
  <c r="AH21" i="7" s="1"/>
  <c r="S22" i="7"/>
  <c r="AD22" i="7" l="1"/>
  <c r="AG22" i="7"/>
  <c r="AH22" i="7" s="1"/>
  <c r="T21" i="7"/>
  <c r="X69" i="7" l="1"/>
  <c r="X68" i="7"/>
  <c r="S68" i="7"/>
  <c r="X67" i="7"/>
  <c r="X66" i="7"/>
  <c r="S59" i="7"/>
  <c r="X65" i="7"/>
  <c r="X64" i="7"/>
  <c r="S61" i="7" l="1"/>
  <c r="T61" i="7" s="1"/>
  <c r="S62" i="7"/>
  <c r="T62" i="7" s="1"/>
  <c r="S63" i="7"/>
  <c r="T63" i="7" s="1"/>
  <c r="S64" i="7"/>
  <c r="T64" i="7" s="1"/>
  <c r="S65" i="7"/>
  <c r="T65" i="7" s="1"/>
  <c r="S66" i="7"/>
  <c r="T66" i="7" s="1"/>
  <c r="S67" i="7"/>
  <c r="T67" i="7" s="1"/>
  <c r="T68" i="7"/>
  <c r="S69" i="7"/>
  <c r="T69" i="7" s="1"/>
  <c r="H69" i="7"/>
  <c r="J69" i="7" s="1"/>
  <c r="G69" i="7"/>
  <c r="F69" i="7"/>
  <c r="F61" i="7"/>
  <c r="G61" i="7"/>
  <c r="H61" i="7"/>
  <c r="F62" i="7"/>
  <c r="G62" i="7"/>
  <c r="H62" i="7"/>
  <c r="F63" i="7"/>
  <c r="G63" i="7"/>
  <c r="H63" i="7"/>
  <c r="F64" i="7"/>
  <c r="G64" i="7"/>
  <c r="H64" i="7"/>
  <c r="J64" i="7" s="1"/>
  <c r="F65" i="7"/>
  <c r="G65" i="7"/>
  <c r="H65" i="7"/>
  <c r="F66" i="7"/>
  <c r="G66" i="7"/>
  <c r="H66" i="7"/>
  <c r="F67" i="7"/>
  <c r="G67" i="7"/>
  <c r="H67" i="7"/>
  <c r="F68" i="7"/>
  <c r="G68" i="7"/>
  <c r="H68" i="7"/>
  <c r="A61" i="7"/>
  <c r="A62" i="7"/>
  <c r="A63" i="7"/>
  <c r="A64" i="7"/>
  <c r="A65" i="7"/>
  <c r="A66" i="7"/>
  <c r="A67" i="7"/>
  <c r="A68" i="7"/>
  <c r="A69" i="7"/>
  <c r="E61" i="7"/>
  <c r="E62" i="7"/>
  <c r="E63" i="7"/>
  <c r="E64" i="7"/>
  <c r="E65" i="7"/>
  <c r="E66" i="7"/>
  <c r="E67" i="7"/>
  <c r="E68" i="7"/>
  <c r="E69" i="7"/>
  <c r="I68" i="7" l="1"/>
  <c r="I65" i="7"/>
  <c r="I63" i="7"/>
  <c r="I67" i="7"/>
  <c r="I61" i="7"/>
  <c r="J67" i="7"/>
  <c r="I66" i="7"/>
  <c r="I62" i="7"/>
  <c r="J65" i="7"/>
  <c r="L69" i="7"/>
  <c r="K69" i="7"/>
  <c r="I69" i="7"/>
  <c r="K64" i="7"/>
  <c r="L64" i="7"/>
  <c r="J62" i="7"/>
  <c r="J63" i="7"/>
  <c r="J68" i="7"/>
  <c r="J61" i="7"/>
  <c r="J66" i="7"/>
  <c r="I64" i="7"/>
  <c r="M69" i="7" l="1"/>
  <c r="O69" i="7" s="1"/>
  <c r="K65" i="7"/>
  <c r="L65" i="7"/>
  <c r="K67" i="7"/>
  <c r="L67" i="7"/>
  <c r="K63" i="7"/>
  <c r="L63" i="7"/>
  <c r="K66" i="7"/>
  <c r="L66" i="7"/>
  <c r="L62" i="7"/>
  <c r="K62" i="7"/>
  <c r="K61" i="7"/>
  <c r="L61" i="7"/>
  <c r="K68" i="7"/>
  <c r="L68" i="7"/>
  <c r="M64" i="7"/>
  <c r="O64" i="7" s="1"/>
  <c r="M67" i="7" l="1"/>
  <c r="O67" i="7" s="1"/>
  <c r="M65" i="7"/>
  <c r="O65" i="7" s="1"/>
  <c r="M62" i="7"/>
  <c r="O62" i="7" s="1"/>
  <c r="M66" i="7"/>
  <c r="O66" i="7" s="1"/>
  <c r="M68" i="7"/>
  <c r="O68" i="7" s="1"/>
  <c r="M61" i="7"/>
  <c r="O61" i="7" s="1"/>
  <c r="M63" i="7"/>
  <c r="O63" i="7" s="1"/>
  <c r="S60" i="7" l="1"/>
  <c r="T60" i="7" s="1"/>
  <c r="E60" i="7" l="1"/>
  <c r="F60" i="7"/>
  <c r="G60" i="7"/>
  <c r="H60" i="7"/>
  <c r="A60" i="7"/>
  <c r="I60" i="7" l="1"/>
  <c r="J60" i="7"/>
  <c r="K60" i="7" l="1"/>
  <c r="L60" i="7"/>
  <c r="M60" i="7" l="1"/>
  <c r="O60" i="7" s="1"/>
  <c r="X59" i="7" l="1"/>
  <c r="X58" i="7"/>
  <c r="T59" i="7"/>
  <c r="F59" i="7" l="1"/>
  <c r="G59" i="7"/>
  <c r="H59" i="7"/>
  <c r="E59" i="7"/>
  <c r="A59" i="7"/>
  <c r="I59" i="7" l="1"/>
  <c r="J59" i="7"/>
  <c r="A58" i="7"/>
  <c r="S58" i="7"/>
  <c r="E58" i="7"/>
  <c r="F58" i="7"/>
  <c r="G58" i="7"/>
  <c r="H58" i="7"/>
  <c r="J58" i="7" s="1"/>
  <c r="L27" i="3"/>
  <c r="G5" i="7"/>
  <c r="S28" i="7"/>
  <c r="T28" i="7" s="1"/>
  <c r="AD5" i="7" l="1"/>
  <c r="AG5" i="7" s="1"/>
  <c r="AH5" i="7" s="1"/>
  <c r="T5" i="7"/>
  <c r="K58" i="7"/>
  <c r="L58" i="7"/>
  <c r="I58" i="7"/>
  <c r="L59" i="7"/>
  <c r="K59" i="7"/>
  <c r="M58" i="7" l="1"/>
  <c r="O58" i="7" s="1"/>
  <c r="M59" i="7"/>
  <c r="O59" i="7" s="1"/>
  <c r="S51" i="7" l="1"/>
  <c r="S52" i="7"/>
  <c r="S53" i="7"/>
  <c r="S54" i="7"/>
  <c r="S55" i="7"/>
  <c r="S56" i="7"/>
  <c r="S57" i="7"/>
  <c r="F51" i="7"/>
  <c r="G51" i="7"/>
  <c r="H51" i="7"/>
  <c r="F52" i="7"/>
  <c r="G52" i="7"/>
  <c r="H52" i="7"/>
  <c r="F53" i="7"/>
  <c r="G53" i="7"/>
  <c r="H53" i="7"/>
  <c r="F54" i="7"/>
  <c r="G54" i="7"/>
  <c r="H54" i="7"/>
  <c r="J54" i="7" s="1"/>
  <c r="F55" i="7"/>
  <c r="G55" i="7"/>
  <c r="H55" i="7"/>
  <c r="J55" i="7" s="1"/>
  <c r="F56" i="7"/>
  <c r="G56" i="7"/>
  <c r="H56" i="7"/>
  <c r="F57" i="7"/>
  <c r="G57" i="7"/>
  <c r="H57" i="7"/>
  <c r="J57" i="7" s="1"/>
  <c r="E51" i="7"/>
  <c r="E52" i="7"/>
  <c r="E53" i="7"/>
  <c r="E54" i="7"/>
  <c r="E55" i="7"/>
  <c r="E56" i="7"/>
  <c r="E57" i="7"/>
  <c r="A57" i="7"/>
  <c r="AD54" i="7" l="1"/>
  <c r="AG54" i="7"/>
  <c r="AH54" i="7" s="1"/>
  <c r="AD53" i="7"/>
  <c r="AG53" i="7"/>
  <c r="AH53" i="7" s="1"/>
  <c r="AD52" i="7"/>
  <c r="AG52" i="7"/>
  <c r="AH52" i="7" s="1"/>
  <c r="AD51" i="7"/>
  <c r="AG51" i="7"/>
  <c r="AH51" i="7" s="1"/>
  <c r="T57" i="7"/>
  <c r="T56" i="7"/>
  <c r="T55" i="7"/>
  <c r="T54" i="7"/>
  <c r="T53" i="7"/>
  <c r="T52" i="7"/>
  <c r="T51" i="7"/>
  <c r="I56" i="7"/>
  <c r="I51" i="7"/>
  <c r="I52" i="7"/>
  <c r="I53" i="7"/>
  <c r="K55" i="7"/>
  <c r="L55" i="7"/>
  <c r="I55" i="7"/>
  <c r="K54" i="7"/>
  <c r="L54" i="7"/>
  <c r="L57" i="7"/>
  <c r="K57" i="7"/>
  <c r="J53" i="7"/>
  <c r="I57" i="7"/>
  <c r="J51" i="7"/>
  <c r="J52" i="7"/>
  <c r="I54" i="7"/>
  <c r="J56" i="7"/>
  <c r="A51" i="7"/>
  <c r="A52" i="7"/>
  <c r="A53" i="7"/>
  <c r="A54" i="7"/>
  <c r="A55" i="7"/>
  <c r="A56" i="7"/>
  <c r="M55" i="7" l="1"/>
  <c r="O55" i="7" s="1"/>
  <c r="L52" i="7"/>
  <c r="K52" i="7"/>
  <c r="K56" i="7"/>
  <c r="L56" i="7"/>
  <c r="M57" i="7"/>
  <c r="O57" i="7" s="1"/>
  <c r="K51" i="7"/>
  <c r="L51" i="7"/>
  <c r="K53" i="7"/>
  <c r="L53" i="7"/>
  <c r="M54" i="7"/>
  <c r="O54" i="7" s="1"/>
  <c r="F41" i="7"/>
  <c r="G41" i="7"/>
  <c r="H41" i="7"/>
  <c r="F42" i="7"/>
  <c r="G42" i="7"/>
  <c r="H42" i="7"/>
  <c r="R42" i="7" s="1"/>
  <c r="S42" i="7" s="1"/>
  <c r="T42" i="7" s="1"/>
  <c r="F43" i="7"/>
  <c r="G43" i="7"/>
  <c r="H43" i="7"/>
  <c r="F44" i="7"/>
  <c r="G44" i="7"/>
  <c r="H44" i="7"/>
  <c r="F45" i="7"/>
  <c r="G45" i="7"/>
  <c r="H45" i="7"/>
  <c r="R45" i="7" s="1"/>
  <c r="S45" i="7" s="1"/>
  <c r="T45" i="7" s="1"/>
  <c r="F46" i="7"/>
  <c r="G46" i="7"/>
  <c r="H46" i="7"/>
  <c r="F47" i="7"/>
  <c r="G47" i="7"/>
  <c r="H47" i="7"/>
  <c r="J47" i="7" s="1"/>
  <c r="F48" i="7"/>
  <c r="G48" i="7"/>
  <c r="H48" i="7"/>
  <c r="F49" i="7"/>
  <c r="G49" i="7"/>
  <c r="H49" i="7"/>
  <c r="J49" i="7" s="1"/>
  <c r="F50" i="7"/>
  <c r="G50" i="7"/>
  <c r="H50" i="7"/>
  <c r="R50" i="7" s="1"/>
  <c r="S50" i="7" s="1"/>
  <c r="T50" i="7" s="1"/>
  <c r="X44" i="7"/>
  <c r="X45" i="7"/>
  <c r="S47" i="7"/>
  <c r="S48" i="7"/>
  <c r="S49" i="7"/>
  <c r="E46" i="7"/>
  <c r="E47" i="7"/>
  <c r="E48" i="7"/>
  <c r="E49" i="7"/>
  <c r="E50" i="7"/>
  <c r="A46" i="7"/>
  <c r="A47" i="7"/>
  <c r="A48" i="7"/>
  <c r="A49" i="7"/>
  <c r="A50" i="7"/>
  <c r="E44" i="7"/>
  <c r="E45" i="7"/>
  <c r="A44" i="7"/>
  <c r="A45" i="7"/>
  <c r="A41" i="7"/>
  <c r="A42" i="7"/>
  <c r="A43" i="7"/>
  <c r="E41" i="7"/>
  <c r="E42" i="7"/>
  <c r="E43" i="7"/>
  <c r="AG47" i="7" l="1"/>
  <c r="AH47" i="7" s="1"/>
  <c r="AD47" i="7"/>
  <c r="AD49" i="7"/>
  <c r="AG49" i="7"/>
  <c r="AH49" i="7" s="1"/>
  <c r="AD48" i="7"/>
  <c r="AG48" i="7"/>
  <c r="AH48" i="7" s="1"/>
  <c r="T47" i="7"/>
  <c r="T48" i="7"/>
  <c r="T49" i="7"/>
  <c r="M52" i="7"/>
  <c r="O52" i="7" s="1"/>
  <c r="M53" i="7"/>
  <c r="O53" i="7" s="1"/>
  <c r="M56" i="7"/>
  <c r="O56" i="7" s="1"/>
  <c r="M51" i="7"/>
  <c r="O51" i="7" s="1"/>
  <c r="I43" i="7"/>
  <c r="R43" i="7"/>
  <c r="S43" i="7" s="1"/>
  <c r="T43" i="7" s="1"/>
  <c r="J44" i="7"/>
  <c r="K44" i="7" s="1"/>
  <c r="R44" i="7"/>
  <c r="I41" i="7"/>
  <c r="R41" i="7"/>
  <c r="I42" i="7"/>
  <c r="I46" i="7"/>
  <c r="I47" i="7"/>
  <c r="I50" i="7"/>
  <c r="I45" i="7"/>
  <c r="L47" i="7"/>
  <c r="K47" i="7"/>
  <c r="J45" i="7"/>
  <c r="I48" i="7"/>
  <c r="J42" i="7"/>
  <c r="L49" i="7"/>
  <c r="K49" i="7"/>
  <c r="I49" i="7"/>
  <c r="J50" i="7"/>
  <c r="J43" i="7"/>
  <c r="I44" i="7"/>
  <c r="J48" i="7"/>
  <c r="J41" i="7"/>
  <c r="J46" i="7"/>
  <c r="S44" i="7" l="1"/>
  <c r="T44" i="7" s="1"/>
  <c r="M49" i="7"/>
  <c r="O49" i="7" s="1"/>
  <c r="Y49" i="7" s="1"/>
  <c r="L44" i="7"/>
  <c r="M44" i="7" s="1"/>
  <c r="O44" i="7" s="1"/>
  <c r="K46" i="7"/>
  <c r="L46" i="7"/>
  <c r="M47" i="7"/>
  <c r="O47" i="7" s="1"/>
  <c r="Y47" i="7" s="1"/>
  <c r="S41" i="7"/>
  <c r="T41" i="7" s="1"/>
  <c r="L42" i="7"/>
  <c r="K42" i="7"/>
  <c r="L45" i="7"/>
  <c r="K45" i="7"/>
  <c r="K41" i="7"/>
  <c r="L41" i="7"/>
  <c r="K48" i="7"/>
  <c r="L48" i="7"/>
  <c r="K43" i="7"/>
  <c r="L43" i="7"/>
  <c r="L50" i="7"/>
  <c r="K50" i="7"/>
  <c r="M42" i="7" l="1"/>
  <c r="O42" i="7" s="1"/>
  <c r="Y42" i="7" s="1"/>
  <c r="M50" i="7"/>
  <c r="O50" i="7" s="1"/>
  <c r="Y50" i="7" s="1"/>
  <c r="M46" i="7"/>
  <c r="O46" i="7" s="1"/>
  <c r="Y46" i="7" s="1"/>
  <c r="M45" i="7"/>
  <c r="O45" i="7" s="1"/>
  <c r="M43" i="7"/>
  <c r="O43" i="7" s="1"/>
  <c r="Y43" i="7" s="1"/>
  <c r="M48" i="7"/>
  <c r="O48" i="7" s="1"/>
  <c r="M41" i="7"/>
  <c r="O41" i="7" s="1"/>
  <c r="Y41" i="7" s="1"/>
  <c r="S6" i="7" l="1"/>
  <c r="T6" i="7" l="1"/>
  <c r="S13" i="7" l="1"/>
  <c r="X13" i="7"/>
  <c r="T13" i="7" l="1"/>
  <c r="A1" i="7" l="1"/>
  <c r="E38" i="7"/>
  <c r="F38" i="7"/>
  <c r="G38" i="7"/>
  <c r="H38" i="7"/>
  <c r="E39" i="7"/>
  <c r="F39" i="7"/>
  <c r="G39" i="7"/>
  <c r="H39" i="7"/>
  <c r="E40" i="7"/>
  <c r="F40" i="7"/>
  <c r="G40" i="7"/>
  <c r="H40" i="7"/>
  <c r="A38" i="7"/>
  <c r="A39" i="7"/>
  <c r="A40" i="7"/>
  <c r="S39" i="7" l="1"/>
  <c r="T39" i="7" s="1"/>
  <c r="S40" i="7"/>
  <c r="I39" i="7"/>
  <c r="I38" i="7"/>
  <c r="I40" i="7"/>
  <c r="J38" i="7"/>
  <c r="J39" i="7"/>
  <c r="K39" i="7" s="1"/>
  <c r="J40" i="7"/>
  <c r="L40" i="7" l="1"/>
  <c r="K40" i="7"/>
  <c r="T40" i="7"/>
  <c r="T38" i="7"/>
  <c r="L38" i="7"/>
  <c r="K38" i="7"/>
  <c r="L39" i="7"/>
  <c r="M40" i="7" l="1"/>
  <c r="M38" i="7"/>
  <c r="G5" i="14"/>
  <c r="O40" i="7"/>
  <c r="G4" i="14"/>
  <c r="O38" i="7"/>
  <c r="Y38" i="7" s="1"/>
  <c r="M39" i="7"/>
  <c r="G3" i="14" s="1"/>
  <c r="L5" i="14" l="1"/>
  <c r="H5" i="14"/>
  <c r="L3" i="14"/>
  <c r="H3" i="14"/>
  <c r="AD38" i="7"/>
  <c r="AG38" i="7" s="1"/>
  <c r="AH38" i="7" s="1"/>
  <c r="L4" i="14"/>
  <c r="H4" i="14"/>
  <c r="Y40" i="7"/>
  <c r="AD40" i="7" s="1"/>
  <c r="AG40" i="7" s="1"/>
  <c r="AH40" i="7" s="1"/>
  <c r="O39" i="7"/>
  <c r="X6" i="7"/>
  <c r="A6" i="7"/>
  <c r="A7" i="7"/>
  <c r="A8" i="7"/>
  <c r="A9" i="7"/>
  <c r="A10" i="7"/>
  <c r="A11" i="7"/>
  <c r="A12" i="7"/>
  <c r="A13" i="7"/>
  <c r="A14" i="7"/>
  <c r="A15" i="7"/>
  <c r="A16" i="7"/>
  <c r="A17" i="7"/>
  <c r="A18" i="7"/>
  <c r="A19" i="7"/>
  <c r="A20" i="7"/>
  <c r="A21" i="7"/>
  <c r="A22" i="7"/>
  <c r="A23" i="7"/>
  <c r="A24" i="7"/>
  <c r="A25" i="7"/>
  <c r="A26" i="7"/>
  <c r="A27" i="7"/>
  <c r="A28" i="7"/>
  <c r="A29" i="7"/>
  <c r="A30" i="7"/>
  <c r="A31" i="7"/>
  <c r="A32" i="7"/>
  <c r="A33" i="7"/>
  <c r="A34" i="7"/>
  <c r="A35" i="7"/>
  <c r="A36" i="7"/>
  <c r="A37" i="7"/>
  <c r="A5" i="7"/>
  <c r="Y39" i="7" l="1"/>
  <c r="X15" i="7"/>
  <c r="X11" i="7"/>
  <c r="X7" i="7"/>
  <c r="S15" i="7"/>
  <c r="T15" i="7" s="1"/>
  <c r="S18" i="7"/>
  <c r="T18" i="7" s="1"/>
  <c r="S19" i="7"/>
  <c r="T19" i="7" s="1"/>
  <c r="S23" i="7"/>
  <c r="S24" i="7"/>
  <c r="S25" i="7"/>
  <c r="S26" i="7"/>
  <c r="S85" i="7" s="1"/>
  <c r="S27" i="7"/>
  <c r="T27" i="7" s="1"/>
  <c r="S29" i="7"/>
  <c r="T29" i="7" s="1"/>
  <c r="S30" i="7"/>
  <c r="S31" i="7"/>
  <c r="S32" i="7"/>
  <c r="S33" i="7"/>
  <c r="S34" i="7"/>
  <c r="S35" i="7"/>
  <c r="S36" i="7"/>
  <c r="S37" i="7"/>
  <c r="E18" i="7"/>
  <c r="F18" i="7"/>
  <c r="G18" i="7"/>
  <c r="H18" i="7"/>
  <c r="E19" i="7"/>
  <c r="F19" i="7"/>
  <c r="G19" i="7"/>
  <c r="H19" i="7"/>
  <c r="J19" i="7" s="1"/>
  <c r="E20" i="7"/>
  <c r="F20" i="7"/>
  <c r="G20" i="7"/>
  <c r="H20" i="7"/>
  <c r="J20" i="7" s="1"/>
  <c r="E21" i="7"/>
  <c r="F21" i="7"/>
  <c r="G21" i="7"/>
  <c r="H21" i="7"/>
  <c r="E22" i="7"/>
  <c r="F22" i="7"/>
  <c r="G22" i="7"/>
  <c r="H22" i="7"/>
  <c r="J22" i="7" s="1"/>
  <c r="E23" i="7"/>
  <c r="F23" i="7"/>
  <c r="G23" i="7"/>
  <c r="H23" i="7"/>
  <c r="E24" i="7"/>
  <c r="F24" i="7"/>
  <c r="G24" i="7"/>
  <c r="H24" i="7"/>
  <c r="E25" i="7"/>
  <c r="F25" i="7"/>
  <c r="G25" i="7"/>
  <c r="H25" i="7"/>
  <c r="E26" i="7"/>
  <c r="F26" i="7"/>
  <c r="G26" i="7"/>
  <c r="H26" i="7"/>
  <c r="E27" i="7"/>
  <c r="F27" i="7"/>
  <c r="G27" i="7"/>
  <c r="H27" i="7"/>
  <c r="E28" i="7"/>
  <c r="F28" i="7"/>
  <c r="G28" i="7"/>
  <c r="H28" i="7"/>
  <c r="E29" i="7"/>
  <c r="F29" i="7"/>
  <c r="G29" i="7"/>
  <c r="H29" i="7"/>
  <c r="E30" i="7"/>
  <c r="F30" i="7"/>
  <c r="G30" i="7"/>
  <c r="H30" i="7"/>
  <c r="E31" i="7"/>
  <c r="F31" i="7"/>
  <c r="G31" i="7"/>
  <c r="H31" i="7"/>
  <c r="J31" i="7" s="1"/>
  <c r="K31" i="7" s="1"/>
  <c r="E32" i="7"/>
  <c r="F32" i="7"/>
  <c r="G32" i="7"/>
  <c r="H32" i="7"/>
  <c r="E33" i="7"/>
  <c r="F33" i="7"/>
  <c r="G33" i="7"/>
  <c r="H33" i="7"/>
  <c r="E34" i="7"/>
  <c r="F34" i="7"/>
  <c r="G34" i="7"/>
  <c r="H34" i="7"/>
  <c r="E35" i="7"/>
  <c r="F35" i="7"/>
  <c r="G35" i="7"/>
  <c r="H35" i="7"/>
  <c r="J35" i="7" s="1"/>
  <c r="E36" i="7"/>
  <c r="F36" i="7"/>
  <c r="G36" i="7"/>
  <c r="H36" i="7"/>
  <c r="E37" i="7"/>
  <c r="F37" i="7"/>
  <c r="G37" i="7"/>
  <c r="H37" i="7"/>
  <c r="T37" i="7" l="1"/>
  <c r="AH37" i="7"/>
  <c r="T36" i="7"/>
  <c r="AH36" i="7"/>
  <c r="T35" i="7"/>
  <c r="AH35" i="7"/>
  <c r="T34" i="7"/>
  <c r="AH34" i="7"/>
  <c r="T30" i="7"/>
  <c r="AH30" i="7"/>
  <c r="T33" i="7"/>
  <c r="AH33" i="7"/>
  <c r="T32" i="7"/>
  <c r="AH32" i="7"/>
  <c r="T31" i="7"/>
  <c r="AH31" i="7"/>
  <c r="AD25" i="7"/>
  <c r="AG25" i="7"/>
  <c r="AH25" i="7" s="1"/>
  <c r="AD24" i="7"/>
  <c r="AG24" i="7"/>
  <c r="AH24" i="7" s="1"/>
  <c r="AD23" i="7"/>
  <c r="AG23" i="7"/>
  <c r="AH23" i="7" s="1"/>
  <c r="AD39" i="7"/>
  <c r="AG39" i="7" s="1"/>
  <c r="L20" i="7"/>
  <c r="K20" i="7"/>
  <c r="J23" i="7"/>
  <c r="L23" i="7" s="1"/>
  <c r="T26" i="7"/>
  <c r="T23" i="7"/>
  <c r="T25" i="7"/>
  <c r="T22" i="7"/>
  <c r="T24" i="7"/>
  <c r="I18" i="7"/>
  <c r="I32" i="7"/>
  <c r="I29" i="7"/>
  <c r="I26" i="7"/>
  <c r="J26" i="7"/>
  <c r="I34" i="7"/>
  <c r="J29" i="7"/>
  <c r="I24" i="7"/>
  <c r="K35" i="7"/>
  <c r="L35" i="7"/>
  <c r="J24" i="7"/>
  <c r="I21" i="7"/>
  <c r="J34" i="7"/>
  <c r="I20" i="7"/>
  <c r="I35" i="7"/>
  <c r="I31" i="7"/>
  <c r="I33" i="7"/>
  <c r="I30" i="7"/>
  <c r="I28" i="7"/>
  <c r="I23" i="7"/>
  <c r="I37" i="7"/>
  <c r="I19" i="7"/>
  <c r="J33" i="7"/>
  <c r="I25" i="7"/>
  <c r="I27" i="7"/>
  <c r="I22" i="7"/>
  <c r="I36" i="7"/>
  <c r="K19" i="7"/>
  <c r="L19" i="7"/>
  <c r="J21" i="7"/>
  <c r="K21" i="7" s="1"/>
  <c r="J36" i="7"/>
  <c r="J27" i="7"/>
  <c r="J18" i="7"/>
  <c r="J30" i="7"/>
  <c r="J32" i="7"/>
  <c r="J25" i="7"/>
  <c r="J37" i="7"/>
  <c r="L31" i="7"/>
  <c r="M31" i="7" s="1"/>
  <c r="O31" i="7" s="1"/>
  <c r="AD31" i="7" s="1"/>
  <c r="AG31" i="7" s="1"/>
  <c r="J28" i="7"/>
  <c r="K23" i="7" l="1"/>
  <c r="M23" i="7" s="1"/>
  <c r="O23" i="7" s="1"/>
  <c r="Y23" i="7" s="1"/>
  <c r="AH39" i="7"/>
  <c r="Y31" i="7"/>
  <c r="M20" i="7"/>
  <c r="O20" i="7" s="1"/>
  <c r="Y20" i="7" s="1"/>
  <c r="M35" i="7"/>
  <c r="O35" i="7" s="1"/>
  <c r="AD35" i="7" s="1"/>
  <c r="AG35" i="7" s="1"/>
  <c r="K26" i="7"/>
  <c r="L26" i="7"/>
  <c r="K29" i="7"/>
  <c r="L29" i="7"/>
  <c r="K34" i="7"/>
  <c r="L34" i="7"/>
  <c r="K24" i="7"/>
  <c r="L24" i="7"/>
  <c r="L33" i="7"/>
  <c r="K33" i="7"/>
  <c r="K32" i="7"/>
  <c r="L32" i="7"/>
  <c r="K30" i="7"/>
  <c r="L30" i="7"/>
  <c r="K27" i="7"/>
  <c r="L27" i="7"/>
  <c r="L36" i="7"/>
  <c r="K36" i="7"/>
  <c r="K18" i="7"/>
  <c r="L18" i="7"/>
  <c r="L21" i="7"/>
  <c r="K28" i="7"/>
  <c r="L28" i="7"/>
  <c r="K37" i="7"/>
  <c r="L37" i="7"/>
  <c r="K25" i="7"/>
  <c r="L25" i="7"/>
  <c r="M19" i="7"/>
  <c r="O19" i="7" s="1"/>
  <c r="K22" i="7"/>
  <c r="L22" i="7"/>
  <c r="Y19" i="7" l="1"/>
  <c r="AD19" i="7"/>
  <c r="AG19" i="7" s="1"/>
  <c r="Y35" i="7"/>
  <c r="M33" i="7"/>
  <c r="O33" i="7" s="1"/>
  <c r="AD33" i="7" s="1"/>
  <c r="AG33" i="7" s="1"/>
  <c r="M26" i="7"/>
  <c r="O26" i="7" s="1"/>
  <c r="Y26" i="7" s="1"/>
  <c r="M21" i="7"/>
  <c r="M29" i="7"/>
  <c r="O29" i="7" s="1"/>
  <c r="Y29" i="7" s="1"/>
  <c r="M24" i="7"/>
  <c r="O24" i="7" s="1"/>
  <c r="Y24" i="7" s="1"/>
  <c r="M34" i="7"/>
  <c r="O34" i="7" s="1"/>
  <c r="AD34" i="7" s="1"/>
  <c r="AG34" i="7" s="1"/>
  <c r="M36" i="7"/>
  <c r="O36" i="7" s="1"/>
  <c r="AD36" i="7" s="1"/>
  <c r="AG36" i="7" s="1"/>
  <c r="M37" i="7"/>
  <c r="O37" i="7" s="1"/>
  <c r="AD37" i="7" s="1"/>
  <c r="AG37" i="7" s="1"/>
  <c r="M18" i="7"/>
  <c r="O18" i="7" s="1"/>
  <c r="AD18" i="7" s="1"/>
  <c r="AG18" i="7" s="1"/>
  <c r="AG85" i="7" s="1"/>
  <c r="M22" i="7"/>
  <c r="O22" i="7" s="1"/>
  <c r="Y22" i="7" s="1"/>
  <c r="M27" i="7"/>
  <c r="O27" i="7" s="1"/>
  <c r="Y27" i="7" s="1"/>
  <c r="M25" i="7"/>
  <c r="O25" i="7" s="1"/>
  <c r="Y25" i="7" s="1"/>
  <c r="M28" i="7"/>
  <c r="O28" i="7" s="1"/>
  <c r="Y28" i="7" s="1"/>
  <c r="M30" i="7"/>
  <c r="O30" i="7" s="1"/>
  <c r="AD30" i="7" s="1"/>
  <c r="AG30" i="7" s="1"/>
  <c r="M32" i="7"/>
  <c r="O32" i="7" s="1"/>
  <c r="AD32" i="7" s="1"/>
  <c r="AG32" i="7" s="1"/>
  <c r="Y18" i="7" l="1"/>
  <c r="Y37" i="7"/>
  <c r="Y36" i="7"/>
  <c r="Y34" i="7"/>
  <c r="Y32" i="7"/>
  <c r="Y33" i="7"/>
  <c r="Y30" i="7"/>
  <c r="O21" i="7"/>
  <c r="Y21" i="7" s="1"/>
  <c r="S10" i="7"/>
  <c r="H10" i="7"/>
  <c r="J10" i="7" s="1"/>
  <c r="G10" i="7"/>
  <c r="F10" i="7"/>
  <c r="E10" i="7"/>
  <c r="T9" i="7"/>
  <c r="H9" i="7"/>
  <c r="J9" i="7" s="1"/>
  <c r="K9" i="7" s="1"/>
  <c r="G9" i="7"/>
  <c r="F9" i="7"/>
  <c r="E9" i="7"/>
  <c r="T10" i="7" l="1"/>
  <c r="I9" i="7"/>
  <c r="K10" i="7"/>
  <c r="L10" i="7"/>
  <c r="L9" i="7"/>
  <c r="M9" i="7" s="1"/>
  <c r="O9" i="7" s="1"/>
  <c r="AD9" i="7" s="1"/>
  <c r="AG9" i="7" s="1"/>
  <c r="AH9" i="7" s="1"/>
  <c r="I10" i="7"/>
  <c r="Y9" i="7" l="1"/>
  <c r="M10" i="7"/>
  <c r="O10" i="7" s="1"/>
  <c r="AD10" i="7" l="1"/>
  <c r="AG10" i="7" s="1"/>
  <c r="AH10" i="7" s="1"/>
  <c r="Y10" i="7"/>
  <c r="S16" i="7"/>
  <c r="T16" i="7" s="1"/>
  <c r="H16" i="7"/>
  <c r="G16" i="7"/>
  <c r="F16" i="7"/>
  <c r="E16" i="7"/>
  <c r="H15" i="7"/>
  <c r="J15" i="7" s="1"/>
  <c r="G15" i="7"/>
  <c r="AD15" i="7" s="1"/>
  <c r="AG15" i="7" s="1"/>
  <c r="F15" i="7"/>
  <c r="E15" i="7"/>
  <c r="S14" i="7"/>
  <c r="S84" i="7" s="1"/>
  <c r="S12" i="7"/>
  <c r="H12" i="7"/>
  <c r="J12" i="7" s="1"/>
  <c r="L12" i="7" s="1"/>
  <c r="G12" i="7"/>
  <c r="F12" i="7"/>
  <c r="E12" i="7"/>
  <c r="E14" i="7"/>
  <c r="H13" i="7"/>
  <c r="J13" i="7" s="1"/>
  <c r="G13" i="7"/>
  <c r="AD13" i="7" s="1"/>
  <c r="AG13" i="7" s="1"/>
  <c r="AH13" i="7" s="1"/>
  <c r="F13" i="7"/>
  <c r="E13" i="7"/>
  <c r="H11" i="7"/>
  <c r="G11" i="7"/>
  <c r="AD11" i="7" s="1"/>
  <c r="AG11" i="7" s="1"/>
  <c r="AH11" i="7" s="1"/>
  <c r="F11" i="7"/>
  <c r="E11" i="7"/>
  <c r="H8" i="7"/>
  <c r="G8" i="7"/>
  <c r="AD8" i="7" s="1"/>
  <c r="AG8" i="7" s="1"/>
  <c r="AH8" i="7" s="1"/>
  <c r="F8" i="7"/>
  <c r="E8" i="7"/>
  <c r="T7" i="7"/>
  <c r="H7" i="7"/>
  <c r="J7" i="7" s="1"/>
  <c r="L7" i="7" s="1"/>
  <c r="G7" i="7"/>
  <c r="AD7" i="7" s="1"/>
  <c r="F7" i="7"/>
  <c r="E7" i="7"/>
  <c r="H6" i="7"/>
  <c r="G6" i="7"/>
  <c r="AD6" i="7" s="1"/>
  <c r="AG6" i="7" s="1"/>
  <c r="F6" i="7"/>
  <c r="E6" i="7"/>
  <c r="H5" i="7"/>
  <c r="J5" i="7" s="1"/>
  <c r="L5" i="7" s="1"/>
  <c r="F5" i="7"/>
  <c r="E5" i="7"/>
  <c r="AG7" i="7" l="1"/>
  <c r="AH7" i="7" s="1"/>
  <c r="T12" i="7"/>
  <c r="AH6" i="7"/>
  <c r="T14" i="7"/>
  <c r="T11" i="7"/>
  <c r="K5" i="7"/>
  <c r="I16" i="7"/>
  <c r="J16" i="7"/>
  <c r="K15" i="7"/>
  <c r="L15" i="7"/>
  <c r="I15" i="7"/>
  <c r="I12" i="7"/>
  <c r="K12" i="7"/>
  <c r="M12" i="7" s="1"/>
  <c r="I6" i="7"/>
  <c r="I11" i="7"/>
  <c r="I8" i="7"/>
  <c r="J11" i="7"/>
  <c r="K11" i="7" s="1"/>
  <c r="K13" i="7"/>
  <c r="L13" i="7"/>
  <c r="K7" i="7"/>
  <c r="M7" i="7" s="1"/>
  <c r="O7" i="7" s="1"/>
  <c r="J8" i="7"/>
  <c r="I7" i="7"/>
  <c r="J6" i="7"/>
  <c r="I5" i="7"/>
  <c r="I13" i="7"/>
  <c r="O12" i="7" l="1"/>
  <c r="AD12" i="7" s="1"/>
  <c r="AG12" i="7" s="1"/>
  <c r="AH12" i="7" s="1"/>
  <c r="Y12" i="7"/>
  <c r="L11" i="7"/>
  <c r="M11" i="7" s="1"/>
  <c r="O11" i="7" s="1"/>
  <c r="L16" i="7"/>
  <c r="K16" i="7"/>
  <c r="M15" i="7"/>
  <c r="O15" i="7" s="1"/>
  <c r="M5" i="7"/>
  <c r="O5" i="7" s="1"/>
  <c r="L6" i="7"/>
  <c r="K6" i="7"/>
  <c r="L8" i="7"/>
  <c r="K8" i="7"/>
  <c r="M13" i="7"/>
  <c r="O13" i="7" s="1"/>
  <c r="M16" i="7" l="1"/>
  <c r="O16" i="7" s="1"/>
  <c r="Y16" i="7" s="1"/>
  <c r="AD16" i="7" s="1"/>
  <c r="AG16" i="7" s="1"/>
  <c r="M8" i="7"/>
  <c r="O8" i="7" s="1"/>
  <c r="M6" i="7"/>
  <c r="O6" i="7" s="1"/>
  <c r="AG84" i="7" l="1"/>
  <c r="AG83" i="7"/>
  <c r="H4" i="8"/>
  <c r="G4" i="8"/>
  <c r="M4" i="8" s="1"/>
  <c r="U4" i="8" s="1"/>
  <c r="F4" i="8"/>
  <c r="E4" i="8"/>
  <c r="S17" i="7"/>
  <c r="S83" i="7" s="1"/>
  <c r="H17" i="7"/>
  <c r="J17" i="7" s="1"/>
  <c r="G17" i="7"/>
  <c r="F17" i="7"/>
  <c r="E17" i="7"/>
  <c r="H14" i="7"/>
  <c r="J14" i="7" s="1"/>
  <c r="G14" i="7"/>
  <c r="F14" i="7"/>
  <c r="T17" i="7" l="1"/>
  <c r="S4" i="8"/>
  <c r="I4" i="8"/>
  <c r="J4" i="8"/>
  <c r="K4" i="8" s="1"/>
  <c r="L14" i="7"/>
  <c r="K14" i="7"/>
  <c r="L17" i="7"/>
  <c r="K17" i="7"/>
  <c r="I17" i="7"/>
  <c r="I14" i="7"/>
  <c r="M14" i="7" l="1"/>
  <c r="O14" i="7" s="1"/>
  <c r="Y14" i="7" s="1"/>
  <c r="M17" i="7"/>
  <c r="O17" i="7" s="1"/>
  <c r="Y17" i="7" l="1"/>
  <c r="AD17" i="7"/>
  <c r="L28" i="3"/>
  <c r="L22" i="3"/>
  <c r="L21" i="3"/>
  <c r="L20" i="3"/>
  <c r="L15" i="3"/>
  <c r="L10" i="3"/>
  <c r="T7" i="3" l="1"/>
  <c r="T29" i="3"/>
  <c r="O29" i="3"/>
  <c r="T28" i="3"/>
  <c r="O28" i="3"/>
  <c r="T27" i="3"/>
  <c r="O27" i="3"/>
  <c r="T26" i="3"/>
  <c r="O26" i="3"/>
  <c r="T25" i="3"/>
  <c r="T24" i="3"/>
  <c r="O24" i="3"/>
  <c r="T23" i="3"/>
  <c r="O23" i="3"/>
  <c r="T22" i="3"/>
  <c r="O22" i="3"/>
  <c r="T21" i="3"/>
  <c r="O21" i="3"/>
  <c r="T20" i="3"/>
  <c r="O20" i="3"/>
  <c r="T19" i="3"/>
  <c r="O19" i="3"/>
  <c r="T18" i="3"/>
  <c r="O18" i="3"/>
  <c r="T17" i="3"/>
  <c r="O17" i="3"/>
  <c r="T16" i="3"/>
  <c r="O16" i="3"/>
  <c r="T15" i="3"/>
  <c r="O15" i="3"/>
  <c r="T14" i="3"/>
  <c r="O14" i="3"/>
  <c r="T13" i="3"/>
  <c r="O13" i="3"/>
  <c r="T12" i="3"/>
  <c r="O12" i="3"/>
  <c r="T11" i="3"/>
  <c r="O11" i="3"/>
  <c r="T10" i="3"/>
  <c r="O10" i="3"/>
  <c r="T9" i="3"/>
  <c r="O9" i="3"/>
  <c r="T8" i="3"/>
  <c r="O8" i="3"/>
  <c r="O7" i="3"/>
  <c r="T6" i="3"/>
  <c r="O6" i="3"/>
  <c r="T5" i="3"/>
  <c r="O5" i="3"/>
  <c r="T4" i="3"/>
  <c r="O4" i="3"/>
  <c r="T3" i="3"/>
  <c r="O3" i="3"/>
  <c r="U4" i="12" l="1"/>
  <c r="V4" i="12" s="1"/>
  <c r="W4" i="12" s="1"/>
  <c r="T4" i="12" l="1"/>
  <c r="L4" i="8" l="1"/>
  <c r="N4" i="8" s="1"/>
  <c r="T4" i="8" l="1"/>
  <c r="V4" i="8"/>
  <c r="W4" i="8" s="1"/>
  <c r="G28" i="16" l="1"/>
  <c r="G4" i="16"/>
  <c r="G56" i="16"/>
  <c r="G70" i="17"/>
  <c r="G32" i="17"/>
  <c r="G65" i="17"/>
  <c r="G4" i="17"/>
  <c r="G37" i="17"/>
  <c r="G61" i="16"/>
  <c r="G89" i="16"/>
  <c r="V65" i="17" l="1"/>
  <c r="Z65" i="17" s="1"/>
  <c r="AA65" i="17" s="1"/>
  <c r="H65" i="17"/>
  <c r="V32" i="17"/>
  <c r="Z32" i="17" s="1"/>
  <c r="AA32" i="17" s="1"/>
  <c r="H32" i="17"/>
  <c r="V70" i="17"/>
  <c r="Z70" i="17" s="1"/>
  <c r="H70" i="17"/>
  <c r="V56" i="16"/>
  <c r="AL56" i="16"/>
  <c r="H56" i="16"/>
  <c r="H89" i="16"/>
  <c r="AL89" i="16"/>
  <c r="V89" i="16"/>
  <c r="AL4" i="16"/>
  <c r="H4" i="16"/>
  <c r="V4" i="16"/>
  <c r="AD4" i="16" s="1"/>
  <c r="V61" i="16"/>
  <c r="H61" i="16"/>
  <c r="AL61" i="16"/>
  <c r="AL28" i="16"/>
  <c r="H28" i="16"/>
  <c r="V28" i="16"/>
  <c r="V37" i="17"/>
  <c r="Z37" i="17" s="1"/>
  <c r="AA37" i="17" s="1"/>
  <c r="H37" i="17"/>
  <c r="G5" i="16"/>
  <c r="G5" i="17"/>
  <c r="G88" i="16"/>
  <c r="G38" i="17"/>
  <c r="G62" i="16"/>
  <c r="G55" i="16"/>
  <c r="G64" i="17"/>
  <c r="G71" i="17"/>
  <c r="G29" i="16"/>
  <c r="G31" i="17"/>
  <c r="V4" i="17"/>
  <c r="Z4" i="17" s="1"/>
  <c r="AA4" i="17" s="1"/>
  <c r="H4" i="17"/>
  <c r="AL29" i="16" l="1"/>
  <c r="V29" i="16"/>
  <c r="H29" i="16"/>
  <c r="AL62" i="16"/>
  <c r="V62" i="16"/>
  <c r="H62" i="16"/>
  <c r="Z61" i="16"/>
  <c r="AA61" i="16" s="1"/>
  <c r="AD61" i="16"/>
  <c r="AE61" i="16" s="1"/>
  <c r="V38" i="17"/>
  <c r="Z38" i="17" s="1"/>
  <c r="AA38" i="17" s="1"/>
  <c r="H38" i="17"/>
  <c r="AL5" i="16"/>
  <c r="V5" i="16"/>
  <c r="H5" i="16"/>
  <c r="H71" i="17"/>
  <c r="V71" i="17"/>
  <c r="Z71" i="17" s="1"/>
  <c r="AL88" i="16"/>
  <c r="V88" i="16"/>
  <c r="H88" i="16"/>
  <c r="AD28" i="16"/>
  <c r="AE28" i="16" s="1"/>
  <c r="Z28" i="16"/>
  <c r="AA28" i="16" s="1"/>
  <c r="Z4" i="16"/>
  <c r="AA4" i="16" s="1"/>
  <c r="AE4" i="16"/>
  <c r="AA70" i="17"/>
  <c r="AB70" i="17"/>
  <c r="H31" i="17"/>
  <c r="V31" i="17"/>
  <c r="Z31" i="17" s="1"/>
  <c r="AA31" i="17" s="1"/>
  <c r="V64" i="17"/>
  <c r="Z64" i="17" s="1"/>
  <c r="AA64" i="17" s="1"/>
  <c r="H64" i="17"/>
  <c r="AL55" i="16"/>
  <c r="H55" i="16"/>
  <c r="V55" i="16"/>
  <c r="V5" i="17"/>
  <c r="Z5" i="17" s="1"/>
  <c r="AA5" i="17" s="1"/>
  <c r="H5" i="17"/>
  <c r="Z89" i="16"/>
  <c r="AA89" i="16" s="1"/>
  <c r="AD89" i="16"/>
  <c r="AE89" i="16" s="1"/>
  <c r="AD56" i="16"/>
  <c r="AE56" i="16" s="1"/>
  <c r="Z56" i="16"/>
  <c r="AA56" i="16" s="1"/>
  <c r="Z55" i="16" l="1"/>
  <c r="AA55" i="16" s="1"/>
  <c r="AD55" i="16"/>
  <c r="AE55" i="16" s="1"/>
  <c r="AD88" i="16"/>
  <c r="AE88" i="16" s="1"/>
  <c r="Z88" i="16"/>
  <c r="AA88" i="16" s="1"/>
  <c r="AD62" i="16"/>
  <c r="AE62" i="16" s="1"/>
  <c r="Z62" i="16"/>
  <c r="AA62" i="16" s="1"/>
  <c r="AB71" i="17"/>
  <c r="AA71" i="17"/>
  <c r="Z29" i="16"/>
  <c r="AA29" i="16" s="1"/>
  <c r="AD29" i="16"/>
  <c r="AE29" i="16" s="1"/>
  <c r="Z5" i="16"/>
  <c r="AA5" i="16" s="1"/>
  <c r="AD5" i="16"/>
  <c r="AE5" i="16" s="1"/>
  <c r="K5" i="22" l="1"/>
  <c r="G84" i="16" l="1"/>
  <c r="G25" i="16"/>
  <c r="G51" i="16"/>
  <c r="G60" i="17"/>
  <c r="G91" i="17"/>
  <c r="G27" i="17"/>
  <c r="H27" i="17" l="1"/>
  <c r="V27" i="17"/>
  <c r="Z27" i="17" s="1"/>
  <c r="AA27" i="17" s="1"/>
  <c r="V91" i="17"/>
  <c r="Z91" i="17" s="1"/>
  <c r="H91" i="17"/>
  <c r="H25" i="16"/>
  <c r="AL25" i="16"/>
  <c r="V25" i="16"/>
  <c r="V60" i="17"/>
  <c r="Z60" i="17" s="1"/>
  <c r="AA60" i="17" s="1"/>
  <c r="H60" i="17"/>
  <c r="AL84" i="16"/>
  <c r="V84" i="16"/>
  <c r="H84" i="16"/>
  <c r="H51" i="16"/>
  <c r="V51" i="16"/>
  <c r="AL51" i="16"/>
  <c r="Z25" i="16" l="1"/>
  <c r="AA25" i="16" s="1"/>
  <c r="AD25" i="16"/>
  <c r="AE25" i="16" s="1"/>
  <c r="AB91" i="17"/>
  <c r="AA91" i="17"/>
  <c r="Z84" i="16"/>
  <c r="AA84" i="16" s="1"/>
  <c r="AD84" i="16"/>
  <c r="AE84" i="16" s="1"/>
  <c r="Z51" i="16"/>
  <c r="AA51" i="16" s="1"/>
  <c r="AD51" i="16"/>
  <c r="AE51" i="16" s="1"/>
  <c r="G19" i="17" l="1"/>
  <c r="G52" i="17"/>
  <c r="G76" i="16"/>
  <c r="G84" i="17"/>
  <c r="G18" i="16"/>
  <c r="G43" i="16"/>
  <c r="G36" i="17"/>
  <c r="G60" i="16"/>
  <c r="G69" i="17"/>
  <c r="G3" i="17"/>
  <c r="G3" i="16"/>
  <c r="G27" i="16"/>
  <c r="G39" i="17"/>
  <c r="G30" i="16"/>
  <c r="G6" i="17"/>
  <c r="G72" i="17"/>
  <c r="G6" i="16"/>
  <c r="G63" i="16"/>
  <c r="G49" i="17"/>
  <c r="G73" i="16"/>
  <c r="G81" i="17"/>
  <c r="G16" i="17"/>
  <c r="G40" i="16"/>
  <c r="G15" i="16"/>
  <c r="G24" i="16"/>
  <c r="G58" i="17"/>
  <c r="G49" i="16"/>
  <c r="G82" i="16"/>
  <c r="G90" i="17"/>
  <c r="G25" i="17"/>
  <c r="G14" i="16"/>
  <c r="G39" i="16"/>
  <c r="G72" i="16"/>
  <c r="G48" i="17"/>
  <c r="G80" i="17"/>
  <c r="G15" i="17"/>
  <c r="G57" i="17"/>
  <c r="G48" i="16"/>
  <c r="G24" i="17"/>
  <c r="G89" i="17"/>
  <c r="G23" i="16"/>
  <c r="G81" i="16"/>
  <c r="G17" i="16"/>
  <c r="G75" i="16"/>
  <c r="G51" i="17"/>
  <c r="G18" i="17"/>
  <c r="G83" i="17"/>
  <c r="G42" i="16"/>
  <c r="G83" i="16"/>
  <c r="G59" i="17"/>
  <c r="G26" i="17"/>
  <c r="G50" i="16"/>
  <c r="G74" i="17"/>
  <c r="G8" i="16"/>
  <c r="G8" i="17"/>
  <c r="G32" i="16"/>
  <c r="G41" i="17"/>
  <c r="G65" i="16"/>
  <c r="G7" i="16"/>
  <c r="G31" i="16"/>
  <c r="G7" i="17"/>
  <c r="G73" i="17"/>
  <c r="G40" i="17"/>
  <c r="G64" i="16"/>
  <c r="G87" i="17"/>
  <c r="G79" i="16"/>
  <c r="G46" i="16"/>
  <c r="G55" i="17"/>
  <c r="G22" i="17"/>
  <c r="G21" i="16"/>
  <c r="G85" i="16"/>
  <c r="G61" i="17"/>
  <c r="G28" i="17"/>
  <c r="G92" i="17"/>
  <c r="G26" i="16"/>
  <c r="G52" i="16"/>
  <c r="G50" i="17"/>
  <c r="G41" i="16"/>
  <c r="G17" i="17"/>
  <c r="G74" i="16"/>
  <c r="G16" i="16"/>
  <c r="G82" i="17"/>
  <c r="G86" i="16"/>
  <c r="G47" i="17"/>
  <c r="G29" i="17"/>
  <c r="G13" i="16"/>
  <c r="G53" i="16"/>
  <c r="G38" i="16"/>
  <c r="G62" i="17"/>
  <c r="G71" i="16"/>
  <c r="G79" i="17"/>
  <c r="G14" i="17"/>
  <c r="G80" i="16"/>
  <c r="G47" i="16"/>
  <c r="G22" i="16"/>
  <c r="G56" i="17"/>
  <c r="G23" i="17"/>
  <c r="G88" i="17"/>
  <c r="G78" i="16"/>
  <c r="G21" i="17"/>
  <c r="G54" i="17"/>
  <c r="G86" i="17"/>
  <c r="G45" i="16"/>
  <c r="G20" i="16"/>
  <c r="G44" i="16"/>
  <c r="G85" i="17"/>
  <c r="G77" i="16"/>
  <c r="G19" i="16"/>
  <c r="G20" i="17"/>
  <c r="G53" i="17"/>
  <c r="H14" i="17" l="1"/>
  <c r="V14" i="17"/>
  <c r="Z14" i="17" s="1"/>
  <c r="AA14" i="17" s="1"/>
  <c r="H81" i="16"/>
  <c r="AL81" i="16"/>
  <c r="V81" i="16"/>
  <c r="H24" i="16"/>
  <c r="V24" i="16"/>
  <c r="AL24" i="16"/>
  <c r="H53" i="17"/>
  <c r="V53" i="17"/>
  <c r="Z53" i="17" s="1"/>
  <c r="AA53" i="17" s="1"/>
  <c r="H71" i="16"/>
  <c r="AL71" i="16"/>
  <c r="V71" i="16"/>
  <c r="AL79" i="16"/>
  <c r="V79" i="16"/>
  <c r="H79" i="16"/>
  <c r="V15" i="16"/>
  <c r="H15" i="16"/>
  <c r="AL15" i="16"/>
  <c r="H48" i="17"/>
  <c r="V48" i="17"/>
  <c r="Z48" i="17" s="1"/>
  <c r="AA48" i="17" s="1"/>
  <c r="H36" i="17"/>
  <c r="V36" i="17"/>
  <c r="Z36" i="17" s="1"/>
  <c r="AA36" i="17" s="1"/>
  <c r="H38" i="16"/>
  <c r="V38" i="16"/>
  <c r="AL38" i="16"/>
  <c r="V16" i="17"/>
  <c r="Z16" i="17" s="1"/>
  <c r="AA16" i="17" s="1"/>
  <c r="H16" i="17"/>
  <c r="V77" i="16"/>
  <c r="AL77" i="16"/>
  <c r="H77" i="16"/>
  <c r="G58" i="16"/>
  <c r="G36" i="16"/>
  <c r="G78" i="17"/>
  <c r="G67" i="17"/>
  <c r="G12" i="16"/>
  <c r="G69" i="16"/>
  <c r="G45" i="17"/>
  <c r="G34" i="17"/>
  <c r="G12" i="17"/>
  <c r="G91" i="16"/>
  <c r="AL64" i="16"/>
  <c r="V64" i="16"/>
  <c r="H64" i="16"/>
  <c r="AL18" i="16"/>
  <c r="V18" i="16"/>
  <c r="H18" i="16"/>
  <c r="V23" i="17"/>
  <c r="Z23" i="17" s="1"/>
  <c r="AA23" i="17" s="1"/>
  <c r="H23" i="17"/>
  <c r="G34" i="16"/>
  <c r="G43" i="17"/>
  <c r="G10" i="17"/>
  <c r="G67" i="16"/>
  <c r="G10" i="16"/>
  <c r="G76" i="17"/>
  <c r="V47" i="17"/>
  <c r="Z47" i="17" s="1"/>
  <c r="AA47" i="17" s="1"/>
  <c r="H47" i="17"/>
  <c r="V8" i="16"/>
  <c r="H8" i="16"/>
  <c r="AL8" i="16"/>
  <c r="V57" i="17"/>
  <c r="Z57" i="17" s="1"/>
  <c r="AA57" i="17" s="1"/>
  <c r="H57" i="17"/>
  <c r="V25" i="17"/>
  <c r="Z25" i="17" s="1"/>
  <c r="AA25" i="17" s="1"/>
  <c r="H25" i="17"/>
  <c r="V3" i="17"/>
  <c r="Z3" i="17" s="1"/>
  <c r="AA3" i="17" s="1"/>
  <c r="H3" i="17"/>
  <c r="H56" i="17"/>
  <c r="V56" i="17"/>
  <c r="Z56" i="17" s="1"/>
  <c r="AA56" i="17" s="1"/>
  <c r="AL86" i="16"/>
  <c r="V86" i="16"/>
  <c r="H86" i="16"/>
  <c r="H74" i="17"/>
  <c r="V74" i="17"/>
  <c r="Z74" i="17" s="1"/>
  <c r="H49" i="17"/>
  <c r="V49" i="17"/>
  <c r="Z49" i="17" s="1"/>
  <c r="AA49" i="17" s="1"/>
  <c r="V84" i="17"/>
  <c r="Z84" i="17" s="1"/>
  <c r="H84" i="17"/>
  <c r="V83" i="16"/>
  <c r="H83" i="16"/>
  <c r="AL83" i="16"/>
  <c r="AL30" i="16"/>
  <c r="H30" i="16"/>
  <c r="V30" i="16"/>
  <c r="AL60" i="16"/>
  <c r="H60" i="16"/>
  <c r="V60" i="16"/>
  <c r="V62" i="17"/>
  <c r="Z62" i="17" s="1"/>
  <c r="AA62" i="17" s="1"/>
  <c r="H62" i="17"/>
  <c r="H89" i="17"/>
  <c r="V89" i="17"/>
  <c r="Z89" i="17" s="1"/>
  <c r="V19" i="16"/>
  <c r="H19" i="16"/>
  <c r="AL19" i="16"/>
  <c r="H81" i="17"/>
  <c r="V81" i="17"/>
  <c r="Z81" i="17" s="1"/>
  <c r="H13" i="16"/>
  <c r="V13" i="16"/>
  <c r="AL13" i="16"/>
  <c r="H18" i="17"/>
  <c r="V18" i="17"/>
  <c r="Z18" i="17" s="1"/>
  <c r="AA18" i="17" s="1"/>
  <c r="H3" i="16"/>
  <c r="AL3" i="16"/>
  <c r="AJ3" i="16"/>
  <c r="V3" i="16"/>
  <c r="V29" i="17"/>
  <c r="Z29" i="17" s="1"/>
  <c r="AA29" i="17" s="1"/>
  <c r="H29" i="17"/>
  <c r="H51" i="17"/>
  <c r="V51" i="17"/>
  <c r="Z51" i="17" s="1"/>
  <c r="AA51" i="17" s="1"/>
  <c r="AL73" i="16"/>
  <c r="H73" i="16"/>
  <c r="V73" i="16"/>
  <c r="H20" i="16"/>
  <c r="V20" i="16"/>
  <c r="AL20" i="16"/>
  <c r="AL22" i="16"/>
  <c r="V22" i="16"/>
  <c r="H22" i="16"/>
  <c r="H82" i="17"/>
  <c r="V82" i="17"/>
  <c r="Z82" i="17" s="1"/>
  <c r="V26" i="16"/>
  <c r="AL26" i="16"/>
  <c r="H26" i="16"/>
  <c r="H21" i="16"/>
  <c r="AL21" i="16"/>
  <c r="V21" i="16"/>
  <c r="H73" i="17"/>
  <c r="V73" i="17"/>
  <c r="Z73" i="17" s="1"/>
  <c r="AL75" i="16"/>
  <c r="V75" i="16"/>
  <c r="H75" i="16"/>
  <c r="H90" i="17"/>
  <c r="V90" i="17"/>
  <c r="Z90" i="17" s="1"/>
  <c r="V63" i="16"/>
  <c r="AL63" i="16"/>
  <c r="H63" i="16"/>
  <c r="H28" i="17"/>
  <c r="V28" i="17"/>
  <c r="Z28" i="17" s="1"/>
  <c r="AA28" i="17" s="1"/>
  <c r="H79" i="17"/>
  <c r="V79" i="17"/>
  <c r="Z79" i="17" s="1"/>
  <c r="H65" i="16"/>
  <c r="AL65" i="16"/>
  <c r="V65" i="16"/>
  <c r="AL23" i="16"/>
  <c r="V23" i="16"/>
  <c r="H23" i="16"/>
  <c r="V20" i="17"/>
  <c r="Z20" i="17" s="1"/>
  <c r="AA20" i="17" s="1"/>
  <c r="H20" i="17"/>
  <c r="H87" i="17"/>
  <c r="V87" i="17"/>
  <c r="Z87" i="17" s="1"/>
  <c r="H39" i="17"/>
  <c r="V39" i="17"/>
  <c r="Z39" i="17" s="1"/>
  <c r="AA39" i="17" s="1"/>
  <c r="V24" i="17"/>
  <c r="Z24" i="17" s="1"/>
  <c r="AA24" i="17" s="1"/>
  <c r="H24" i="17"/>
  <c r="H88" i="17"/>
  <c r="V88" i="17"/>
  <c r="Z88" i="17" s="1"/>
  <c r="G44" i="17"/>
  <c r="G68" i="16"/>
  <c r="G77" i="17"/>
  <c r="G35" i="17"/>
  <c r="G59" i="16"/>
  <c r="G35" i="16"/>
  <c r="G11" i="17"/>
  <c r="G11" i="16"/>
  <c r="V14" i="16"/>
  <c r="AL14" i="16"/>
  <c r="H14" i="16"/>
  <c r="H44" i="16"/>
  <c r="AL44" i="16"/>
  <c r="V44" i="16"/>
  <c r="V45" i="16"/>
  <c r="H45" i="16"/>
  <c r="AL45" i="16"/>
  <c r="AL47" i="16"/>
  <c r="V47" i="16"/>
  <c r="H47" i="16"/>
  <c r="AL16" i="16"/>
  <c r="V16" i="16"/>
  <c r="H16" i="16"/>
  <c r="H92" i="17"/>
  <c r="V92" i="17"/>
  <c r="Z92" i="17" s="1"/>
  <c r="V22" i="17"/>
  <c r="Z22" i="17" s="1"/>
  <c r="AA22" i="17" s="1"/>
  <c r="H22" i="17"/>
  <c r="H7" i="17"/>
  <c r="V7" i="17"/>
  <c r="Z7" i="17" s="1"/>
  <c r="AA7" i="17" s="1"/>
  <c r="AL50" i="16"/>
  <c r="V50" i="16"/>
  <c r="H50" i="16"/>
  <c r="V82" i="16"/>
  <c r="H82" i="16"/>
  <c r="AL82" i="16"/>
  <c r="V6" i="16"/>
  <c r="AL6" i="16"/>
  <c r="H6" i="16"/>
  <c r="AL76" i="16"/>
  <c r="H76" i="16"/>
  <c r="V76" i="16"/>
  <c r="V21" i="17"/>
  <c r="Z21" i="17" s="1"/>
  <c r="AA21" i="17" s="1"/>
  <c r="H21" i="17"/>
  <c r="V46" i="16"/>
  <c r="AL46" i="16"/>
  <c r="H46" i="16"/>
  <c r="V69" i="17"/>
  <c r="Z69" i="17" s="1"/>
  <c r="H69" i="17"/>
  <c r="AG69" i="17"/>
  <c r="V61" i="17"/>
  <c r="Z61" i="17" s="1"/>
  <c r="AA61" i="17" s="1"/>
  <c r="H61" i="17"/>
  <c r="AL40" i="16"/>
  <c r="V40" i="16"/>
  <c r="H40" i="16"/>
  <c r="V72" i="16"/>
  <c r="AL72" i="16"/>
  <c r="H72" i="16"/>
  <c r="V43" i="16"/>
  <c r="AL43" i="16"/>
  <c r="H43" i="16"/>
  <c r="AL52" i="16"/>
  <c r="H52" i="16"/>
  <c r="V52" i="16"/>
  <c r="H83" i="17"/>
  <c r="V83" i="17"/>
  <c r="Z83" i="17" s="1"/>
  <c r="V85" i="16"/>
  <c r="H85" i="16"/>
  <c r="AL85" i="16"/>
  <c r="V48" i="16"/>
  <c r="AL48" i="16"/>
  <c r="H48" i="16"/>
  <c r="H8" i="17"/>
  <c r="V8" i="17"/>
  <c r="Z8" i="17" s="1"/>
  <c r="AA8" i="17" s="1"/>
  <c r="V86" i="17"/>
  <c r="Z86" i="17" s="1"/>
  <c r="H86" i="17"/>
  <c r="V80" i="16"/>
  <c r="H80" i="16"/>
  <c r="AL80" i="16"/>
  <c r="H74" i="16"/>
  <c r="AL74" i="16"/>
  <c r="V74" i="16"/>
  <c r="H55" i="17"/>
  <c r="V55" i="17"/>
  <c r="Z55" i="17" s="1"/>
  <c r="AA55" i="17" s="1"/>
  <c r="H31" i="16"/>
  <c r="AL31" i="16"/>
  <c r="V31" i="16"/>
  <c r="H26" i="17"/>
  <c r="V26" i="17"/>
  <c r="Z26" i="17" s="1"/>
  <c r="AA26" i="17" s="1"/>
  <c r="AL17" i="16"/>
  <c r="H17" i="16"/>
  <c r="V17" i="16"/>
  <c r="H49" i="16"/>
  <c r="AL49" i="16"/>
  <c r="V49" i="16"/>
  <c r="V72" i="17"/>
  <c r="Z72" i="17" s="1"/>
  <c r="H72" i="17"/>
  <c r="V52" i="17"/>
  <c r="Z52" i="17" s="1"/>
  <c r="AA52" i="17" s="1"/>
  <c r="H52" i="17"/>
  <c r="V41" i="16"/>
  <c r="AL41" i="16"/>
  <c r="H41" i="16"/>
  <c r="V15" i="17"/>
  <c r="Z15" i="17" s="1"/>
  <c r="AA15" i="17" s="1"/>
  <c r="H15" i="17"/>
  <c r="V80" i="17"/>
  <c r="Z80" i="17" s="1"/>
  <c r="H80" i="17"/>
  <c r="V50" i="17"/>
  <c r="Z50" i="17" s="1"/>
  <c r="AA50" i="17" s="1"/>
  <c r="H50" i="17"/>
  <c r="H42" i="16"/>
  <c r="V42" i="16"/>
  <c r="AL42" i="16"/>
  <c r="AL78" i="16"/>
  <c r="H78" i="16"/>
  <c r="V78" i="16"/>
  <c r="V41" i="17"/>
  <c r="Z41" i="17" s="1"/>
  <c r="AA41" i="17" s="1"/>
  <c r="H41" i="17"/>
  <c r="H27" i="16"/>
  <c r="V27" i="16"/>
  <c r="AL27" i="16"/>
  <c r="AL53" i="16"/>
  <c r="V53" i="16"/>
  <c r="H53" i="16"/>
  <c r="AL39" i="16"/>
  <c r="V39" i="16"/>
  <c r="H39" i="16"/>
  <c r="V85" i="17"/>
  <c r="Z85" i="17" s="1"/>
  <c r="H85" i="17"/>
  <c r="V32" i="16"/>
  <c r="AL32" i="16"/>
  <c r="H32" i="16"/>
  <c r="H40" i="17"/>
  <c r="V40" i="17"/>
  <c r="Z40" i="17" s="1"/>
  <c r="AA40" i="17" s="1"/>
  <c r="H54" i="17"/>
  <c r="V54" i="17"/>
  <c r="Z54" i="17" s="1"/>
  <c r="AA54" i="17" s="1"/>
  <c r="V17" i="17"/>
  <c r="Z17" i="17" s="1"/>
  <c r="AA17" i="17" s="1"/>
  <c r="H17" i="17"/>
  <c r="AL7" i="16"/>
  <c r="V7" i="16"/>
  <c r="H7" i="16"/>
  <c r="H59" i="17"/>
  <c r="V59" i="17"/>
  <c r="Z59" i="17" s="1"/>
  <c r="AA59" i="17" s="1"/>
  <c r="H58" i="17"/>
  <c r="V58" i="17"/>
  <c r="Z58" i="17" s="1"/>
  <c r="AA58" i="17" s="1"/>
  <c r="H6" i="17"/>
  <c r="V6" i="17"/>
  <c r="Z6" i="17" s="1"/>
  <c r="AA6" i="17" s="1"/>
  <c r="V19" i="17"/>
  <c r="Z19" i="17" s="1"/>
  <c r="AA19" i="17" s="1"/>
  <c r="H19" i="17"/>
  <c r="Z65" i="16" l="1"/>
  <c r="AA65" i="16" s="1"/>
  <c r="AD65" i="16"/>
  <c r="AE65" i="16" s="1"/>
  <c r="AA89" i="17"/>
  <c r="AB89" i="17"/>
  <c r="V10" i="17"/>
  <c r="Z10" i="17" s="1"/>
  <c r="AA10" i="17" s="1"/>
  <c r="H10" i="17"/>
  <c r="AB73" i="17"/>
  <c r="AA73" i="17"/>
  <c r="Z20" i="16"/>
  <c r="AA20" i="16" s="1"/>
  <c r="AD20" i="16"/>
  <c r="AE20" i="16" s="1"/>
  <c r="AA74" i="17"/>
  <c r="AB74" i="17"/>
  <c r="Z86" i="16"/>
  <c r="AA86" i="16" s="1"/>
  <c r="AD86" i="16"/>
  <c r="AE86" i="16" s="1"/>
  <c r="H67" i="17"/>
  <c r="V67" i="17"/>
  <c r="Z67" i="17" s="1"/>
  <c r="AA67" i="17" s="1"/>
  <c r="Z77" i="16"/>
  <c r="AA77" i="16" s="1"/>
  <c r="AD77" i="16"/>
  <c r="AE77" i="16" s="1"/>
  <c r="Z39" i="16"/>
  <c r="AA39" i="16" s="1"/>
  <c r="AD39" i="16"/>
  <c r="AE39" i="16" s="1"/>
  <c r="AL34" i="16"/>
  <c r="H34" i="16"/>
  <c r="V34" i="16"/>
  <c r="AD49" i="16"/>
  <c r="AE49" i="16" s="1"/>
  <c r="Z49" i="16"/>
  <c r="AA49" i="16" s="1"/>
  <c r="Z80" i="16"/>
  <c r="AA80" i="16" s="1"/>
  <c r="AD80" i="16"/>
  <c r="AE80" i="16" s="1"/>
  <c r="AL36" i="16"/>
  <c r="V36" i="16"/>
  <c r="H36" i="16"/>
  <c r="Z60" i="16"/>
  <c r="AA60" i="16" s="1"/>
  <c r="AD60" i="16"/>
  <c r="AE60" i="16" s="1"/>
  <c r="AB84" i="17"/>
  <c r="AA84" i="17"/>
  <c r="H58" i="16"/>
  <c r="AL58" i="16"/>
  <c r="V58" i="16"/>
  <c r="AD13" i="16"/>
  <c r="AE13" i="16" s="1"/>
  <c r="Z13" i="16"/>
  <c r="AA13" i="16" s="1"/>
  <c r="AD63" i="16"/>
  <c r="AE63" i="16" s="1"/>
  <c r="Z63" i="16"/>
  <c r="AA63" i="16" s="1"/>
  <c r="Z8" i="16"/>
  <c r="AA8" i="16" s="1"/>
  <c r="AD8" i="16"/>
  <c r="AE8" i="16" s="1"/>
  <c r="Z6" i="16"/>
  <c r="AA6" i="16" s="1"/>
  <c r="AD6" i="16"/>
  <c r="AE6" i="16" s="1"/>
  <c r="AB87" i="17"/>
  <c r="AA87" i="17"/>
  <c r="AA79" i="17"/>
  <c r="AB79" i="17"/>
  <c r="AB90" i="17"/>
  <c r="AA90" i="17"/>
  <c r="AB81" i="17"/>
  <c r="AA81" i="17"/>
  <c r="Z27" i="16"/>
  <c r="AA27" i="16" s="1"/>
  <c r="AD27" i="16"/>
  <c r="AE27" i="16" s="1"/>
  <c r="Z48" i="16"/>
  <c r="AA48" i="16" s="1"/>
  <c r="AD48" i="16"/>
  <c r="AE48" i="16" s="1"/>
  <c r="Z26" i="16"/>
  <c r="AA26" i="16" s="1"/>
  <c r="AD26" i="16"/>
  <c r="AE26" i="16" s="1"/>
  <c r="AD71" i="16"/>
  <c r="AE71" i="16" s="1"/>
  <c r="Z71" i="16"/>
  <c r="AA71" i="16" s="1"/>
  <c r="Z31" i="16"/>
  <c r="AA31" i="16" s="1"/>
  <c r="AD31" i="16"/>
  <c r="AE31" i="16" s="1"/>
  <c r="H68" i="16"/>
  <c r="AL68" i="16"/>
  <c r="V68" i="16"/>
  <c r="Z52" i="16"/>
  <c r="AA52" i="16" s="1"/>
  <c r="AD52" i="16"/>
  <c r="AE52" i="16" s="1"/>
  <c r="AD50" i="16"/>
  <c r="AE50" i="16" s="1"/>
  <c r="Z50" i="16"/>
  <c r="AA50" i="16" s="1"/>
  <c r="V44" i="17"/>
  <c r="Z44" i="17" s="1"/>
  <c r="AA44" i="17" s="1"/>
  <c r="H44" i="17"/>
  <c r="AB69" i="17"/>
  <c r="AA69" i="17"/>
  <c r="AD45" i="16"/>
  <c r="AE45" i="16" s="1"/>
  <c r="Z45" i="16"/>
  <c r="AA45" i="16" s="1"/>
  <c r="Z79" i="16"/>
  <c r="AA79" i="16" s="1"/>
  <c r="AD79" i="16"/>
  <c r="AE79" i="16" s="1"/>
  <c r="Z81" i="16"/>
  <c r="AA81" i="16" s="1"/>
  <c r="AD81" i="16"/>
  <c r="AE81" i="16" s="1"/>
  <c r="Z43" i="16"/>
  <c r="AA43" i="16" s="1"/>
  <c r="AD43" i="16"/>
  <c r="AE43" i="16" s="1"/>
  <c r="AD46" i="16"/>
  <c r="AE46" i="16" s="1"/>
  <c r="Z46" i="16"/>
  <c r="AA46" i="16" s="1"/>
  <c r="AA82" i="17"/>
  <c r="AB82" i="17"/>
  <c r="Z30" i="16"/>
  <c r="AA30" i="16" s="1"/>
  <c r="AD30" i="16"/>
  <c r="AE30" i="16" s="1"/>
  <c r="H91" i="16"/>
  <c r="AL91" i="16"/>
  <c r="V91" i="16"/>
  <c r="AD16" i="16"/>
  <c r="AE16" i="16" s="1"/>
  <c r="Z16" i="16"/>
  <c r="AA16" i="16" s="1"/>
  <c r="H35" i="16"/>
  <c r="V35" i="16"/>
  <c r="AL35" i="16"/>
  <c r="AL69" i="16"/>
  <c r="H69" i="16"/>
  <c r="V69" i="16"/>
  <c r="H12" i="16"/>
  <c r="AL12" i="16"/>
  <c r="V12" i="16"/>
  <c r="Z24" i="16"/>
  <c r="AA24" i="16" s="1"/>
  <c r="AD24" i="16"/>
  <c r="AE24" i="16" s="1"/>
  <c r="V77" i="17"/>
  <c r="Z77" i="17" s="1"/>
  <c r="H77" i="17"/>
  <c r="Z21" i="16"/>
  <c r="AA21" i="16" s="1"/>
  <c r="AD21" i="16"/>
  <c r="AE21" i="16" s="1"/>
  <c r="AD64" i="16"/>
  <c r="AE64" i="16" s="1"/>
  <c r="Z64" i="16"/>
  <c r="AA64" i="16" s="1"/>
  <c r="Z53" i="16"/>
  <c r="AA53" i="16" s="1"/>
  <c r="AD53" i="16"/>
  <c r="AE53" i="16" s="1"/>
  <c r="AA88" i="17"/>
  <c r="AB88" i="17"/>
  <c r="AD17" i="16"/>
  <c r="AE17" i="16" s="1"/>
  <c r="Z17" i="16"/>
  <c r="AA17" i="16" s="1"/>
  <c r="Z82" i="16"/>
  <c r="AA82" i="16" s="1"/>
  <c r="AD82" i="16"/>
  <c r="AE82" i="16" s="1"/>
  <c r="AA92" i="17"/>
  <c r="AB92" i="17"/>
  <c r="Z18" i="16"/>
  <c r="AA18" i="16" s="1"/>
  <c r="AD18" i="16"/>
  <c r="AE18" i="16" s="1"/>
  <c r="V12" i="17"/>
  <c r="Z12" i="17" s="1"/>
  <c r="AA12" i="17" s="1"/>
  <c r="H12" i="17"/>
  <c r="Z38" i="16"/>
  <c r="AA38" i="16" s="1"/>
  <c r="AD38" i="16"/>
  <c r="AE38" i="16" s="1"/>
  <c r="AD75" i="16"/>
  <c r="AE75" i="16" s="1"/>
  <c r="Z75" i="16"/>
  <c r="AA75" i="16" s="1"/>
  <c r="AD19" i="16"/>
  <c r="AE19" i="16" s="1"/>
  <c r="Z19" i="16"/>
  <c r="AA19" i="16" s="1"/>
  <c r="H67" i="16"/>
  <c r="AL67" i="16"/>
  <c r="V67" i="16"/>
  <c r="V35" i="17"/>
  <c r="Z35" i="17" s="1"/>
  <c r="AA35" i="17" s="1"/>
  <c r="H35" i="17"/>
  <c r="H43" i="17"/>
  <c r="V43" i="17"/>
  <c r="Z43" i="17" s="1"/>
  <c r="AA43" i="17" s="1"/>
  <c r="Z42" i="16"/>
  <c r="AA42" i="16" s="1"/>
  <c r="AD42" i="16"/>
  <c r="AE42" i="16" s="1"/>
  <c r="AA72" i="17"/>
  <c r="AB72" i="17"/>
  <c r="AA83" i="17"/>
  <c r="AB83" i="17"/>
  <c r="AD76" i="16"/>
  <c r="AE76" i="16" s="1"/>
  <c r="Z76" i="16"/>
  <c r="AA76" i="16" s="1"/>
  <c r="Z47" i="16"/>
  <c r="AA47" i="16" s="1"/>
  <c r="AD47" i="16"/>
  <c r="AE47" i="16" s="1"/>
  <c r="Z14" i="16"/>
  <c r="AA14" i="16" s="1"/>
  <c r="AD14" i="16"/>
  <c r="AE14" i="16" s="1"/>
  <c r="AD83" i="16"/>
  <c r="AE83" i="16" s="1"/>
  <c r="Z83" i="16"/>
  <c r="AA83" i="16" s="1"/>
  <c r="V78" i="17"/>
  <c r="Z78" i="17" s="1"/>
  <c r="H78" i="17"/>
  <c r="AD15" i="16"/>
  <c r="AE15" i="16" s="1"/>
  <c r="Z15" i="16"/>
  <c r="AA15" i="16" s="1"/>
  <c r="AA86" i="17"/>
  <c r="AB86" i="17"/>
  <c r="AD73" i="16"/>
  <c r="AE73" i="16" s="1"/>
  <c r="Z73" i="16"/>
  <c r="AA73" i="16" s="1"/>
  <c r="Z41" i="16"/>
  <c r="AA41" i="16" s="1"/>
  <c r="AD41" i="16"/>
  <c r="AE41" i="16" s="1"/>
  <c r="AD85" i="16"/>
  <c r="AE85" i="16" s="1"/>
  <c r="Z85" i="16"/>
  <c r="AA85" i="16" s="1"/>
  <c r="Z44" i="16"/>
  <c r="AA44" i="16" s="1"/>
  <c r="AD44" i="16"/>
  <c r="AE44" i="16" s="1"/>
  <c r="AL11" i="16"/>
  <c r="V11" i="16"/>
  <c r="H11" i="16"/>
  <c r="H76" i="17"/>
  <c r="V76" i="17"/>
  <c r="Z76" i="17" s="1"/>
  <c r="H34" i="17"/>
  <c r="V34" i="17"/>
  <c r="Z34" i="17" s="1"/>
  <c r="AA34" i="17" s="1"/>
  <c r="AA85" i="17"/>
  <c r="AB85" i="17"/>
  <c r="Z40" i="16"/>
  <c r="AA40" i="16" s="1"/>
  <c r="AD40" i="16"/>
  <c r="AE40" i="16" s="1"/>
  <c r="AL59" i="16"/>
  <c r="V59" i="16"/>
  <c r="H59" i="16"/>
  <c r="Z7" i="16"/>
  <c r="AA7" i="16" s="1"/>
  <c r="AD7" i="16"/>
  <c r="AE7" i="16" s="1"/>
  <c r="AD32" i="16"/>
  <c r="AE32" i="16" s="1"/>
  <c r="Z32" i="16"/>
  <c r="AA32" i="16" s="1"/>
  <c r="Z78" i="16"/>
  <c r="AA78" i="16" s="1"/>
  <c r="AD78" i="16"/>
  <c r="AE78" i="16" s="1"/>
  <c r="AB80" i="17"/>
  <c r="AA80" i="17"/>
  <c r="AD74" i="16"/>
  <c r="AE74" i="16" s="1"/>
  <c r="Z74" i="16"/>
  <c r="AA74" i="16" s="1"/>
  <c r="AD72" i="16"/>
  <c r="AE72" i="16" s="1"/>
  <c r="Z72" i="16"/>
  <c r="AA72" i="16" s="1"/>
  <c r="V11" i="17"/>
  <c r="Z11" i="17" s="1"/>
  <c r="AA11" i="17" s="1"/>
  <c r="H11" i="17"/>
  <c r="AD23" i="16"/>
  <c r="AE23" i="16" s="1"/>
  <c r="Z23" i="16"/>
  <c r="AA23" i="16" s="1"/>
  <c r="AD22" i="16"/>
  <c r="AE22" i="16" s="1"/>
  <c r="Z22" i="16"/>
  <c r="AA22" i="16" s="1"/>
  <c r="Z3" i="16"/>
  <c r="AA3" i="16" s="1"/>
  <c r="AD3" i="16"/>
  <c r="AE3" i="16" s="1"/>
  <c r="H10" i="16"/>
  <c r="AL10" i="16"/>
  <c r="V10" i="16"/>
  <c r="V45" i="17"/>
  <c r="Z45" i="17" s="1"/>
  <c r="AA45" i="17" s="1"/>
  <c r="H45" i="17"/>
  <c r="Z59" i="16" l="1"/>
  <c r="AA59" i="16" s="1"/>
  <c r="AD59" i="16"/>
  <c r="AE59" i="16" s="1"/>
  <c r="AD91" i="16"/>
  <c r="AE91" i="16" s="1"/>
  <c r="Z91" i="16"/>
  <c r="AA91" i="16" s="1"/>
  <c r="Z68" i="16"/>
  <c r="AA68" i="16" s="1"/>
  <c r="AD68" i="16"/>
  <c r="AE68" i="16" s="1"/>
  <c r="AD34" i="16"/>
  <c r="AE34" i="16" s="1"/>
  <c r="Z34" i="16"/>
  <c r="AA34" i="16" s="1"/>
  <c r="AD12" i="16"/>
  <c r="AE12" i="16" s="1"/>
  <c r="Z12" i="16"/>
  <c r="AA12" i="16" s="1"/>
  <c r="AB78" i="17"/>
  <c r="AA78" i="17"/>
  <c r="Z69" i="16"/>
  <c r="AA69" i="16" s="1"/>
  <c r="AD69" i="16"/>
  <c r="AE69" i="16" s="1"/>
  <c r="AD11" i="16"/>
  <c r="AE11" i="16" s="1"/>
  <c r="Z11" i="16"/>
  <c r="AA11" i="16" s="1"/>
  <c r="AA76" i="17"/>
  <c r="AB76" i="17"/>
  <c r="AD67" i="16"/>
  <c r="AE67" i="16" s="1"/>
  <c r="Z67" i="16"/>
  <c r="AA67" i="16" s="1"/>
  <c r="AD36" i="16"/>
  <c r="AE36" i="16" s="1"/>
  <c r="Z36" i="16"/>
  <c r="AA36" i="16" s="1"/>
  <c r="AB77" i="17"/>
  <c r="AA77" i="17"/>
  <c r="Z58" i="16"/>
  <c r="AA58" i="16" s="1"/>
  <c r="AD58" i="16"/>
  <c r="AE58" i="16" s="1"/>
  <c r="Z10" i="16"/>
  <c r="AA10" i="16" s="1"/>
  <c r="AD10" i="16"/>
  <c r="AE10" i="16" s="1"/>
  <c r="Z35" i="16"/>
  <c r="AA35" i="16" s="1"/>
  <c r="AD35" i="16"/>
  <c r="AE35" i="16" s="1"/>
  <c r="AD93" i="17" l="1"/>
  <c r="AG93" i="1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Lu, PengYan</author>
  </authors>
  <commentList>
    <comment ref="AQ4" authorId="0" shapeId="0" xr:uid="{DE305EC3-2249-44BD-8763-A7DAD49DCF13}">
      <text>
        <r>
          <rPr>
            <b/>
            <sz val="9"/>
            <color indexed="81"/>
            <rFont val="宋体"/>
            <family val="3"/>
            <charset val="134"/>
          </rPr>
          <t>Lu, PengYan:</t>
        </r>
        <r>
          <rPr>
            <sz val="9"/>
            <color indexed="81"/>
            <rFont val="宋体"/>
            <family val="3"/>
            <charset val="134"/>
          </rPr>
          <t xml:space="preserve">
by CS</t>
        </r>
      </text>
    </comment>
    <comment ref="AR4" authorId="0" shapeId="0" xr:uid="{6290C092-D3C7-4664-ADC2-E77A447490C3}">
      <text>
        <r>
          <rPr>
            <b/>
            <sz val="9"/>
            <color indexed="81"/>
            <rFont val="宋体"/>
            <family val="3"/>
            <charset val="134"/>
          </rPr>
          <t>Lu, PengYan:</t>
        </r>
        <r>
          <rPr>
            <sz val="9"/>
            <color indexed="81"/>
            <rFont val="宋体"/>
            <family val="3"/>
            <charset val="134"/>
          </rPr>
          <t xml:space="preserve">
by CS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Yu, Lu</author>
  </authors>
  <commentList>
    <comment ref="J20" authorId="0" shapeId="0" xr:uid="{7AF03485-0A0C-42D1-B76B-64298AC3EC52}">
      <text>
        <r>
          <rPr>
            <b/>
            <sz val="9"/>
            <color indexed="81"/>
            <rFont val="宋体"/>
            <family val="3"/>
            <charset val="134"/>
          </rPr>
          <t>Yu, Lu:</t>
        </r>
        <r>
          <rPr>
            <sz val="9"/>
            <color indexed="81"/>
            <rFont val="宋体"/>
            <family val="3"/>
            <charset val="134"/>
          </rPr>
          <t xml:space="preserve">
原120*4DC</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tc={C5F36EC2-2C6A-474C-86E6-53FCED0BD4EF}</author>
    <author>tc={A820E554-E1AC-4487-8EAC-587D4F2CD987}</author>
    <author>tc={B9DC7DDA-F12B-443C-9A8F-BB20E5C1FFA9}</author>
    <author>tc={9BDD6B76-7E85-48EF-897B-41B2337D16E1}</author>
    <author>tc={0630D9D3-093F-4C88-9DC5-72ABF74B10AD}</author>
    <author>tc={E4E5B39D-5672-435A-BAE2-0458CA9EE2D8}</author>
    <author>tc={FC7425E6-B2B6-4E51-9D70-235C31C60004}</author>
    <author>tc={6A90CCB7-FD0E-4B1F-8357-EAB3A24D3F14}</author>
  </authors>
  <commentList>
    <comment ref="AE11" authorId="0" shapeId="0" xr:uid="{C5F36EC2-2C6A-474C-86E6-53FCED0BD4EF}">
      <text>
        <t xml:space="preserve">[线程批注]
你的Excel版本可读取此线程批注; 但如果在更新版本的Excel中打开文件，则对批注所作的任何改动都将被删除。了解详细信息: https://go.microsoft.com/fwlink/?linkid=870924
注释:
    价格未来可以调整44%
</t>
      </text>
    </comment>
    <comment ref="AI11" authorId="1" shapeId="0" xr:uid="{A820E554-E1AC-4487-8EAC-587D4F2CD987}">
      <text>
        <t xml:space="preserve">[线程批注]
你的Excel版本可读取此线程批注; 但如果在更新版本的Excel中打开文件，则对批注所作的任何改动都将被删除。了解详细信息: https://go.microsoft.com/fwlink/?linkid=870924
注释:
    价格未来可以调整44%
</t>
      </text>
    </comment>
    <comment ref="AE22" authorId="2" shapeId="0" xr:uid="{B9DC7DDA-F12B-443C-9A8F-BB20E5C1FFA9}">
      <text>
        <t xml:space="preserve">[线程批注]
你的Excel版本可读取此线程批注; 但如果在更新版本的Excel中打开文件，则对批注所作的任何改动都将被删除。了解详细信息: https://go.microsoft.com/fwlink/?linkid=870924
注释:
    30.5%随货
</t>
      </text>
    </comment>
    <comment ref="AK22" authorId="3" shapeId="0" xr:uid="{9BDD6B76-7E85-48EF-897B-41B2337D16E1}">
      <text>
        <t xml:space="preserve">[线程批注]
你的Excel版本可读取此线程批注; 但如果在更新版本的Excel中打开文件，则对批注所作的任何改动都将被删除。了解详细信息: https://go.microsoft.com/fwlink/?linkid=870924
注释:
    与之前改变 调整
</t>
      </text>
    </comment>
    <comment ref="AE23" authorId="4" shapeId="0" xr:uid="{0630D9D3-093F-4C88-9DC5-72ABF74B10AD}">
      <text>
        <t xml:space="preserve">[线程批注]
你的Excel版本可读取此线程批注; 但如果在更新版本的Excel中打开文件，则对批注所作的任何改动都将被删除。了解详细信息: https://go.microsoft.com/fwlink/?linkid=870924
注释:
    25% 未来可以考虑29%
</t>
      </text>
    </comment>
    <comment ref="AI23" authorId="5" shapeId="0" xr:uid="{E4E5B39D-5672-435A-BAE2-0458CA9EE2D8}">
      <text>
        <t xml:space="preserve">[线程批注]
你的Excel版本可读取此线程批注; 但如果在更新版本的Excel中打开文件，则对批注所作的任何改动都将被删除。了解详细信息: https://go.microsoft.com/fwlink/?linkid=870924
注释:
    25% 未来可以考虑29%
</t>
      </text>
    </comment>
    <comment ref="AK23" authorId="6" shapeId="0" xr:uid="{FC7425E6-B2B6-4E51-9D70-235C31C60004}">
      <text>
        <t xml:space="preserve">[线程批注]
你的Excel版本可读取此线程批注; 但如果在更新版本的Excel中打开文件，则对批注所作的任何改动都将被删除。了解详细信息: https://go.microsoft.com/fwlink/?linkid=870924
注释:
    与之前改变调整
</t>
      </text>
    </comment>
    <comment ref="AM23" authorId="7" shapeId="0" xr:uid="{6A90CCB7-FD0E-4B1F-8357-EAB3A24D3F14}">
      <text>
        <t xml:space="preserve">[线程批注]
你的Excel版本可读取此线程批注; 但如果在更新版本的Excel中打开文件，则对批注所作的任何改动都将被删除。了解详细信息: https://go.microsoft.com/fwlink/?linkid=870924
注释:
    去年是5%
</t>
      </text>
    </comment>
  </commentList>
</comments>
</file>

<file path=xl/sharedStrings.xml><?xml version="1.0" encoding="utf-8"?>
<sst xmlns="http://schemas.openxmlformats.org/spreadsheetml/2006/main" count="3987" uniqueCount="1008">
  <si>
    <t>客户</t>
    <phoneticPr fontId="2" type="noConversion"/>
  </si>
  <si>
    <t>GSV</t>
    <phoneticPr fontId="2" type="noConversion"/>
  </si>
  <si>
    <t>2662-00</t>
  </si>
  <si>
    <t xml:space="preserve">266200舒洁湿厕纸80片x6包 </t>
  </si>
  <si>
    <t>产品名称</t>
    <phoneticPr fontId="2" type="noConversion"/>
  </si>
  <si>
    <t>Product Code</t>
    <phoneticPr fontId="2" type="noConversion"/>
  </si>
  <si>
    <t>箱规</t>
    <phoneticPr fontId="2" type="noConversion"/>
  </si>
  <si>
    <t>北京卓腾</t>
    <phoneticPr fontId="2" type="noConversion"/>
  </si>
  <si>
    <t>2694-40</t>
  </si>
  <si>
    <t>269440舒洁湿厕纸家庭装40抽10包装</t>
  </si>
  <si>
    <t>PR00/EA</t>
    <phoneticPr fontId="2" type="noConversion"/>
  </si>
  <si>
    <t>经销商箱价</t>
  </si>
  <si>
    <t>打款价格-含税</t>
  </si>
  <si>
    <t>折扣力度</t>
  </si>
  <si>
    <t>折扣费用</t>
    <phoneticPr fontId="2" type="noConversion"/>
  </si>
  <si>
    <t>最终价格-含税</t>
    <phoneticPr fontId="2" type="noConversion"/>
  </si>
  <si>
    <t>单包价格/含税</t>
  </si>
  <si>
    <t>267030舒洁湿厕纸旅行装10包装</t>
  </si>
  <si>
    <t>例</t>
    <phoneticPr fontId="2" type="noConversion"/>
  </si>
  <si>
    <t>2694-30</t>
  </si>
  <si>
    <t>2694-30</t>
    <phoneticPr fontId="2" type="noConversion"/>
  </si>
  <si>
    <t>NSV测算</t>
    <phoneticPr fontId="2" type="noConversion"/>
  </si>
  <si>
    <t>公式</t>
    <phoneticPr fontId="2" type="noConversion"/>
  </si>
  <si>
    <t>EA per Case</t>
  </si>
  <si>
    <t>建议零售价</t>
    <phoneticPr fontId="2" type="noConversion"/>
  </si>
  <si>
    <t>产品系列</t>
  </si>
  <si>
    <t>序号</t>
    <phoneticPr fontId="2" type="noConversion"/>
  </si>
  <si>
    <t>OEM</t>
    <phoneticPr fontId="2" type="noConversion"/>
  </si>
  <si>
    <t>Prod. Hier.- Packing</t>
  </si>
  <si>
    <t>Product Code</t>
  </si>
  <si>
    <t>code</t>
  </si>
  <si>
    <t>Barcode（EA）</t>
  </si>
  <si>
    <t>Material</t>
  </si>
  <si>
    <t>描述</t>
  </si>
  <si>
    <t>EA箱规</t>
    <phoneticPr fontId="2" type="noConversion"/>
  </si>
  <si>
    <t>内容</t>
    <phoneticPr fontId="2" type="noConversion"/>
  </si>
  <si>
    <t>片数</t>
    <phoneticPr fontId="2" type="noConversion"/>
  </si>
  <si>
    <t>张/箱</t>
    <phoneticPr fontId="2" type="noConversion"/>
  </si>
  <si>
    <t>Size</t>
  </si>
  <si>
    <t>Volume</t>
  </si>
  <si>
    <t>纸张尺寸</t>
    <phoneticPr fontId="2" type="noConversion"/>
  </si>
  <si>
    <t>PR00
(未税)</t>
    <phoneticPr fontId="2" type="noConversion"/>
  </si>
  <si>
    <t>PR00/EA
(未税)</t>
    <phoneticPr fontId="2" type="noConversion"/>
  </si>
  <si>
    <t>四联单品类</t>
    <phoneticPr fontId="2" type="noConversion"/>
  </si>
  <si>
    <t>湿厕纸</t>
  </si>
  <si>
    <t>OEM洁雅</t>
    <phoneticPr fontId="2" type="noConversion"/>
  </si>
  <si>
    <t>M2J</t>
  </si>
  <si>
    <t>2660-00</t>
  </si>
  <si>
    <t>6923589426600</t>
  </si>
  <si>
    <t>14014255</t>
  </si>
  <si>
    <t>266000舒洁湿厕纸80片</t>
  </si>
  <si>
    <t>80p</t>
  </si>
  <si>
    <t>334*314*277</t>
  </si>
  <si>
    <t>200*133</t>
  </si>
  <si>
    <t>舒洁湿厕纸巾</t>
  </si>
  <si>
    <t>OEM洁雅</t>
  </si>
  <si>
    <t>M2K</t>
  </si>
  <si>
    <t>2661-00</t>
  </si>
  <si>
    <t>6923589426617</t>
  </si>
  <si>
    <t>14014256</t>
  </si>
  <si>
    <t>266100舒洁湿厕纸80片x3包</t>
  </si>
  <si>
    <t>80*3</t>
  </si>
  <si>
    <t>444*314*215</t>
  </si>
  <si>
    <t>M2L</t>
  </si>
  <si>
    <t>6923589426624</t>
  </si>
  <si>
    <t>14014257</t>
  </si>
  <si>
    <t xml:space="preserve">266200舒洁湿厕纸80片x6包 </t>
    <phoneticPr fontId="2" type="noConversion"/>
  </si>
  <si>
    <t>80*6</t>
  </si>
  <si>
    <t>223*168*204</t>
  </si>
  <si>
    <t>N8L</t>
  </si>
  <si>
    <t>2666-00</t>
  </si>
  <si>
    <t>6923589426662</t>
  </si>
  <si>
    <t>14016486</t>
  </si>
  <si>
    <t>266600舒洁湿厕纸100片x6包-植物双萃</t>
    <phoneticPr fontId="2" type="noConversion"/>
  </si>
  <si>
    <t>100*6</t>
  </si>
  <si>
    <t>245X180X259</t>
  </si>
  <si>
    <t>J5D</t>
  </si>
  <si>
    <t>2670-30</t>
  </si>
  <si>
    <t>6923589426709</t>
  </si>
  <si>
    <t>14014253</t>
  </si>
  <si>
    <t>267030舒洁湿厕纸旅行装10包装</t>
    <phoneticPr fontId="2" type="noConversion"/>
  </si>
  <si>
    <t>10*10</t>
  </si>
  <si>
    <t>294*175*161</t>
  </si>
  <si>
    <t>H8C</t>
  </si>
  <si>
    <t>6923589426945</t>
  </si>
  <si>
    <t>14014247</t>
  </si>
  <si>
    <t>269430舒洁湿厕纸家庭装40抽</t>
  </si>
  <si>
    <t>40p</t>
  </si>
  <si>
    <t>334*314*252</t>
  </si>
  <si>
    <t>I7A</t>
  </si>
  <si>
    <t>6923589420011</t>
  </si>
  <si>
    <t>14014249</t>
  </si>
  <si>
    <t>269440舒洁湿厕纸家庭装40抽10包装</t>
    <phoneticPr fontId="2" type="noConversion"/>
  </si>
  <si>
    <t>40*10</t>
  </si>
  <si>
    <t>OEM美馨</t>
  </si>
  <si>
    <t>M6R</t>
  </si>
  <si>
    <t>2655-00</t>
  </si>
  <si>
    <t>6923589426556</t>
  </si>
  <si>
    <t>14014856</t>
  </si>
  <si>
    <t>265500舒洁湿厕纸7抽6包装</t>
    <phoneticPr fontId="2" type="noConversion"/>
  </si>
  <si>
    <t>7*6</t>
  </si>
  <si>
    <t>253*218*221</t>
  </si>
  <si>
    <t>140*190</t>
  </si>
  <si>
    <t>O0W</t>
  </si>
  <si>
    <t>2673-00</t>
  </si>
  <si>
    <t>6923589426730</t>
  </si>
  <si>
    <t>14016683</t>
  </si>
  <si>
    <t>267300舒洁山茶花系列湿厕纸60片</t>
  </si>
  <si>
    <t>60p</t>
  </si>
  <si>
    <t>344X326X232</t>
  </si>
  <si>
    <t>200*140</t>
  </si>
  <si>
    <t>O0X</t>
  </si>
  <si>
    <t>2674-00</t>
  </si>
  <si>
    <t>14016684</t>
  </si>
  <si>
    <t>267400舒洁山茶花系列湿厕纸60片x4包</t>
    <phoneticPr fontId="2" type="noConversion"/>
  </si>
  <si>
    <t>60*4</t>
  </si>
  <si>
    <t>225X175X124</t>
  </si>
  <si>
    <t>J9Y</t>
  </si>
  <si>
    <t>2682-20</t>
  </si>
  <si>
    <t>6923589426822</t>
  </si>
  <si>
    <t>14014250</t>
  </si>
  <si>
    <t>268220舒洁女性湿厕纸10包装</t>
    <phoneticPr fontId="2" type="noConversion"/>
  </si>
  <si>
    <t>24*10</t>
  </si>
  <si>
    <t>366*269*196</t>
  </si>
  <si>
    <t>乳霜纸</t>
  </si>
  <si>
    <t>OEM亚青</t>
  </si>
  <si>
    <t>M6X</t>
  </si>
  <si>
    <t>2152-04</t>
  </si>
  <si>
    <t>6923589421520</t>
  </si>
  <si>
    <t>14014940</t>
  </si>
  <si>
    <t>215204舒洁鎏金系列乳霜纸巾40抽8包</t>
    <phoneticPr fontId="2" type="noConversion"/>
  </si>
  <si>
    <t>40p*8</t>
  </si>
  <si>
    <t>338*208*166</t>
  </si>
  <si>
    <t>137*190</t>
  </si>
  <si>
    <t>高端抽纸</t>
  </si>
  <si>
    <t>N7A</t>
  </si>
  <si>
    <t>2155-03</t>
  </si>
  <si>
    <t>6923589421551</t>
  </si>
  <si>
    <t>14016306</t>
  </si>
  <si>
    <t>215503舒洁®北海道轻牛乳系列乳霜纸面巾40抽3包装</t>
    <phoneticPr fontId="2" type="noConversion"/>
  </si>
  <si>
    <t>40P*3</t>
  </si>
  <si>
    <t>318X208X306</t>
  </si>
  <si>
    <t>N7B</t>
  </si>
  <si>
    <t>2156-10</t>
  </si>
  <si>
    <t>6923589421568</t>
  </si>
  <si>
    <t>14016307</t>
  </si>
  <si>
    <t>215610舒洁®北海道轻牛乳系列乳霜纸面巾100抽3包装</t>
    <phoneticPr fontId="2" type="noConversion"/>
  </si>
  <si>
    <t>100p*3</t>
  </si>
  <si>
    <t>328X308X211</t>
  </si>
  <si>
    <t>M8F</t>
  </si>
  <si>
    <t>2162-08</t>
  </si>
  <si>
    <t>6923589421629</t>
  </si>
  <si>
    <t>14015110</t>
  </si>
  <si>
    <t>216208舒洁®北海道牛乳系列乳霜纸面巾20抽8包装</t>
    <phoneticPr fontId="2" type="noConversion"/>
  </si>
  <si>
    <t>20p*8</t>
  </si>
  <si>
    <t>313*208*166</t>
  </si>
  <si>
    <t>N5F</t>
  </si>
  <si>
    <t>2167-10</t>
  </si>
  <si>
    <t>6923589421605</t>
  </si>
  <si>
    <t>14016042</t>
  </si>
  <si>
    <t>216710舒洁®牛乳系列乳霜纸面巾口袋包7抽10包装</t>
    <phoneticPr fontId="2" type="noConversion"/>
  </si>
  <si>
    <t>7*10</t>
  </si>
  <si>
    <t>338X313X191</t>
  </si>
  <si>
    <t>M8G</t>
  </si>
  <si>
    <t>2168-05</t>
  </si>
  <si>
    <t>6923589421681</t>
  </si>
  <si>
    <t>14015111</t>
    <phoneticPr fontId="2" type="noConversion"/>
  </si>
  <si>
    <t>216805舒洁®北海道牛乳系列乳霜纸面巾80抽5包装</t>
    <phoneticPr fontId="2" type="noConversion"/>
  </si>
  <si>
    <t>80p*5</t>
  </si>
  <si>
    <t>328*303*191</t>
  </si>
  <si>
    <t>抽纸</t>
  </si>
  <si>
    <t>O2S</t>
  </si>
  <si>
    <t>2103-90</t>
  </si>
  <si>
    <t>6923589421032</t>
  </si>
  <si>
    <t>14016868</t>
  </si>
  <si>
    <t>210390舒洁小熊印花抽纸3层80抽4包FSC mix70%</t>
    <phoneticPr fontId="2" type="noConversion"/>
  </si>
  <si>
    <t>80*4</t>
  </si>
  <si>
    <t>599X409X342</t>
  </si>
  <si>
    <t>190*155</t>
  </si>
  <si>
    <t>O2T</t>
  </si>
  <si>
    <t>2148-90</t>
  </si>
  <si>
    <t>6923589421483</t>
  </si>
  <si>
    <t>14016869</t>
  </si>
  <si>
    <t>214890舒洁小熊印花抽纸3层80抽16包FSC mix70%</t>
  </si>
  <si>
    <t>80*16</t>
  </si>
  <si>
    <t>OEM东冠</t>
  </si>
  <si>
    <t>B5L</t>
  </si>
  <si>
    <t>2107-61</t>
  </si>
  <si>
    <t>6923589421070</t>
  </si>
  <si>
    <t>14014470</t>
  </si>
  <si>
    <t>210761舒洁卡通系列抽纸200抽3包 FSC mix70%</t>
  </si>
  <si>
    <t>200*3</t>
  </si>
  <si>
    <t>520X493X414</t>
  </si>
  <si>
    <t>200*194</t>
  </si>
  <si>
    <t>E9D</t>
  </si>
  <si>
    <t>2312-16</t>
  </si>
  <si>
    <t>6923589423128</t>
  </si>
  <si>
    <t>14014482</t>
  </si>
  <si>
    <t>231216 舒洁马蹄莲盒面纸200抽3盒 FSC mix70%</t>
    <phoneticPr fontId="2" type="noConversion"/>
  </si>
  <si>
    <t>625*320*450</t>
  </si>
  <si>
    <t>盒纸</t>
  </si>
  <si>
    <t>N8M</t>
  </si>
  <si>
    <t>2306-20</t>
  </si>
  <si>
    <t>6923589423074</t>
  </si>
  <si>
    <t>14016487</t>
  </si>
  <si>
    <t>230620舒洁环保系列盒抽面纸180抽6盒</t>
  </si>
  <si>
    <t>180*6</t>
  </si>
  <si>
    <t>258X213X254</t>
  </si>
  <si>
    <t>190*175</t>
  </si>
  <si>
    <t>卷纸</t>
  </si>
  <si>
    <t>B5Z</t>
  </si>
  <si>
    <t>2216-35</t>
  </si>
  <si>
    <t>6923589422169</t>
  </si>
  <si>
    <t>14015861</t>
  </si>
  <si>
    <t>221635舒洁卷纸3层纯白10粒（蓝色）</t>
  </si>
  <si>
    <t>210节/卷*10卷/包</t>
  </si>
  <si>
    <t>530X425X540</t>
  </si>
  <si>
    <t>114*102</t>
  </si>
  <si>
    <t>A3E</t>
  </si>
  <si>
    <t>2291-60</t>
  </si>
  <si>
    <t>6923589422916</t>
  </si>
  <si>
    <t>14014479</t>
  </si>
  <si>
    <t>229160舒洁绿茶洋甘菊印花清香卷纸10粒</t>
  </si>
  <si>
    <t>250节/卷*10卷/包</t>
  </si>
  <si>
    <t>538X534X229</t>
  </si>
  <si>
    <t>手帕纸</t>
  </si>
  <si>
    <t>O2V</t>
  </si>
  <si>
    <t>2701-90</t>
  </si>
  <si>
    <t>6923589427010</t>
  </si>
  <si>
    <t>14016871</t>
  </si>
  <si>
    <t>270190舒洁小熊印花手帕纸3层10包FSC mix70%</t>
    <phoneticPr fontId="2" type="noConversion"/>
  </si>
  <si>
    <t>9*10</t>
  </si>
  <si>
    <t>460X270X325</t>
  </si>
  <si>
    <t>205*210</t>
  </si>
  <si>
    <t>洗脸巾</t>
  </si>
  <si>
    <t>M7N</t>
  </si>
  <si>
    <t>2530-00</t>
  </si>
  <si>
    <t>6923589425306</t>
  </si>
  <si>
    <t>14015043</t>
  </si>
  <si>
    <t>253000舒洁蚕丝洗脸巾80抽3包装</t>
    <phoneticPr fontId="2" type="noConversion"/>
  </si>
  <si>
    <t>433*328*231</t>
  </si>
  <si>
    <t>200*200</t>
  </si>
  <si>
    <t>舒洁棉柔巾</t>
  </si>
  <si>
    <t>I2K</t>
  </si>
  <si>
    <t>2613-00</t>
  </si>
  <si>
    <t>6923589426136</t>
  </si>
  <si>
    <t>14004626</t>
  </si>
  <si>
    <t>261300舒洁无香湿巾单包装</t>
    <phoneticPr fontId="2" type="noConversion"/>
  </si>
  <si>
    <t>10p</t>
  </si>
  <si>
    <t>261*163*240</t>
  </si>
  <si>
    <t>150*200</t>
  </si>
  <si>
    <t>舒洁湿巾</t>
  </si>
  <si>
    <t>PR00
(箱价)-未税</t>
    <phoneticPr fontId="2" type="noConversion"/>
  </si>
  <si>
    <t>包/箱</t>
  </si>
  <si>
    <t>包/箱</t>
    <phoneticPr fontId="2" type="noConversion"/>
  </si>
  <si>
    <t>销售填写</t>
    <phoneticPr fontId="2" type="noConversion"/>
  </si>
  <si>
    <t>数量
（箱）</t>
    <phoneticPr fontId="2" type="noConversion"/>
  </si>
  <si>
    <t>实际活动
结束时间</t>
    <phoneticPr fontId="2" type="noConversion"/>
  </si>
  <si>
    <t>实际活动
开始时间</t>
    <phoneticPr fontId="2" type="noConversion"/>
  </si>
  <si>
    <t>计划类型</t>
    <phoneticPr fontId="2" type="noConversion"/>
  </si>
  <si>
    <t>随货价格折扣</t>
    <phoneticPr fontId="2" type="noConversion"/>
  </si>
  <si>
    <t>短期促销返利</t>
    <phoneticPr fontId="2" type="noConversion"/>
  </si>
  <si>
    <t>PE-后补</t>
    <phoneticPr fontId="2" type="noConversion"/>
  </si>
  <si>
    <t>随货</t>
    <phoneticPr fontId="2" type="noConversion"/>
  </si>
  <si>
    <t>Lucy填写</t>
    <phoneticPr fontId="2" type="noConversion"/>
  </si>
  <si>
    <t>GSV-实际</t>
    <phoneticPr fontId="2" type="noConversion"/>
  </si>
  <si>
    <t>PE%-
后补点数</t>
    <phoneticPr fontId="2" type="noConversion"/>
  </si>
  <si>
    <t>折扣力度</t>
    <phoneticPr fontId="2" type="noConversion"/>
  </si>
  <si>
    <t>用单包报价</t>
    <phoneticPr fontId="2" type="noConversion"/>
  </si>
  <si>
    <t>用折扣力度报价</t>
    <phoneticPr fontId="2" type="noConversion"/>
  </si>
  <si>
    <t>EDLP</t>
    <phoneticPr fontId="2" type="noConversion"/>
  </si>
  <si>
    <t>箱价
/不含税</t>
    <phoneticPr fontId="2" type="noConversion"/>
  </si>
  <si>
    <t>维护折扣</t>
    <phoneticPr fontId="2" type="noConversion"/>
  </si>
  <si>
    <t>随货价格折扣</t>
  </si>
  <si>
    <t>计划类型</t>
  </si>
  <si>
    <t>总计</t>
  </si>
  <si>
    <t>210390舒洁小熊印花抽纸3层80抽4包FSC mix70%</t>
  </si>
  <si>
    <t>215204舒洁鎏金系列乳霜纸巾40抽8包</t>
  </si>
  <si>
    <t>215503舒洁®北海道轻牛乳系列乳霜纸面巾40抽3包装</t>
  </si>
  <si>
    <t>215610舒洁®北海道轻牛乳系列乳霜纸面巾100抽3包装</t>
  </si>
  <si>
    <t>216208舒洁®北海道牛乳系列乳霜纸面巾20抽8包装</t>
  </si>
  <si>
    <t>216710舒洁®牛乳系列乳霜纸面巾口袋包7抽10包装</t>
  </si>
  <si>
    <t>231216 舒洁马蹄莲盒面纸200抽3盒 FSC mix70%</t>
  </si>
  <si>
    <t>253000舒洁蚕丝洗脸巾80抽3包装</t>
  </si>
  <si>
    <t>261300舒洁无香湿巾单包装</t>
  </si>
  <si>
    <t>265500舒洁湿厕纸7抽6包装</t>
  </si>
  <si>
    <t>266600舒洁湿厕纸100片x6包-植物双萃</t>
  </si>
  <si>
    <t>267400舒洁山茶花系列湿厕纸60片x4包</t>
  </si>
  <si>
    <t>268220舒洁女性湿厕纸10包装</t>
  </si>
  <si>
    <t>270190舒洁小熊印花手帕纸3层10包FSC mix70%</t>
  </si>
  <si>
    <t>产品名称</t>
  </si>
  <si>
    <t>品类</t>
  </si>
  <si>
    <t>品类</t>
    <phoneticPr fontId="2" type="noConversion"/>
  </si>
  <si>
    <t>上海文鑫网络科技有限公司</t>
  </si>
  <si>
    <t>2662-00</t>
    <phoneticPr fontId="2" type="noConversion"/>
  </si>
  <si>
    <t>天宁区雕庄达途百货经营部</t>
  </si>
  <si>
    <t>贵阳鑫旺隆贸易有限公司</t>
  </si>
  <si>
    <t>2694-30</t>
    <phoneticPr fontId="2" type="noConversion"/>
  </si>
  <si>
    <t>2107-61</t>
    <phoneticPr fontId="2" type="noConversion"/>
  </si>
  <si>
    <t>上海薪满翊商贸有限公司</t>
  </si>
  <si>
    <t>2107-61</t>
    <phoneticPr fontId="2" type="noConversion"/>
  </si>
  <si>
    <t>上海文鑫网络科技有限公司</t>
    <phoneticPr fontId="2" type="noConversion"/>
  </si>
  <si>
    <t>2670-30</t>
    <phoneticPr fontId="2" type="noConversion"/>
  </si>
  <si>
    <t>短期促销返利</t>
  </si>
  <si>
    <t>2701-90</t>
    <phoneticPr fontId="2" type="noConversion"/>
  </si>
  <si>
    <t>2103-90</t>
    <phoneticPr fontId="2" type="noConversion"/>
  </si>
  <si>
    <t>2613-00</t>
    <phoneticPr fontId="2" type="noConversion"/>
  </si>
  <si>
    <t>2660-00</t>
    <phoneticPr fontId="2" type="noConversion"/>
  </si>
  <si>
    <t>2216-35</t>
    <phoneticPr fontId="2" type="noConversion"/>
  </si>
  <si>
    <t>2312-16</t>
    <phoneticPr fontId="2" type="noConversion"/>
  </si>
  <si>
    <t>西宁华松商贸有限公司</t>
  </si>
  <si>
    <t>青岛聚鑫美商贸有限公司</t>
  </si>
  <si>
    <t>大连达博商贸有限公司</t>
  </si>
  <si>
    <t>北京朝批中得商贸有限公司</t>
  </si>
  <si>
    <t>北京宝诚恒信科技有限公司</t>
  </si>
  <si>
    <t>V</t>
    <phoneticPr fontId="2" type="noConversion"/>
  </si>
  <si>
    <t>实际点数</t>
    <phoneticPr fontId="2" type="noConversion"/>
  </si>
  <si>
    <t>曲盛涛</t>
    <phoneticPr fontId="2" type="noConversion"/>
  </si>
  <si>
    <t>王金邦</t>
  </si>
  <si>
    <t>王金邦</t>
    <phoneticPr fontId="2" type="noConversion"/>
  </si>
  <si>
    <t>2162-08</t>
    <phoneticPr fontId="2" type="noConversion"/>
  </si>
  <si>
    <t>2152-04</t>
    <phoneticPr fontId="2" type="noConversion"/>
  </si>
  <si>
    <t>归属</t>
    <phoneticPr fontId="2" type="noConversion"/>
  </si>
  <si>
    <t>求和项:PE-后补</t>
  </si>
  <si>
    <t>shengtao.qu@kcc.com</t>
  </si>
  <si>
    <t>jinbang.wang@kcc.com</t>
  </si>
  <si>
    <t>shengtao.qu@kcc.com</t>
    <phoneticPr fontId="2" type="noConversion"/>
  </si>
  <si>
    <t>jinbang.wang@kcc.com</t>
    <phoneticPr fontId="2" type="noConversion"/>
  </si>
  <si>
    <t>最终低价</t>
    <phoneticPr fontId="2" type="noConversion"/>
  </si>
  <si>
    <t>创建月份</t>
    <phoneticPr fontId="2" type="noConversion"/>
  </si>
  <si>
    <t>北京泰和嘉华商贸有限公司</t>
    <phoneticPr fontId="2" type="noConversion"/>
  </si>
  <si>
    <t>大连达博商贸有限公司</t>
    <phoneticPr fontId="2" type="noConversion"/>
  </si>
  <si>
    <t>贵阳鑫旺隆贸易有限公司</t>
    <phoneticPr fontId="2" type="noConversion"/>
  </si>
  <si>
    <t>青岛聚鑫美商贸有限公司</t>
    <phoneticPr fontId="2" type="noConversion"/>
  </si>
  <si>
    <t>上海薪满翊商贸有限公司</t>
    <phoneticPr fontId="2" type="noConversion"/>
  </si>
  <si>
    <t>西宁华松商贸有限公司</t>
    <phoneticPr fontId="2" type="noConversion"/>
  </si>
  <si>
    <t>大连隆欣商贸有限公司</t>
    <phoneticPr fontId="2" type="noConversion"/>
  </si>
  <si>
    <t>备注</t>
    <phoneticPr fontId="2" type="noConversion"/>
  </si>
  <si>
    <t>王金邦5.10邮件</t>
    <phoneticPr fontId="2" type="noConversion"/>
  </si>
  <si>
    <t>2156-10</t>
    <phoneticPr fontId="2" type="noConversion"/>
  </si>
  <si>
    <t>2155-03</t>
    <phoneticPr fontId="2" type="noConversion"/>
  </si>
  <si>
    <t>北京卓腾商贸有限公司</t>
  </si>
  <si>
    <t>黑龙江和盛祥供应链管理有限公司</t>
  </si>
  <si>
    <t>王金邦5.10邮件，华联出库金额返利</t>
    <phoneticPr fontId="2" type="noConversion"/>
  </si>
  <si>
    <t>4月已补建</t>
    <phoneticPr fontId="2" type="noConversion"/>
  </si>
  <si>
    <t>大连隆欣商贸有限公司</t>
  </si>
  <si>
    <t>邮箱</t>
  </si>
  <si>
    <t>邮箱</t>
    <phoneticPr fontId="2" type="noConversion"/>
  </si>
  <si>
    <t>实际点数</t>
  </si>
  <si>
    <t>最终低价</t>
  </si>
  <si>
    <t>创建月份</t>
  </si>
  <si>
    <t>北京朝批中得商贸有限公司</t>
    <phoneticPr fontId="2" type="noConversion"/>
  </si>
  <si>
    <t>协议</t>
    <phoneticPr fontId="2" type="noConversion"/>
  </si>
  <si>
    <t>Y</t>
    <phoneticPr fontId="2" type="noConversion"/>
  </si>
  <si>
    <t>黑龙江和盛祥供应链管理有限公司</t>
    <phoneticPr fontId="2" type="noConversion"/>
  </si>
  <si>
    <t>北京卓腾商贸有限公司</t>
    <phoneticPr fontId="2" type="noConversion"/>
  </si>
  <si>
    <t>天宁区雕庄达途百货经营部</t>
    <phoneticPr fontId="2" type="noConversion"/>
  </si>
  <si>
    <t>曲盛涛</t>
  </si>
  <si>
    <t>北京泰和嘉华商贸有限公司</t>
  </si>
  <si>
    <t>2103-90</t>
    <phoneticPr fontId="2" type="noConversion"/>
  </si>
  <si>
    <t>2216-35</t>
    <phoneticPr fontId="2" type="noConversion"/>
  </si>
  <si>
    <t>2701-90</t>
    <phoneticPr fontId="2" type="noConversion"/>
  </si>
  <si>
    <t>华堂出库金额价格补差</t>
    <phoneticPr fontId="2" type="noConversion"/>
  </si>
  <si>
    <t>2694-40</t>
    <phoneticPr fontId="2" type="noConversion"/>
  </si>
  <si>
    <t>随货点数</t>
    <phoneticPr fontId="2" type="noConversion"/>
  </si>
  <si>
    <t>曲盛涛5.22邮件</t>
    <phoneticPr fontId="2" type="noConversion"/>
  </si>
  <si>
    <t>曲盛涛5.27</t>
    <phoneticPr fontId="2" type="noConversion"/>
  </si>
  <si>
    <t>王金邦5.26邮件</t>
    <phoneticPr fontId="2" type="noConversion"/>
  </si>
  <si>
    <t>归属</t>
  </si>
  <si>
    <t>客户</t>
  </si>
  <si>
    <t>曲盛涛 汇总</t>
  </si>
  <si>
    <t>王金邦 汇总</t>
  </si>
  <si>
    <t>5月已补建</t>
    <phoneticPr fontId="2" type="noConversion"/>
  </si>
  <si>
    <t>含票扣3.4%箱价
/含税</t>
    <phoneticPr fontId="2" type="noConversion"/>
  </si>
  <si>
    <t>曲盛涛6.6邮件</t>
    <phoneticPr fontId="2" type="noConversion"/>
  </si>
  <si>
    <t>2291-60</t>
    <phoneticPr fontId="2" type="noConversion"/>
  </si>
  <si>
    <t>成都东森润园商贸有限公司</t>
    <phoneticPr fontId="2" type="noConversion"/>
  </si>
  <si>
    <t>箱规</t>
  </si>
  <si>
    <t>PR00
(箱价)-未税</t>
  </si>
  <si>
    <t>PR00/EA</t>
  </si>
  <si>
    <t>折扣费用</t>
  </si>
  <si>
    <t>最终价格-含税</t>
  </si>
  <si>
    <t>实际活动
开始时间</t>
  </si>
  <si>
    <t>实际活动
结束时间</t>
  </si>
  <si>
    <t>GSV-实际</t>
  </si>
  <si>
    <t>PE-后补</t>
  </si>
  <si>
    <t>PE%-
后补点数</t>
  </si>
  <si>
    <t>随货点数</t>
  </si>
  <si>
    <t>成都东森润园商贸有限公司</t>
  </si>
  <si>
    <t>31671635</t>
  </si>
  <si>
    <t>真市美供应链（沈阳）有限公司</t>
  </si>
  <si>
    <t>80抽</t>
  </si>
  <si>
    <t>40抽</t>
  </si>
  <si>
    <t>31671672</t>
  </si>
  <si>
    <t>济宁市恒鑫商贸有限责任公司</t>
  </si>
  <si>
    <t>31654885</t>
  </si>
  <si>
    <t>滕州市淦铖商贸有限公司</t>
  </si>
  <si>
    <t>31673627</t>
  </si>
  <si>
    <t>杭州兴枫电子商务有限公司</t>
  </si>
  <si>
    <t>31653280</t>
  </si>
  <si>
    <t>31660739</t>
  </si>
  <si>
    <t>31668442</t>
  </si>
  <si>
    <t>31660179</t>
  </si>
  <si>
    <t>31653652</t>
  </si>
  <si>
    <t>31652190</t>
  </si>
  <si>
    <t>31672939</t>
  </si>
  <si>
    <t>沈阳和盛祥供应链管理有限公司</t>
  </si>
  <si>
    <t>31665245</t>
  </si>
  <si>
    <t>31651483</t>
  </si>
  <si>
    <t>北京创辉源商贸有限公司</t>
  </si>
  <si>
    <t>31668714</t>
  </si>
  <si>
    <t>石家庄亨贞岚益商贸有限公司</t>
  </si>
  <si>
    <t>31672512</t>
  </si>
  <si>
    <t>青岛利客来超市连锁配送有限公司</t>
  </si>
  <si>
    <t>31651585</t>
  </si>
  <si>
    <t>青岛荣利鑫商贸有限公司</t>
  </si>
  <si>
    <t>31662112</t>
  </si>
  <si>
    <t>伊犁紫金花商贸有限责任公司</t>
  </si>
  <si>
    <t>31668424</t>
  </si>
  <si>
    <t>新疆洁盛文雅商贸有限责任公司</t>
  </si>
  <si>
    <t>31668579</t>
  </si>
  <si>
    <t>31668909</t>
  </si>
  <si>
    <t>2670-30</t>
    <phoneticPr fontId="2" type="noConversion"/>
  </si>
  <si>
    <t>新疆八点半供应链管理有限公司</t>
  </si>
  <si>
    <t>八点半2月价差</t>
    <phoneticPr fontId="2" type="noConversion"/>
  </si>
  <si>
    <t>随货票扣</t>
    <phoneticPr fontId="2" type="noConversion"/>
  </si>
  <si>
    <t>含票扣箱价
/含税</t>
    <phoneticPr fontId="2" type="noConversion"/>
  </si>
  <si>
    <t>不用维护</t>
    <phoneticPr fontId="2" type="noConversion"/>
  </si>
  <si>
    <t>LKA客户</t>
    <phoneticPr fontId="2" type="noConversion"/>
  </si>
  <si>
    <t>无EDLP6.5%</t>
    <phoneticPr fontId="2" type="noConversion"/>
  </si>
  <si>
    <t>EDLP</t>
    <phoneticPr fontId="2" type="noConversion"/>
  </si>
  <si>
    <t>公司未税价</t>
  </si>
  <si>
    <r>
      <t>公司未税价*</t>
    </r>
    <r>
      <rPr>
        <b/>
        <sz val="8"/>
        <color theme="1"/>
        <rFont val="Aptos Narrow"/>
        <family val="3"/>
        <charset val="134"/>
        <scheme val="minor"/>
      </rPr>
      <t>0.935</t>
    </r>
    <phoneticPr fontId="22" type="noConversion"/>
  </si>
  <si>
    <r>
      <t>经销商未税价</t>
    </r>
    <r>
      <rPr>
        <b/>
        <sz val="8"/>
        <color theme="1"/>
        <rFont val="Aptos Narrow"/>
        <family val="3"/>
        <charset val="134"/>
        <scheme val="minor"/>
      </rPr>
      <t>*1.13*0.966</t>
    </r>
  </si>
  <si>
    <r>
      <t>经销商未税价</t>
    </r>
    <r>
      <rPr>
        <b/>
        <sz val="8"/>
        <color theme="1"/>
        <rFont val="Aptos Narrow"/>
        <family val="3"/>
        <charset val="134"/>
        <scheme val="minor"/>
      </rPr>
      <t>*1.13*月度折扣比例</t>
    </r>
  </si>
  <si>
    <t>打款价格含税-折扣费用</t>
  </si>
  <si>
    <t>常规折扣</t>
    <phoneticPr fontId="22" type="noConversion"/>
  </si>
  <si>
    <t>GP/NSV</t>
    <phoneticPr fontId="22" type="noConversion"/>
  </si>
  <si>
    <t>特殊审批价格</t>
    <phoneticPr fontId="22" type="noConversion"/>
  </si>
  <si>
    <t>大量-例如右边团购</t>
    <phoneticPr fontId="22" type="noConversion"/>
  </si>
  <si>
    <t>标红-新增</t>
    <phoneticPr fontId="22" type="noConversion"/>
  </si>
  <si>
    <t>24年实际</t>
    <phoneticPr fontId="22" type="noConversion"/>
  </si>
  <si>
    <t>序号</t>
    <phoneticPr fontId="22" type="noConversion"/>
  </si>
  <si>
    <t>状态</t>
    <phoneticPr fontId="22" type="noConversion"/>
  </si>
  <si>
    <t>产品编码</t>
  </si>
  <si>
    <t>产品名称</t>
    <phoneticPr fontId="22" type="noConversion"/>
  </si>
  <si>
    <t>规格</t>
  </si>
  <si>
    <t>包容</t>
  </si>
  <si>
    <t>片数</t>
  </si>
  <si>
    <t>进价</t>
  </si>
  <si>
    <t>单包价格/含税</t>
    <phoneticPr fontId="22" type="noConversion"/>
  </si>
  <si>
    <t>整箱价格</t>
    <phoneticPr fontId="22" type="noConversion"/>
  </si>
  <si>
    <t>折扣力度</t>
    <phoneticPr fontId="22" type="noConversion"/>
  </si>
  <si>
    <t>COGS</t>
    <phoneticPr fontId="22" type="noConversion"/>
  </si>
  <si>
    <t>DE</t>
    <phoneticPr fontId="22" type="noConversion"/>
  </si>
  <si>
    <t>NSV</t>
    <phoneticPr fontId="22" type="noConversion"/>
  </si>
  <si>
    <t>GP</t>
    <phoneticPr fontId="22" type="noConversion"/>
  </si>
  <si>
    <t>GP%</t>
    <phoneticPr fontId="22" type="noConversion"/>
  </si>
  <si>
    <t>电商-大促价格</t>
    <phoneticPr fontId="22" type="noConversion"/>
  </si>
  <si>
    <t>电商-WS 底价</t>
    <phoneticPr fontId="22" type="noConversion"/>
  </si>
  <si>
    <t>价差</t>
    <phoneticPr fontId="22" type="noConversion"/>
  </si>
  <si>
    <t>价差%</t>
    <phoneticPr fontId="22" type="noConversion"/>
  </si>
  <si>
    <t>折扣力度-文鑫</t>
    <phoneticPr fontId="22" type="noConversion"/>
  </si>
  <si>
    <t>折扣力度-华西</t>
    <phoneticPr fontId="22" type="noConversion"/>
  </si>
  <si>
    <t>折扣力度-华北</t>
    <phoneticPr fontId="22" type="noConversion"/>
  </si>
  <si>
    <t>25年确定-文鑫</t>
    <phoneticPr fontId="22" type="noConversion"/>
  </si>
  <si>
    <t>25年确定-常州</t>
    <phoneticPr fontId="22" type="noConversion"/>
  </si>
  <si>
    <t>25年确定-苏州</t>
    <phoneticPr fontId="22" type="noConversion"/>
  </si>
  <si>
    <t>25年确定-山西唐久</t>
    <phoneticPr fontId="22" type="noConversion"/>
  </si>
  <si>
    <t>25年确定-成都金力鱼</t>
    <phoneticPr fontId="22" type="noConversion"/>
  </si>
  <si>
    <t>25年 -福兴祥</t>
    <phoneticPr fontId="22" type="noConversion"/>
  </si>
  <si>
    <t>24年-福兴祥 Vol</t>
    <phoneticPr fontId="22" type="noConversion"/>
  </si>
  <si>
    <t>25年确定-大连</t>
    <phoneticPr fontId="22" type="noConversion"/>
  </si>
  <si>
    <t>25年确定-西北</t>
    <phoneticPr fontId="22" type="noConversion"/>
  </si>
  <si>
    <t>大华北区</t>
    <phoneticPr fontId="22" type="noConversion"/>
  </si>
  <si>
    <t>大华东区</t>
    <phoneticPr fontId="22" type="noConversion"/>
  </si>
  <si>
    <t>大华南区</t>
    <phoneticPr fontId="22" type="noConversion"/>
  </si>
  <si>
    <t>大华西区</t>
    <phoneticPr fontId="22" type="noConversion"/>
  </si>
  <si>
    <t>TTL</t>
    <phoneticPr fontId="22" type="noConversion"/>
  </si>
  <si>
    <t>产品系列</t>
    <phoneticPr fontId="28" type="noConversion"/>
  </si>
  <si>
    <t>产品编码</t>
    <phoneticPr fontId="22" type="noConversion"/>
  </si>
  <si>
    <t>非团购</t>
    <phoneticPr fontId="2" type="noConversion"/>
  </si>
  <si>
    <t>团购500-1000cs</t>
    <phoneticPr fontId="2" type="noConversion"/>
  </si>
  <si>
    <t>团购1000cs以上</t>
    <phoneticPr fontId="2" type="noConversion"/>
  </si>
  <si>
    <t>产品编码</t>
    <phoneticPr fontId="2" type="noConversion"/>
  </si>
  <si>
    <t>EDLP</t>
    <phoneticPr fontId="22" type="noConversion"/>
  </si>
  <si>
    <t>最终价格</t>
    <phoneticPr fontId="22" type="noConversion"/>
  </si>
  <si>
    <t>EA</t>
  </si>
  <si>
    <t>PR00</t>
  </si>
  <si>
    <t>未税</t>
  </si>
  <si>
    <t>大华北区</t>
  </si>
  <si>
    <t>PE%</t>
  </si>
  <si>
    <t>售卖</t>
    <phoneticPr fontId="22" type="noConversion"/>
  </si>
  <si>
    <t>2701-90</t>
    <phoneticPr fontId="22" type="noConversion"/>
  </si>
  <si>
    <t>270190舒洁小熊印花手帕纸3层10包FSC mix70%</t>
    <phoneticPr fontId="22" type="noConversion"/>
  </si>
  <si>
    <t>/</t>
    <phoneticPr fontId="22" type="noConversion"/>
  </si>
  <si>
    <t xml:space="preserve">269430舒洁湿厕纸家庭装40抽 </t>
  </si>
  <si>
    <t>2694-30</t>
    <phoneticPr fontId="22" type="noConversion"/>
  </si>
  <si>
    <t xml:space="preserve">269430舒洁湿厕纸家庭装40抽 </t>
    <phoneticPr fontId="22" type="noConversion"/>
  </si>
  <si>
    <t>2682-20</t>
    <phoneticPr fontId="22" type="noConversion"/>
  </si>
  <si>
    <t xml:space="preserve">266100舒洁湿厕纸80片x3包 </t>
  </si>
  <si>
    <t>2674-00</t>
    <phoneticPr fontId="22" type="noConversion"/>
  </si>
  <si>
    <t>267400舒洁山茶花系列湿厕纸60片x4包</t>
    <phoneticPr fontId="22" type="noConversion"/>
  </si>
  <si>
    <t>266000舒洁洁厕湿纸80片</t>
  </si>
  <si>
    <t>2673-00</t>
    <phoneticPr fontId="22" type="noConversion"/>
  </si>
  <si>
    <t>45%/35%</t>
  </si>
  <si>
    <t>2666-00</t>
    <phoneticPr fontId="22" type="noConversion"/>
  </si>
  <si>
    <t>266600舒洁湿厕纸100片x6包-植物双萃</t>
    <phoneticPr fontId="22" type="noConversion"/>
  </si>
  <si>
    <t>100*6</t>
    <phoneticPr fontId="22" type="noConversion"/>
  </si>
  <si>
    <t>18%/28%</t>
    <phoneticPr fontId="22" type="noConversion"/>
  </si>
  <si>
    <t>不做</t>
    <phoneticPr fontId="22" type="noConversion"/>
  </si>
  <si>
    <t>2661-00</t>
    <phoneticPr fontId="22" type="noConversion"/>
  </si>
  <si>
    <t>18%/37.9%</t>
    <phoneticPr fontId="22" type="noConversion"/>
  </si>
  <si>
    <t xml:space="preserve">215204舒洁鎏金系列乳霜纸巾40抽8包 </t>
  </si>
  <si>
    <t>·</t>
    <phoneticPr fontId="22" type="noConversion"/>
  </si>
  <si>
    <t>湿巾</t>
  </si>
  <si>
    <t>2613-00</t>
    <phoneticPr fontId="22" type="noConversion"/>
  </si>
  <si>
    <t xml:space="preserve">261300舒洁无香湿巾单包装 </t>
    <phoneticPr fontId="22" type="noConversion"/>
  </si>
  <si>
    <t xml:space="preserve">261300舒洁无香湿巾单包装 </t>
  </si>
  <si>
    <t>216805舒洁®北海道牛乳系列乳霜纸面巾80抽5包装</t>
  </si>
  <si>
    <t>2530-00</t>
    <phoneticPr fontId="22" type="noConversion"/>
  </si>
  <si>
    <t>253000舒洁蚕丝洗脸巾80抽3包装</t>
    <phoneticPr fontId="22" type="noConversion"/>
  </si>
  <si>
    <t>2312-16</t>
    <phoneticPr fontId="22" type="noConversion"/>
  </si>
  <si>
    <t>231216 舒洁马蹄莲盒面纸200抽3盒 FSC mix70%</t>
    <phoneticPr fontId="22" type="noConversion"/>
  </si>
  <si>
    <t>5%/18%</t>
    <phoneticPr fontId="22" type="noConversion"/>
  </si>
  <si>
    <t>2291-60</t>
    <phoneticPr fontId="22" type="noConversion"/>
  </si>
  <si>
    <t xml:space="preserve">229160舒洁绿茶洋甘菊印花清香卷纸10粒 </t>
  </si>
  <si>
    <t>2216-35</t>
    <phoneticPr fontId="22" type="noConversion"/>
  </si>
  <si>
    <t>221635舒洁卷纸3层纯白10粒（蓝色）</t>
    <phoneticPr fontId="22" type="noConversion"/>
  </si>
  <si>
    <t xml:space="preserve">221635舒洁卷纸3层纯白10粒（蓝色） </t>
  </si>
  <si>
    <t>2168-05</t>
    <phoneticPr fontId="22" type="noConversion"/>
  </si>
  <si>
    <t>210760舒洁卡通系列抽纸200抽3包 FSC mix70%</t>
  </si>
  <si>
    <t>乳霜纸</t>
    <phoneticPr fontId="22" type="noConversion"/>
  </si>
  <si>
    <t>2167-10</t>
    <phoneticPr fontId="22" type="noConversion"/>
  </si>
  <si>
    <t>216710舒洁®牛乳系列乳霜纸面巾口袋包7抽10包装</t>
    <phoneticPr fontId="22" type="noConversion"/>
  </si>
  <si>
    <t>2162-08</t>
    <phoneticPr fontId="22" type="noConversion"/>
  </si>
  <si>
    <t>216208舒洁®北海道牛乳系列乳霜纸面巾20抽8包装</t>
    <phoneticPr fontId="22" type="noConversion"/>
  </si>
  <si>
    <t>2156-10</t>
    <phoneticPr fontId="22" type="noConversion"/>
  </si>
  <si>
    <t>215610舒洁®北海道轻牛乳系列乳霜纸面巾100抽3包装</t>
    <phoneticPr fontId="22" type="noConversion"/>
  </si>
  <si>
    <t>2155-03</t>
    <phoneticPr fontId="22" type="noConversion"/>
  </si>
  <si>
    <t>215503舒洁®北海道轻牛乳系列乳霜纸面巾40抽3包装</t>
    <phoneticPr fontId="22" type="noConversion"/>
  </si>
  <si>
    <t>2152-04</t>
    <phoneticPr fontId="22" type="noConversion"/>
  </si>
  <si>
    <t>不做？</t>
    <phoneticPr fontId="22" type="noConversion"/>
  </si>
  <si>
    <t>2148-90</t>
    <phoneticPr fontId="22" type="noConversion"/>
  </si>
  <si>
    <t>214890舒洁小熊印花抽纸3层80抽16包FSC mix70%</t>
    <phoneticPr fontId="22" type="noConversion"/>
  </si>
  <si>
    <t>2107-61</t>
    <phoneticPr fontId="22" type="noConversion"/>
  </si>
  <si>
    <t>210761舒洁卡通系列抽纸200抽3包 FSC mix70%</t>
    <phoneticPr fontId="22" type="noConversion"/>
  </si>
  <si>
    <t>2103-90</t>
    <phoneticPr fontId="22" type="noConversion"/>
  </si>
  <si>
    <t>210390舒洁小熊印花抽纸3层80抽4包FSC mix70%</t>
    <phoneticPr fontId="22" type="noConversion"/>
  </si>
  <si>
    <t>新包装</t>
    <phoneticPr fontId="2" type="noConversion"/>
  </si>
  <si>
    <t>R5T</t>
  </si>
  <si>
    <t>2670-40</t>
  </si>
  <si>
    <t>14017871</t>
  </si>
  <si>
    <t>267040舒洁湿厕纸旅行装10包装</t>
  </si>
  <si>
    <t>R5O</t>
  </si>
  <si>
    <t>2660-10</t>
  </si>
  <si>
    <t>14017865</t>
  </si>
  <si>
    <t xml:space="preserve">266010舒洁湿厕纸80片 </t>
    <phoneticPr fontId="2" type="noConversion"/>
  </si>
  <si>
    <t>R5M</t>
  </si>
  <si>
    <t>2694-50</t>
  </si>
  <si>
    <t>14017864</t>
  </si>
  <si>
    <t xml:space="preserve">269450舒洁湿厕纸家庭装40抽 </t>
    <phoneticPr fontId="2" type="noConversion"/>
  </si>
  <si>
    <t>R5Q</t>
  </si>
  <si>
    <t>2662-10</t>
  </si>
  <si>
    <t>14017868</t>
  </si>
  <si>
    <t xml:space="preserve">266210舒洁湿厕纸80片x6包 </t>
  </si>
  <si>
    <t>R5N</t>
  </si>
  <si>
    <t>2694-60</t>
  </si>
  <si>
    <t>14017872</t>
  </si>
  <si>
    <t>269460舒洁湿厕纸家庭装40抽10包装</t>
  </si>
  <si>
    <t>R5P</t>
  </si>
  <si>
    <t>2661-10</t>
  </si>
  <si>
    <t>14017866</t>
  </si>
  <si>
    <t xml:space="preserve">266110舒洁湿厕纸80片x3包 </t>
  </si>
  <si>
    <t>新包装</t>
    <phoneticPr fontId="2" type="noConversion"/>
  </si>
  <si>
    <t>31673168</t>
  </si>
  <si>
    <t>北京宝诚恒信商贸有限公司</t>
  </si>
  <si>
    <t>王金邦7.21邮件</t>
    <phoneticPr fontId="2" type="noConversion"/>
  </si>
  <si>
    <t>6月已补建</t>
    <phoneticPr fontId="2" type="noConversion"/>
  </si>
  <si>
    <t>订单箱数</t>
    <phoneticPr fontId="2" type="noConversion"/>
  </si>
  <si>
    <t>实际打款金额-不含税</t>
    <phoneticPr fontId="2" type="noConversion"/>
  </si>
  <si>
    <t>进度</t>
    <phoneticPr fontId="2" type="noConversion"/>
  </si>
  <si>
    <t>应补偿金额-不含税</t>
    <phoneticPr fontId="2" type="noConversion"/>
  </si>
  <si>
    <t>系统invoice-不含税</t>
    <phoneticPr fontId="2" type="noConversion"/>
  </si>
  <si>
    <t>待开票付款</t>
  </si>
  <si>
    <t>待开票付款</t>
    <phoneticPr fontId="2" type="noConversion"/>
  </si>
  <si>
    <t>箱价-含税</t>
    <phoneticPr fontId="2" type="noConversion"/>
  </si>
  <si>
    <t>4月沟通</t>
    <phoneticPr fontId="2" type="noConversion"/>
  </si>
  <si>
    <t>本次提交</t>
    <phoneticPr fontId="2" type="noConversion"/>
  </si>
  <si>
    <t>单包-含税</t>
    <phoneticPr fontId="2" type="noConversion"/>
  </si>
  <si>
    <t>GAP</t>
    <phoneticPr fontId="2" type="noConversion"/>
  </si>
  <si>
    <t>4月已补建</t>
  </si>
  <si>
    <t>5月已补建</t>
  </si>
  <si>
    <t>6月已补建</t>
  </si>
  <si>
    <t>含税</t>
    <phoneticPr fontId="2" type="noConversion"/>
  </si>
  <si>
    <t>待付款</t>
  </si>
  <si>
    <t>待付款</t>
    <phoneticPr fontId="2" type="noConversion"/>
  </si>
  <si>
    <t>求和项:应补偿金额-不含税</t>
  </si>
  <si>
    <t>进度</t>
  </si>
  <si>
    <t>7月已补建</t>
  </si>
  <si>
    <t>7月已补建</t>
    <phoneticPr fontId="2" type="noConversion"/>
  </si>
  <si>
    <t>8月待建</t>
  </si>
  <si>
    <t>8月待建</t>
    <phoneticPr fontId="2" type="noConversion"/>
  </si>
  <si>
    <t>济南华天新光商贸有限公司</t>
  </si>
  <si>
    <t>31663380</t>
    <phoneticPr fontId="2" type="noConversion"/>
  </si>
  <si>
    <t>2660-00</t>
    <phoneticPr fontId="2" type="noConversion"/>
  </si>
  <si>
    <t xml:space="preserve">266000舒洁湿厕纸80片 </t>
  </si>
  <si>
    <t>王金邦7.30邮件</t>
    <phoneticPr fontId="2" type="noConversion"/>
  </si>
  <si>
    <t>2664-10</t>
  </si>
  <si>
    <t>266410舒洁湿厕纸80片x8包(黄箱)</t>
  </si>
  <si>
    <t>常州领淘商贸有限公司</t>
  </si>
  <si>
    <t>8月建</t>
    <phoneticPr fontId="2" type="noConversion"/>
  </si>
  <si>
    <t>济南华天新光商贸有限公司</t>
    <phoneticPr fontId="2" type="noConversion"/>
  </si>
  <si>
    <t>无0.935</t>
  </si>
  <si>
    <t>无0.935</t>
    <phoneticPr fontId="2" type="noConversion"/>
  </si>
  <si>
    <t>8月建</t>
  </si>
  <si>
    <t>目前待开票付款</t>
    <phoneticPr fontId="2" type="noConversion"/>
  </si>
  <si>
    <t>浙江省宁波三江</t>
  </si>
  <si>
    <t>曲盛涛8.13邮件，已特批</t>
    <phoneticPr fontId="2" type="noConversion"/>
  </si>
  <si>
    <t>31651408</t>
    <phoneticPr fontId="2" type="noConversion"/>
  </si>
  <si>
    <r>
      <t>KA</t>
    </r>
    <r>
      <rPr>
        <sz val="10"/>
        <rFont val="宋体"/>
        <family val="3"/>
        <charset val="134"/>
      </rPr>
      <t>填写</t>
    </r>
    <phoneticPr fontId="28" type="noConversion"/>
  </si>
  <si>
    <t>进货箱数</t>
    <phoneticPr fontId="2" type="noConversion"/>
  </si>
  <si>
    <t>进货价格/包-含税</t>
    <phoneticPr fontId="2" type="noConversion"/>
  </si>
  <si>
    <t>活动价格/包-含税</t>
    <phoneticPr fontId="2" type="noConversion"/>
  </si>
  <si>
    <t>公式</t>
    <phoneticPr fontId="28" type="noConversion"/>
  </si>
  <si>
    <t>后补/包-含税</t>
    <phoneticPr fontId="28" type="noConversion"/>
  </si>
  <si>
    <t>后补金额-含税-TTL</t>
    <phoneticPr fontId="2" type="noConversion"/>
  </si>
  <si>
    <t>后补金额未税-TTL</t>
    <phoneticPr fontId="2" type="noConversion"/>
  </si>
  <si>
    <t>NSV</t>
  </si>
  <si>
    <t>GP</t>
    <phoneticPr fontId="28" type="noConversion"/>
  </si>
  <si>
    <t>GP%</t>
    <phoneticPr fontId="28" type="noConversion"/>
  </si>
  <si>
    <t>不填</t>
    <phoneticPr fontId="28" type="noConversion"/>
  </si>
  <si>
    <t>含票扣3.4%箱价
/不含税</t>
    <phoneticPr fontId="2" type="noConversion"/>
  </si>
  <si>
    <t>维护折扣金额-1000箱</t>
    <phoneticPr fontId="2" type="noConversion"/>
  </si>
  <si>
    <t>2670-30</t>
    <phoneticPr fontId="22" type="noConversion"/>
  </si>
  <si>
    <t>2660-20</t>
  </si>
  <si>
    <t>2662-00</t>
    <phoneticPr fontId="22" type="noConversion"/>
  </si>
  <si>
    <t>2660-21</t>
  </si>
  <si>
    <t>1.13含税</t>
    <phoneticPr fontId="2" type="noConversion"/>
  </si>
  <si>
    <t>nsv提税</t>
    <phoneticPr fontId="2" type="noConversion"/>
  </si>
  <si>
    <t>nsv实际需要价格</t>
    <phoneticPr fontId="2" type="noConversion"/>
  </si>
  <si>
    <t>客户实际含税到手价格</t>
    <phoneticPr fontId="2" type="noConversion"/>
  </si>
  <si>
    <t>T2级</t>
  </si>
  <si>
    <t>T1级</t>
  </si>
  <si>
    <t>T1级</t>
    <phoneticPr fontId="22" type="noConversion"/>
  </si>
  <si>
    <t>T2级</t>
    <phoneticPr fontId="2" type="noConversion"/>
  </si>
  <si>
    <t>例+116:116994+110:110:118</t>
    <phoneticPr fontId="2" type="noConversion"/>
  </si>
  <si>
    <t>客户打款价</t>
    <phoneticPr fontId="2" type="noConversion"/>
  </si>
  <si>
    <t>1.13含税价格</t>
    <phoneticPr fontId="2" type="noConversion"/>
  </si>
  <si>
    <t>GP%（我们Propose）</t>
  </si>
  <si>
    <t>Biz.Weight-2025</t>
  </si>
  <si>
    <t>Biz.Weight-2026-Proposal-@ Shengtao</t>
  </si>
  <si>
    <t>GP</t>
    <phoneticPr fontId="2" type="noConversion"/>
  </si>
  <si>
    <t>参照O列</t>
    <phoneticPr fontId="2" type="noConversion"/>
  </si>
  <si>
    <t>Sales Quantity CS</t>
    <phoneticPr fontId="2" type="noConversion"/>
  </si>
  <si>
    <t>GSV</t>
    <phoneticPr fontId="2" type="noConversion"/>
  </si>
  <si>
    <t>T1级</t>
    <phoneticPr fontId="2" type="noConversion"/>
  </si>
  <si>
    <t>中提供台参考nsv价格</t>
    <phoneticPr fontId="2" type="noConversion"/>
  </si>
  <si>
    <t>剔除3%返利（客户打款含税价格）</t>
    <phoneticPr fontId="2" type="noConversion"/>
  </si>
  <si>
    <t>实际需求与指引差</t>
    <phoneticPr fontId="2" type="noConversion"/>
  </si>
  <si>
    <t>经销商打款价格</t>
    <phoneticPr fontId="2" type="noConversion"/>
  </si>
  <si>
    <t>经销商考核指标、返利政策</t>
  </si>
  <si>
    <r>
      <t>1.</t>
    </r>
    <r>
      <rPr>
        <sz val="7"/>
        <color theme="1"/>
        <rFont val="Times New Roman"/>
        <family val="1"/>
      </rPr>
      <t xml:space="preserve">     </t>
    </r>
    <r>
      <rPr>
        <sz val="11"/>
        <color theme="1"/>
        <rFont val="DengXian"/>
        <family val="3"/>
        <charset val="134"/>
      </rPr>
      <t>考核指标：舒洁系列产品整体进货指标达成</t>
    </r>
  </si>
  <si>
    <r>
      <t>2.</t>
    </r>
    <r>
      <rPr>
        <sz val="7"/>
        <color theme="1"/>
        <rFont val="Times New Roman"/>
        <family val="1"/>
      </rPr>
      <t xml:space="preserve">     </t>
    </r>
    <r>
      <rPr>
        <sz val="11"/>
        <color theme="1"/>
        <rFont val="DengXian"/>
        <family val="3"/>
        <charset val="134"/>
      </rPr>
      <t>考核周期：季度+年度</t>
    </r>
  </si>
  <si>
    <r>
      <t>4.</t>
    </r>
    <r>
      <rPr>
        <sz val="7"/>
        <color theme="1"/>
        <rFont val="Times New Roman"/>
        <family val="1"/>
      </rPr>
      <t xml:space="preserve">     </t>
    </r>
    <r>
      <rPr>
        <sz val="11"/>
        <color theme="1"/>
        <rFont val="DengXian"/>
        <family val="3"/>
        <charset val="134"/>
      </rPr>
      <t>计算公式与折算比例：按照如下办法计算</t>
    </r>
  </si>
  <si>
    <t>季度返利以及年度返利形式</t>
  </si>
  <si>
    <t>进货目标完成比例</t>
  </si>
  <si>
    <t>折算比例</t>
  </si>
  <si>
    <t>季度返利比例</t>
  </si>
  <si>
    <t>年度返利比例</t>
  </si>
  <si>
    <t>＞=100%</t>
  </si>
  <si>
    <t>85%-100%</t>
  </si>
  <si>
    <t>按照实际完成比例核销</t>
  </si>
  <si>
    <t>85%以下</t>
  </si>
  <si>
    <t>不核销</t>
  </si>
  <si>
    <r>
      <t>3.</t>
    </r>
    <r>
      <rPr>
        <sz val="7"/>
        <color theme="1"/>
        <rFont val="DengXian"/>
        <family val="1"/>
        <charset val="134"/>
      </rPr>
      <t>    </t>
    </r>
    <r>
      <rPr>
        <sz val="7"/>
        <color theme="1"/>
        <rFont val="Times New Roman"/>
        <family val="1"/>
      </rPr>
      <t xml:space="preserve"> </t>
    </r>
    <r>
      <rPr>
        <sz val="11"/>
        <color theme="1"/>
        <rFont val="DengXian"/>
        <family val="3"/>
        <charset val="134"/>
      </rPr>
      <t>考核门槛：舒洁系列季度完成目标大于25万、年度100万</t>
    </r>
    <phoneticPr fontId="2" type="noConversion"/>
  </si>
  <si>
    <t>T2经销商的价格体系申请
T2级经销商基本符合中台给到的价格指引
1.T2经销商的范围：除了T1级经销商之外的经销商
2.价格申请的逻辑：1.参考26年中台给到的T2( C)级客户的价格指引
3,T2级客户主要销售的sku为40抽、80抽湿厕纸，小熊单包湿巾和小熊80抽纸，在AD列标注预计了占比情况
4.T2级客户全年生意预计在100w-200W左右，主要服务的客户是当地的RLKA、KB/KC客户以及CVS，gp预计在35%</t>
    <phoneticPr fontId="2" type="noConversion"/>
  </si>
  <si>
    <t>经销商打款价格（3返利%）</t>
    <phoneticPr fontId="2" type="noConversion"/>
  </si>
  <si>
    <t>SKU</t>
    <phoneticPr fontId="2" type="noConversion"/>
  </si>
  <si>
    <t>DQF COGS % VS GSV</t>
    <phoneticPr fontId="2" type="noConversion"/>
  </si>
  <si>
    <t>2169-00</t>
  </si>
  <si>
    <t>2655-10</t>
  </si>
  <si>
    <t>2655-65g</t>
  </si>
  <si>
    <t>2660-65g</t>
  </si>
  <si>
    <t>2661-65g</t>
  </si>
  <si>
    <t>2662-65g</t>
  </si>
  <si>
    <t>2664-65g</t>
  </si>
  <si>
    <t>2665-10</t>
  </si>
  <si>
    <t>2665-65g</t>
  </si>
  <si>
    <t>2670-65g</t>
  </si>
  <si>
    <t>2694-65g</t>
  </si>
  <si>
    <t>0020-01</t>
  </si>
  <si>
    <t>0097-03</t>
  </si>
  <si>
    <t>0223-40A</t>
  </si>
  <si>
    <t>0228-40</t>
  </si>
  <si>
    <t>0238-50</t>
  </si>
  <si>
    <t>0288-00</t>
  </si>
  <si>
    <t>0316-02</t>
  </si>
  <si>
    <t>0319-02</t>
  </si>
  <si>
    <t>0368-00</t>
  </si>
  <si>
    <t>0382-20</t>
  </si>
  <si>
    <t>0383-10</t>
  </si>
  <si>
    <t>0392-10A</t>
  </si>
  <si>
    <t>0393-01A</t>
  </si>
  <si>
    <t>0395-00</t>
  </si>
  <si>
    <t>0396-02</t>
  </si>
  <si>
    <t>0397-01</t>
  </si>
  <si>
    <t>0398-01</t>
  </si>
  <si>
    <t>0464-10</t>
  </si>
  <si>
    <t>0465-00</t>
  </si>
  <si>
    <t>05007A</t>
  </si>
  <si>
    <t>0562-10</t>
  </si>
  <si>
    <t>0563-10</t>
  </si>
  <si>
    <t>0564-10</t>
  </si>
  <si>
    <t>07135-01</t>
  </si>
  <si>
    <t>0745-20</t>
  </si>
  <si>
    <t>0750-20</t>
  </si>
  <si>
    <t>25252-10</t>
  </si>
  <si>
    <t>25252A</t>
  </si>
  <si>
    <t>25350-10</t>
  </si>
  <si>
    <t>25702A</t>
  </si>
  <si>
    <t>28620-10</t>
  </si>
  <si>
    <t>33241C</t>
  </si>
  <si>
    <t>33560C</t>
  </si>
  <si>
    <t>37490-10</t>
  </si>
  <si>
    <t>41611A</t>
  </si>
  <si>
    <t>45511A</t>
  </si>
  <si>
    <t>7046A</t>
  </si>
  <si>
    <t>7410A</t>
  </si>
  <si>
    <t>76610A</t>
  </si>
  <si>
    <t>8668-00</t>
  </si>
  <si>
    <t>90161A</t>
  </si>
  <si>
    <t>91552C</t>
  </si>
  <si>
    <t>91591C</t>
  </si>
  <si>
    <t>93495B</t>
  </si>
  <si>
    <t>94165-00</t>
  </si>
  <si>
    <t>94166-00</t>
  </si>
  <si>
    <t>94173E</t>
  </si>
  <si>
    <t>94176E</t>
  </si>
  <si>
    <t>94224A</t>
  </si>
  <si>
    <t>94466-10</t>
  </si>
  <si>
    <t>94479-10</t>
  </si>
  <si>
    <t>28641E</t>
  </si>
  <si>
    <t>13253-02</t>
  </si>
  <si>
    <t>New</t>
  </si>
  <si>
    <t>75850B</t>
  </si>
  <si>
    <t>DQF DE % VS GSV</t>
    <phoneticPr fontId="2" type="noConversion"/>
  </si>
  <si>
    <t>Year</t>
  </si>
  <si>
    <t>DQF_2026</t>
  </si>
  <si>
    <t>行标签</t>
  </si>
  <si>
    <t>求和项:GSV(k)</t>
  </si>
  <si>
    <t>求和项:COGS</t>
  </si>
  <si>
    <t>求和项:DE</t>
  </si>
  <si>
    <t>(空白)</t>
  </si>
  <si>
    <t>Dummy</t>
  </si>
  <si>
    <t>2694-65g</t>
    <phoneticPr fontId="2" type="noConversion"/>
  </si>
  <si>
    <r>
      <t xml:space="preserve">                                                  </t>
    </r>
    <r>
      <rPr>
        <b/>
        <sz val="10"/>
        <color theme="1"/>
        <rFont val="Aptos Narrow"/>
        <family val="2"/>
        <scheme val="minor"/>
      </rPr>
      <t xml:space="preserve">                                     关于26年年度FMC销售生意的计划以及价格沟通</t>
    </r>
    <r>
      <rPr>
        <sz val="10"/>
        <color theme="1"/>
        <rFont val="Aptos Narrow"/>
        <family val="2"/>
        <scheme val="minor"/>
      </rPr>
      <t xml:space="preserve">
</t>
    </r>
    <r>
      <rPr>
        <b/>
        <sz val="10"/>
        <color theme="1"/>
        <rFont val="Aptos Narrow"/>
        <family val="2"/>
        <scheme val="minor"/>
      </rPr>
      <t>一.背景:</t>
    </r>
    <r>
      <rPr>
        <sz val="10"/>
        <color theme="1"/>
        <rFont val="Aptos Narrow"/>
        <family val="2"/>
        <scheme val="minor"/>
      </rPr>
      <t xml:space="preserve">
  GT南边的客户以团购福利生意为主，团购生意占比大，今年通过团购的生意同比增长在50%以上，由于25年的价格体系没有参考团购价格的逻辑，每次订单产生之后都要case by case 进行价格审批，对中台和销售单元的工作都增加了一定的工作难度，因此为了做好26年的团购生意，在此申请一套26年的T1级别客户的价格体系，这套价格体系符合团购生意的价值链逻辑。
目前申请的价格是参考了中台部分给到的26年的价格指引，大部分产品按照中台部门提供的价格参考执行，其中标红部分的sku（该6支产品也是26年会重点在渠道中推品的）价格跟指引有差异并需要单独申请,申请T1价格经销商合计数量8个，客户清单如下：
1.上海文薪
2.天宁雕庄
3.云南普泉
4.上海芳薇
5.团氿南京
6.南京新语
7.宁波宝敏瑞
8.上海怡乐畅购
</t>
    </r>
    <r>
      <rPr>
        <b/>
        <sz val="10"/>
        <color theme="1"/>
        <rFont val="Aptos Narrow"/>
        <family val="2"/>
        <scheme val="minor"/>
      </rPr>
      <t>二.申请T1价格要求</t>
    </r>
    <r>
      <rPr>
        <sz val="10"/>
        <color theme="1"/>
        <rFont val="Aptos Narrow"/>
        <family val="2"/>
        <scheme val="minor"/>
      </rPr>
      <t xml:space="preserve">
1,年度团购生意需大于100w并签订全年销售指标
2.对团购生意项目信息需要与销售同步并建立项目档案
</t>
    </r>
    <r>
      <rPr>
        <b/>
        <sz val="10"/>
        <color theme="1"/>
        <rFont val="Aptos Narrow"/>
        <family val="2"/>
        <scheme val="minor"/>
      </rPr>
      <t>三.团购生意目标计划</t>
    </r>
    <r>
      <rPr>
        <sz val="10"/>
        <color theme="1"/>
        <rFont val="Aptos Narrow"/>
        <family val="2"/>
        <scheme val="minor"/>
      </rPr>
      <t xml:space="preserve">
目前沟通的团购客户部分客户已经完成初步26年生意目标沟通，以下罗列几个重点大客户目标
1.上海文薪年度目标：700w
2.天宁雕庄年度目标 ：200w
3.云南普泉年度目标：100w
其他客户由于时间关系暂时未沟通完毕，都是区域部分重点的潜力客户，所以同步申请该T1级别的客户，预计能合计贡献100w-200w的生意
全年预计T1级客户生意总1000-1200w
</t>
    </r>
    <r>
      <rPr>
        <b/>
        <sz val="10"/>
        <color theme="1"/>
        <rFont val="Aptos Narrow"/>
        <family val="2"/>
        <scheme val="minor"/>
      </rPr>
      <t>四.达成年度销售目标的举措</t>
    </r>
    <r>
      <rPr>
        <sz val="10"/>
        <color theme="1"/>
        <rFont val="Aptos Narrow"/>
        <family val="2"/>
        <scheme val="minor"/>
      </rPr>
      <t xml:space="preserve">
1.针对签约的经销商设立年度销售指标，按照季度销售目标达成激励2%的返利，年度目标达成给与1%返利（按照GT拟定的返利政策执行）
2.申请T1价格的经销商目标拆解到月，次月按照目标对上个月的目标进行回顾复盘
3.产品计划方面：重点推GP数字高的牛乳系列产品提升占比
4.重点平台：史泰博、得力、齐心等联合经销商做全年的生意计划，空白平台完成平台商城产品库上架工作
5.重点大客户项目：移动女工福利项目26年跟经销商做好老品的留存和新sku的推品上架工作
</t>
    </r>
    <r>
      <rPr>
        <b/>
        <sz val="10"/>
        <color theme="1"/>
        <rFont val="Aptos Narrow"/>
        <family val="2"/>
        <scheme val="minor"/>
      </rPr>
      <t>五.整体生意利润的测算</t>
    </r>
    <r>
      <rPr>
        <sz val="10"/>
        <color theme="1"/>
        <rFont val="Aptos Narrow"/>
        <family val="2"/>
        <scheme val="minor"/>
      </rPr>
      <t xml:space="preserve">
1.top5重点sku占比：2694湿厕纸40抽20%，2662湿厕纸80抽12.7%，2312马蹄莲抽纸12.1%，2103小熊80抽*4抽纸11%，2216纯白卷纸8%
2.团购生意GP情况：参考25年的sku销售占比情况，整体gp%数字在26%
ps：若后续还有一些新开发的大客户有意向签约年度销售合作目标后续参考这个价格执行并邮寄报审到中台</t>
    </r>
  </si>
  <si>
    <t>产品系列</t>
    <phoneticPr fontId="0" type="noConversion"/>
  </si>
  <si>
    <t>Barcode（EA）</t>
    <phoneticPr fontId="0" type="noConversion"/>
  </si>
  <si>
    <t>零售价</t>
    <phoneticPr fontId="0" type="noConversion"/>
  </si>
  <si>
    <t>零售价权重</t>
    <phoneticPr fontId="0" type="noConversion"/>
  </si>
  <si>
    <t>A级</t>
    <phoneticPr fontId="0" type="noConversion"/>
  </si>
  <si>
    <t>B级-EDLP</t>
    <phoneticPr fontId="0" type="noConversion"/>
  </si>
  <si>
    <t>S级</t>
    <phoneticPr fontId="0" type="noConversion"/>
  </si>
  <si>
    <t>PE%</t>
    <phoneticPr fontId="0" type="noConversion"/>
  </si>
  <si>
    <t>SD%</t>
    <phoneticPr fontId="0" type="noConversion"/>
  </si>
  <si>
    <t>SDR%</t>
    <phoneticPr fontId="0" type="noConversion"/>
  </si>
  <si>
    <t>NSV (excl.VAT)</t>
    <phoneticPr fontId="0" type="noConversion"/>
  </si>
  <si>
    <t>COGS%</t>
    <phoneticPr fontId="0" type="noConversion"/>
  </si>
  <si>
    <t>DE%</t>
    <phoneticPr fontId="0" type="noConversion"/>
  </si>
  <si>
    <t>GP</t>
    <phoneticPr fontId="0" type="noConversion"/>
  </si>
  <si>
    <t>GP%</t>
    <phoneticPr fontId="0" type="noConversion"/>
  </si>
  <si>
    <t>Total Volume (CS)</t>
    <phoneticPr fontId="0" type="noConversion"/>
  </si>
  <si>
    <t>Total NSV</t>
    <phoneticPr fontId="0" type="noConversion"/>
  </si>
  <si>
    <t>Total GP</t>
    <phoneticPr fontId="0" type="noConversion"/>
  </si>
  <si>
    <t>2026 GSV</t>
  </si>
  <si>
    <t>未税</t>
    <phoneticPr fontId="0" type="noConversion"/>
  </si>
  <si>
    <t>Poly Facial</t>
  </si>
  <si>
    <t>Hanky</t>
  </si>
  <si>
    <t>Wet Wipes</t>
  </si>
  <si>
    <t>Box Facial</t>
  </si>
  <si>
    <t>RBT</t>
  </si>
  <si>
    <t>经销商提货价</t>
    <phoneticPr fontId="2" type="noConversion"/>
  </si>
  <si>
    <t>后毛</t>
    <phoneticPr fontId="2" type="noConversion"/>
  </si>
  <si>
    <t>前毛</t>
    <phoneticPr fontId="0" type="noConversion"/>
  </si>
  <si>
    <t>合同点数</t>
    <phoneticPr fontId="0" type="noConversion"/>
  </si>
  <si>
    <t>大连达博</t>
  </si>
  <si>
    <t>物美</t>
  </si>
  <si>
    <t>银座</t>
  </si>
  <si>
    <t>利群</t>
  </si>
  <si>
    <t>比优特</t>
  </si>
  <si>
    <t>全家</t>
  </si>
  <si>
    <t>罗森</t>
  </si>
  <si>
    <t>首航</t>
  </si>
  <si>
    <t>活动开始时间</t>
  </si>
  <si>
    <t>活动结束时间</t>
  </si>
  <si>
    <t>活动SKU</t>
  </si>
  <si>
    <t>活动原始价格</t>
  </si>
  <si>
    <t>活动价格</t>
  </si>
  <si>
    <t>活动补差价格</t>
  </si>
  <si>
    <t>G-H</t>
  </si>
  <si>
    <t>BU Head 审批邮件</t>
  </si>
  <si>
    <t>CSSD 审批邮件</t>
  </si>
  <si>
    <t>1月3日</t>
  </si>
  <si>
    <t>800号</t>
  </si>
  <si>
    <t>销售支数</t>
  </si>
  <si>
    <t>促销补差金额</t>
  </si>
  <si>
    <t>核销</t>
  </si>
  <si>
    <t>付款</t>
  </si>
  <si>
    <t>经销商实际到手价格@ Shengtao</t>
  </si>
  <si>
    <t>打款价格/包-含税</t>
  </si>
  <si>
    <t>参照P列</t>
  </si>
  <si>
    <t>上海薪满翊</t>
  </si>
  <si>
    <t>薪满翊others</t>
  </si>
  <si>
    <t>北京宝诚恒信</t>
  </si>
  <si>
    <t>宝诚others</t>
  </si>
  <si>
    <t>沈阳和盛祥</t>
  </si>
  <si>
    <t>XXX</t>
  </si>
  <si>
    <t>真市美</t>
  </si>
  <si>
    <t>半点半便利</t>
  </si>
  <si>
    <t>八点半</t>
  </si>
  <si>
    <t>Pack/EA</t>
  </si>
  <si>
    <t>PR00/CS</t>
    <phoneticPr fontId="22" type="noConversion"/>
  </si>
  <si>
    <t>PR00/EA</t>
    <phoneticPr fontId="22" type="noConversion"/>
  </si>
  <si>
    <t>ASP</t>
    <phoneticPr fontId="22" type="noConversion"/>
  </si>
  <si>
    <t>Client</t>
  </si>
  <si>
    <t>Category</t>
  </si>
  <si>
    <t>Product-Code</t>
  </si>
  <si>
    <t>Material Code</t>
  </si>
  <si>
    <t>CN Description</t>
  </si>
  <si>
    <t>Material Name</t>
  </si>
  <si>
    <t>EA/Case</t>
  </si>
  <si>
    <t>Sam's</t>
  </si>
  <si>
    <t>Walmart</t>
  </si>
  <si>
    <t>Watsons</t>
  </si>
  <si>
    <t>Metro</t>
  </si>
  <si>
    <t>大润发东区</t>
  </si>
  <si>
    <t>大润发南区</t>
  </si>
  <si>
    <t>大润发东北区</t>
  </si>
  <si>
    <t>大润发华北区</t>
  </si>
  <si>
    <t>Hema</t>
  </si>
  <si>
    <t>Ole</t>
  </si>
  <si>
    <t>channel</t>
    <phoneticPr fontId="22" type="noConversion"/>
  </si>
  <si>
    <t>NKA</t>
    <phoneticPr fontId="22" type="noConversion"/>
  </si>
  <si>
    <t>category</t>
  </si>
  <si>
    <t>fcst line</t>
  </si>
  <si>
    <t>sap code</t>
  </si>
  <si>
    <t>4 PRO</t>
  </si>
  <si>
    <t>Merge_code</t>
  </si>
  <si>
    <t>pro code</t>
  </si>
  <si>
    <t>Description</t>
  </si>
  <si>
    <t>PR00 Price</t>
  </si>
  <si>
    <t>FMC</t>
  </si>
  <si>
    <t>#</t>
  </si>
  <si>
    <t>Lotion 3Ply</t>
  </si>
  <si>
    <t>Lotion 4Ply</t>
  </si>
  <si>
    <t>Lotion 6Ply</t>
  </si>
  <si>
    <t>2168-00</t>
  </si>
  <si>
    <t>216800舒洁®北海道牛乳系列乳霜纸面巾80抽5包装（山姆）</t>
  </si>
  <si>
    <t>Dry Wipes</t>
  </si>
  <si>
    <t>MBT</t>
  </si>
  <si>
    <t>2608-00</t>
  </si>
  <si>
    <t>2609-00</t>
  </si>
  <si>
    <t>2610-00</t>
  </si>
  <si>
    <t>24P</t>
  </si>
  <si>
    <t>2620-00</t>
  </si>
  <si>
    <t>2624-00</t>
  </si>
  <si>
    <t>60P</t>
  </si>
  <si>
    <t>80P</t>
  </si>
  <si>
    <t>2634-00</t>
  </si>
  <si>
    <t>2635-00</t>
  </si>
  <si>
    <t>2636-00</t>
  </si>
  <si>
    <t>2637-00</t>
  </si>
  <si>
    <t>2638-00</t>
  </si>
  <si>
    <t>100P</t>
  </si>
  <si>
    <t>2653-00</t>
  </si>
  <si>
    <t>2653-00舒洁小熊湿厕纸40片</t>
  </si>
  <si>
    <t>2657-00</t>
  </si>
  <si>
    <t>2658-00</t>
  </si>
  <si>
    <t>2658-00舒洁小熊湿厕纸80片x8包</t>
  </si>
  <si>
    <t>2659-00</t>
  </si>
  <si>
    <t>2659-00舒洁小熊湿厕纸80片×10包</t>
  </si>
  <si>
    <t>Lotion 6Ply</t>
    <phoneticPr fontId="2" type="noConversion"/>
  </si>
  <si>
    <t>2169-00</t>
    <phoneticPr fontId="2" type="noConversion"/>
  </si>
  <si>
    <t>2608-00</t>
    <phoneticPr fontId="2" type="noConversion"/>
  </si>
  <si>
    <t>2609-00</t>
    <phoneticPr fontId="2" type="noConversion"/>
  </si>
  <si>
    <t>2610-00</t>
    <phoneticPr fontId="2" type="noConversion"/>
  </si>
  <si>
    <t>2620-00</t>
    <phoneticPr fontId="2" type="noConversion"/>
  </si>
  <si>
    <t>2624-00</t>
    <phoneticPr fontId="2" type="noConversion"/>
  </si>
  <si>
    <t>2634-00</t>
    <phoneticPr fontId="2" type="noConversion"/>
  </si>
  <si>
    <t>2635-00</t>
    <phoneticPr fontId="2" type="noConversion"/>
  </si>
  <si>
    <t>2636-00</t>
    <phoneticPr fontId="2" type="noConversion"/>
  </si>
  <si>
    <t>2637-00</t>
    <phoneticPr fontId="2" type="noConversion"/>
  </si>
  <si>
    <t>2638-00</t>
    <phoneticPr fontId="2" type="noConversion"/>
  </si>
  <si>
    <t>2653-00</t>
    <phoneticPr fontId="2" type="noConversion"/>
  </si>
  <si>
    <t>2657-00</t>
    <phoneticPr fontId="2" type="noConversion"/>
  </si>
  <si>
    <t>2658-00</t>
    <phoneticPr fontId="2" type="noConversion"/>
  </si>
  <si>
    <t>2659-00</t>
    <phoneticPr fontId="2" type="noConversion"/>
  </si>
  <si>
    <t>官方PR00未出</t>
    <phoneticPr fontId="2" type="noConversion"/>
  </si>
  <si>
    <t>注</t>
    <phoneticPr fontId="2" type="noConversion"/>
  </si>
  <si>
    <t>山姆专供</t>
    <phoneticPr fontId="2" type="noConversion"/>
  </si>
  <si>
    <t>RLKA</t>
    <phoneticPr fontId="22" type="noConversion"/>
  </si>
  <si>
    <t>京客隆</t>
  </si>
  <si>
    <t>超市发</t>
  </si>
  <si>
    <t>朝批others</t>
  </si>
  <si>
    <t>公式</t>
    <phoneticPr fontId="22" type="noConversion"/>
  </si>
  <si>
    <t>经销商</t>
  </si>
  <si>
    <t>北京朝批</t>
  </si>
  <si>
    <t>福兴祥</t>
  </si>
  <si>
    <t>经销商&amp;客户</t>
    <phoneticPr fontId="22" type="noConversion"/>
  </si>
  <si>
    <t>经销商&amp;SKU</t>
    <phoneticPr fontId="22" type="noConversion"/>
  </si>
  <si>
    <t>客户&amp;SKU</t>
    <phoneticPr fontId="22" type="noConversion"/>
  </si>
  <si>
    <t>零售商</t>
  </si>
  <si>
    <t>销售填写</t>
  </si>
  <si>
    <t>销售填写</t>
    <phoneticPr fontId="22" type="noConversion"/>
  </si>
  <si>
    <t>NKA销售填写</t>
    <phoneticPr fontId="22" type="noConversion"/>
  </si>
  <si>
    <t>RKA销售填写</t>
    <phoneticPr fontId="22" type="noConversion"/>
  </si>
  <si>
    <t>T1</t>
    <phoneticPr fontId="22" type="noConversion"/>
  </si>
  <si>
    <t>GT</t>
    <phoneticPr fontId="22" type="noConversion"/>
  </si>
  <si>
    <t>*% of ISV</t>
    <phoneticPr fontId="0" type="noConversion"/>
  </si>
  <si>
    <t>0603更新</t>
    <phoneticPr fontId="22" type="noConversion"/>
  </si>
  <si>
    <t>711全家</t>
  </si>
  <si>
    <t>T2</t>
  </si>
  <si>
    <t>2660-10</t>
    <phoneticPr fontId="22" type="noConversion"/>
  </si>
  <si>
    <t>2657-00舒洁小熊湿厕纸80片</t>
    <phoneticPr fontId="2" type="noConversion"/>
  </si>
  <si>
    <t>*% of ISV</t>
  </si>
  <si>
    <t>促销</t>
    <phoneticPr fontId="22" type="noConversion"/>
  </si>
  <si>
    <t>短促费用%</t>
    <phoneticPr fontId="22" type="noConversion"/>
  </si>
  <si>
    <t>*% of GSV</t>
    <phoneticPr fontId="22" type="noConversion"/>
  </si>
  <si>
    <t>2673-00</t>
    <phoneticPr fontId="22" type="noConversion"/>
  </si>
  <si>
    <t>EDLP供价
(未税）</t>
    <phoneticPr fontId="22" type="noConversion"/>
  </si>
  <si>
    <t>促销供价
(未税）</t>
    <phoneticPr fontId="22" type="noConversion"/>
  </si>
  <si>
    <t>EDLP</t>
    <phoneticPr fontId="0" type="noConversion"/>
  </si>
  <si>
    <t>活动</t>
    <phoneticPr fontId="22" type="noConversion"/>
  </si>
  <si>
    <t>7P-55gsm</t>
  </si>
  <si>
    <t>7P-65gsm</t>
  </si>
  <si>
    <t>10P-55gsm</t>
  </si>
  <si>
    <t>10P-65gsm</t>
  </si>
  <si>
    <t>40P-55gsm</t>
  </si>
  <si>
    <t>40P-65gsm</t>
  </si>
  <si>
    <t>80P-55gsm</t>
  </si>
  <si>
    <t>80P-65gsm</t>
  </si>
  <si>
    <t>40P-小熊</t>
  </si>
  <si>
    <t>80P-小熊</t>
  </si>
  <si>
    <t>Lotion 6Ply-山姆</t>
  </si>
  <si>
    <t>8P-65gsm-山姆</t>
  </si>
  <si>
    <t>6923589426358</t>
  </si>
  <si>
    <t>6923589426372</t>
  </si>
  <si>
    <t>6923589426389</t>
  </si>
  <si>
    <t>6923589421704</t>
  </si>
  <si>
    <t>6923589426082</t>
  </si>
  <si>
    <t>6923589426099</t>
  </si>
  <si>
    <t>6923589426105</t>
  </si>
  <si>
    <t>6923589426204</t>
  </si>
  <si>
    <t>6923589426242</t>
  </si>
  <si>
    <t>6923589426341</t>
  </si>
  <si>
    <t>6923589426365</t>
  </si>
  <si>
    <t>6923589426532</t>
  </si>
  <si>
    <t>6923589426570</t>
  </si>
  <si>
    <t>6923589426587</t>
  </si>
  <si>
    <t>6923589426594</t>
  </si>
  <si>
    <t>大润发</t>
  </si>
  <si>
    <t>盒马</t>
  </si>
  <si>
    <t>麦德龙</t>
  </si>
  <si>
    <t>永辉</t>
  </si>
  <si>
    <t>山姆</t>
    <phoneticPr fontId="0" type="noConversion"/>
  </si>
  <si>
    <t>沃尔玛</t>
    <phoneticPr fontId="0" type="noConversion"/>
  </si>
  <si>
    <t>屈臣氏</t>
  </si>
  <si>
    <t>万宁</t>
    <phoneticPr fontId="0" type="noConversion"/>
  </si>
  <si>
    <t>胖东来</t>
  </si>
  <si>
    <t>洛阳大张</t>
    <phoneticPr fontId="0" type="noConversion"/>
  </si>
  <si>
    <t>Others</t>
    <phoneticPr fontId="0" type="noConversion"/>
  </si>
  <si>
    <t>小象超市</t>
  </si>
  <si>
    <t>NKA</t>
  </si>
  <si>
    <t>O2O</t>
  </si>
  <si>
    <t>新疆八点半</t>
  </si>
  <si>
    <t>RLKA</t>
  </si>
  <si>
    <t>CVS</t>
  </si>
  <si>
    <t>RKLA</t>
  </si>
  <si>
    <t>家家悦</t>
  </si>
  <si>
    <t>北国</t>
  </si>
  <si>
    <t>信誉楼</t>
  </si>
  <si>
    <t>欧亚</t>
  </si>
  <si>
    <t>便利蜂</t>
  </si>
  <si>
    <t>新天地</t>
  </si>
  <si>
    <t>美特好</t>
  </si>
  <si>
    <t>武商</t>
  </si>
  <si>
    <t>丹尼斯</t>
  </si>
  <si>
    <t>步步高</t>
  </si>
  <si>
    <t>家慧</t>
  </si>
  <si>
    <t>美宜佳</t>
  </si>
  <si>
    <t>天虹</t>
  </si>
  <si>
    <t>永旺</t>
  </si>
  <si>
    <t>易初莲花</t>
  </si>
  <si>
    <t>三江</t>
  </si>
  <si>
    <t>十足</t>
  </si>
  <si>
    <t>大统华</t>
  </si>
  <si>
    <t>苏果</t>
  </si>
  <si>
    <t>美好超市</t>
  </si>
  <si>
    <t>红旗</t>
  </si>
  <si>
    <t>七新鲜</t>
  </si>
  <si>
    <t>RKLA-Others</t>
  </si>
  <si>
    <t>CVS-Others</t>
  </si>
  <si>
    <t>重百新世纪</t>
  </si>
  <si>
    <t>唐久便利店</t>
  </si>
  <si>
    <t>金虎便利店</t>
  </si>
  <si>
    <t>芙蓉兴盛</t>
  </si>
  <si>
    <t>左邻右舍</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</si>
</sst>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3" formatCode="_ * #,##0.00_ ;_ * \-#,##0.00_ ;_ * &quot;-&quot;??_ ;_ @_ "/>
    <numFmt numFmtId="164" formatCode="_(* #,##0.00_);_(* \(#,##0.00\);_(* &quot;-&quot;??_);_(@_)"/>
    <numFmt numFmtId="165" formatCode="_(* #,##0.0_);_(* \(#,##0.0\);_(* &quot;-&quot;??_);_(@_)"/>
    <numFmt numFmtId="166" formatCode="0.0%"/>
    <numFmt numFmtId="167" formatCode="_(* #,##0_);_(* \(#,##0\);_(* &quot;-&quot;??_);_(@_)"/>
    <numFmt numFmtId="168" formatCode="[$-10804]0;\(0\)"/>
    <numFmt numFmtId="169" formatCode="0_);[Red]\(0\)"/>
    <numFmt numFmtId="170" formatCode="0.00_);[Red]\(0.00\)"/>
    <numFmt numFmtId="171" formatCode="0.0"/>
    <numFmt numFmtId="172" formatCode="0.0000"/>
    <numFmt numFmtId="173" formatCode="0.000"/>
    <numFmt numFmtId="174" formatCode="_(* #,##0.0_);_(* \(#,##0.0\);_(* &quot;-&quot;?_);_(@_)"/>
    <numFmt numFmtId="175" formatCode="0.000_);[Red]\(0.000\)"/>
    <numFmt numFmtId="176" formatCode="_(* #,##0.000_);_(* \(#,##0.000\);_(* &quot;-&quot;??_);_(@_)"/>
    <numFmt numFmtId="177" formatCode="_ * #,##0_ ;_ * \-#,##0_ ;_ * &quot;-&quot;??_ ;_ @_ "/>
  </numFmts>
  <fonts count="58">
    <font>
      <sz val="11"/>
      <color theme="1"/>
      <name val="Aptos Narrow"/>
      <family val="2"/>
      <charset val="134"/>
      <scheme val="minor"/>
    </font>
    <font>
      <sz val="11"/>
      <color theme="1"/>
      <name val="Aptos Narrow"/>
      <family val="2"/>
      <charset val="134"/>
      <scheme val="minor"/>
    </font>
    <font>
      <sz val="9"/>
      <name val="Aptos Narrow"/>
      <family val="2"/>
      <charset val="134"/>
      <scheme val="minor"/>
    </font>
    <font>
      <sz val="11"/>
      <color rgb="FFFF0000"/>
      <name val="Aptos Narrow"/>
      <family val="2"/>
      <charset val="134"/>
      <scheme val="minor"/>
    </font>
    <font>
      <b/>
      <sz val="11"/>
      <color theme="1"/>
      <name val="Aptos Narrow"/>
      <family val="3"/>
      <charset val="134"/>
      <scheme val="minor"/>
    </font>
    <font>
      <sz val="11"/>
      <color rgb="FFFF0000"/>
      <name val="Aptos Narrow"/>
      <family val="3"/>
      <charset val="134"/>
      <scheme val="minor"/>
    </font>
    <font>
      <b/>
      <sz val="9"/>
      <color indexed="81"/>
      <name val="宋体"/>
      <family val="3"/>
      <charset val="134"/>
    </font>
    <font>
      <sz val="9"/>
      <color indexed="81"/>
      <name val="宋体"/>
      <family val="3"/>
      <charset val="134"/>
    </font>
    <font>
      <b/>
      <sz val="12"/>
      <color theme="1"/>
      <name val="Aptos Narrow"/>
      <family val="3"/>
      <charset val="134"/>
      <scheme val="minor"/>
    </font>
    <font>
      <b/>
      <sz val="18"/>
      <color theme="1"/>
      <name val="Aptos Narrow"/>
      <family val="3"/>
      <charset val="134"/>
      <scheme val="minor"/>
    </font>
    <font>
      <sz val="11"/>
      <name val="Aptos Narrow"/>
      <family val="3"/>
      <charset val="134"/>
      <scheme val="minor"/>
    </font>
    <font>
      <sz val="11"/>
      <name val="Arial"/>
      <family val="2"/>
    </font>
    <font>
      <sz val="12"/>
      <color rgb="FFFF0000"/>
      <name val="Aptos Narrow"/>
      <family val="3"/>
      <charset val="134"/>
      <scheme val="minor"/>
    </font>
    <font>
      <sz val="12"/>
      <name val="Aptos Narrow"/>
      <family val="3"/>
      <charset val="134"/>
      <scheme val="minor"/>
    </font>
    <font>
      <sz val="12"/>
      <color theme="1"/>
      <name val="Aptos Narrow"/>
      <family val="3"/>
      <charset val="134"/>
      <scheme val="minor"/>
    </font>
    <font>
      <b/>
      <sz val="14"/>
      <color theme="1"/>
      <name val="Aptos Narrow"/>
      <family val="3"/>
      <charset val="134"/>
      <scheme val="minor"/>
    </font>
    <font>
      <b/>
      <sz val="12"/>
      <name val="Aptos Narrow"/>
      <family val="3"/>
      <charset val="134"/>
      <scheme val="minor"/>
    </font>
    <font>
      <b/>
      <sz val="11"/>
      <name val="Aptos Narrow"/>
      <family val="3"/>
      <charset val="134"/>
      <scheme val="minor"/>
    </font>
    <font>
      <sz val="11"/>
      <color theme="1"/>
      <name val="Aptos Narrow"/>
      <family val="2"/>
      <scheme val="minor"/>
    </font>
    <font>
      <sz val="10"/>
      <color theme="1"/>
      <name val="Aptos Narrow"/>
      <family val="2"/>
      <scheme val="minor"/>
    </font>
    <font>
      <sz val="8"/>
      <color theme="1"/>
      <name val="Aptos Narrow"/>
      <family val="3"/>
      <charset val="134"/>
      <scheme val="minor"/>
    </font>
    <font>
      <b/>
      <sz val="8"/>
      <color theme="1"/>
      <name val="Aptos Narrow"/>
      <family val="3"/>
      <charset val="134"/>
      <scheme val="minor"/>
    </font>
    <font>
      <sz val="9"/>
      <name val="Aptos Narrow"/>
      <family val="3"/>
      <charset val="134"/>
      <scheme val="minor"/>
    </font>
    <font>
      <sz val="11"/>
      <name val="Aptos Narrow"/>
      <family val="2"/>
      <scheme val="minor"/>
    </font>
    <font>
      <b/>
      <sz val="8"/>
      <color theme="0"/>
      <name val="微软雅黑"/>
      <family val="2"/>
      <charset val="134"/>
    </font>
    <font>
      <b/>
      <sz val="8"/>
      <color theme="0"/>
      <name val="微软雅黑"/>
      <family val="2"/>
    </font>
    <font>
      <sz val="11"/>
      <color theme="1"/>
      <name val="微软雅黑"/>
      <family val="2"/>
    </font>
    <font>
      <b/>
      <sz val="8"/>
      <name val="微软雅黑"/>
      <family val="2"/>
    </font>
    <font>
      <sz val="9"/>
      <name val="宋体"/>
      <family val="3"/>
      <charset val="134"/>
    </font>
    <font>
      <sz val="8"/>
      <name val="微软雅黑"/>
      <family val="2"/>
    </font>
    <font>
      <b/>
      <sz val="8"/>
      <name val="微软雅黑"/>
      <family val="2"/>
      <charset val="134"/>
    </font>
    <font>
      <b/>
      <sz val="8"/>
      <color rgb="FFFF0000"/>
      <name val="微软雅黑"/>
      <family val="2"/>
    </font>
    <font>
      <sz val="8"/>
      <color theme="1"/>
      <name val="微软雅黑"/>
      <family val="2"/>
    </font>
    <font>
      <sz val="8"/>
      <name val="微软雅黑"/>
      <family val="2"/>
      <charset val="134"/>
    </font>
    <font>
      <b/>
      <sz val="11"/>
      <color theme="1"/>
      <name val="Aptos Narrow"/>
      <family val="2"/>
      <charset val="134"/>
      <scheme val="minor"/>
    </font>
    <font>
      <sz val="11"/>
      <name val="Aptos Narrow"/>
      <family val="2"/>
      <charset val="134"/>
      <scheme val="minor"/>
    </font>
    <font>
      <sz val="10"/>
      <name val="Arial"/>
      <family val="2"/>
    </font>
    <font>
      <sz val="10"/>
      <name val="宋体"/>
      <family val="3"/>
      <charset val="134"/>
    </font>
    <font>
      <sz val="8"/>
      <color theme="1"/>
      <name val="微软雅黑"/>
      <family val="2"/>
      <charset val="134"/>
    </font>
    <font>
      <sz val="8"/>
      <color rgb="FFC00000"/>
      <name val="微软雅黑"/>
      <family val="2"/>
      <charset val="134"/>
    </font>
    <font>
      <b/>
      <sz val="11"/>
      <color rgb="FFFF0000"/>
      <name val="Aptos Narrow"/>
      <family val="2"/>
      <scheme val="minor"/>
    </font>
    <font>
      <sz val="11"/>
      <color theme="1"/>
      <name val="DengXian"/>
      <family val="3"/>
      <charset val="134"/>
    </font>
    <font>
      <sz val="7"/>
      <color theme="1"/>
      <name val="Times New Roman"/>
      <family val="1"/>
    </font>
    <font>
      <sz val="11"/>
      <color rgb="FF000000"/>
      <name val="DengXian"/>
      <family val="3"/>
      <charset val="134"/>
    </font>
    <font>
      <sz val="7"/>
      <color theme="1"/>
      <name val="DengXian"/>
      <family val="1"/>
      <charset val="134"/>
    </font>
    <font>
      <sz val="10"/>
      <color theme="1"/>
      <name val="Aptos Narrow"/>
      <family val="2"/>
      <scheme val="minor"/>
    </font>
    <font>
      <b/>
      <sz val="10"/>
      <color theme="1"/>
      <name val="Aptos Narrow"/>
      <family val="2"/>
      <scheme val="minor"/>
    </font>
    <font>
      <b/>
      <sz val="11"/>
      <color theme="1"/>
      <name val="Aptos Narrow"/>
      <family val="2"/>
      <scheme val="minor"/>
    </font>
    <font>
      <b/>
      <sz val="8"/>
      <color theme="1"/>
      <name val="微软雅黑"/>
      <family val="2"/>
      <charset val="134"/>
    </font>
    <font>
      <u/>
      <sz val="11"/>
      <color theme="10"/>
      <name val="Aptos Narrow"/>
      <family val="2"/>
      <scheme val="minor"/>
    </font>
    <font>
      <b/>
      <sz val="10"/>
      <name val="Aptos Narrow"/>
      <family val="3"/>
      <charset val="134"/>
      <scheme val="minor"/>
    </font>
    <font>
      <sz val="10"/>
      <color theme="1"/>
      <name val="Aptos Narrow"/>
      <family val="3"/>
      <charset val="134"/>
      <scheme val="minor"/>
    </font>
    <font>
      <sz val="10"/>
      <color rgb="FFFF0000"/>
      <name val="Aptos Narrow"/>
      <family val="3"/>
      <charset val="134"/>
      <scheme val="minor"/>
    </font>
    <font>
      <b/>
      <sz val="11"/>
      <color rgb="FFFF0000"/>
      <name val="Aptos Narrow"/>
      <family val="3"/>
      <charset val="134"/>
      <scheme val="minor"/>
    </font>
    <font>
      <sz val="12"/>
      <color theme="1"/>
      <name val="Aptos Narrow"/>
      <family val="2"/>
      <charset val="134"/>
      <scheme val="minor"/>
    </font>
    <font>
      <b/>
      <sz val="12"/>
      <color rgb="FF0A990A"/>
      <name val="微软雅黑"/>
      <family val="2"/>
      <charset val="134"/>
    </font>
    <font>
      <sz val="11"/>
      <color theme="1"/>
      <name val="Aptos Narrow"/>
      <family val="3"/>
      <charset val="134"/>
      <scheme val="minor"/>
    </font>
    <font>
      <sz val="9"/>
      <color rgb="FF404040"/>
      <name val="Arial"/>
      <family val="2"/>
      <charset val="134"/>
    </font>
  </fonts>
  <fills count="22">
    <fill>
      <patternFill patternType="none"/>
    </fill>
    <fill>
      <patternFill patternType="gray125"/>
    </fill>
    <fill>
      <patternFill patternType="solid">
        <fgColor rgb="FFFFFF00"/>
        <bgColor indexed="64"/>
      </patternFill>
    </fill>
    <fill>
      <patternFill patternType="solid">
        <fgColor theme="4" tint="0.79998168889431442"/>
        <bgColor indexed="64"/>
      </patternFill>
    </fill>
    <fill>
      <patternFill patternType="solid">
        <fgColor rgb="FF00B0F0"/>
        <bgColor indexed="64"/>
      </patternFill>
    </fill>
    <fill>
      <patternFill patternType="solid">
        <fgColor theme="3" tint="0.89999084444715716"/>
        <bgColor indexed="64"/>
      </patternFill>
    </fill>
    <fill>
      <patternFill patternType="solid">
        <fgColor rgb="FFFF0000"/>
        <bgColor indexed="64"/>
      </patternFill>
    </fill>
    <fill>
      <patternFill patternType="solid">
        <fgColor rgb="FFFFC000"/>
        <bgColor indexed="64"/>
      </patternFill>
    </fill>
    <fill>
      <patternFill patternType="solid">
        <fgColor rgb="FF0070C0"/>
        <bgColor indexed="64"/>
      </patternFill>
    </fill>
    <fill>
      <patternFill patternType="solid">
        <fgColor theme="2" tint="-9.9978637043366805E-2"/>
        <bgColor indexed="64"/>
      </patternFill>
    </fill>
    <fill>
      <patternFill patternType="solid">
        <fgColor theme="0"/>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rgb="FF92D050"/>
        <bgColor indexed="64"/>
      </patternFill>
    </fill>
    <fill>
      <patternFill patternType="solid">
        <fgColor theme="5" tint="0.79998168889431442"/>
        <bgColor indexed="64"/>
      </patternFill>
    </fill>
    <fill>
      <patternFill patternType="solid">
        <fgColor theme="9" tint="0.79998168889431442"/>
        <bgColor theme="4" tint="0.79998168889431442"/>
      </patternFill>
    </fill>
    <fill>
      <patternFill patternType="solid">
        <fgColor theme="9" tint="0.79998168889431442"/>
        <bgColor indexed="64"/>
      </patternFill>
    </fill>
    <fill>
      <patternFill patternType="solid">
        <fgColor theme="0" tint="-0.249977111117893"/>
        <bgColor indexed="64"/>
      </patternFill>
    </fill>
    <fill>
      <patternFill patternType="solid">
        <fgColor theme="2"/>
        <bgColor indexed="64"/>
      </patternFill>
    </fill>
    <fill>
      <patternFill patternType="solid">
        <fgColor theme="8" tint="0.79998168889431442"/>
        <bgColor indexed="64"/>
      </patternFill>
    </fill>
    <fill>
      <patternFill patternType="solid">
        <fgColor theme="4" tint="0.39997558519241921"/>
        <bgColor indexed="64"/>
      </patternFill>
    </fill>
    <fill>
      <patternFill patternType="solid">
        <fgColor theme="9" tint="0.59999389629810485"/>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auto="1"/>
      </left>
      <right style="thin">
        <color auto="1"/>
      </right>
      <top/>
      <bottom/>
      <diagonal/>
    </border>
    <border>
      <left/>
      <right/>
      <top/>
      <bottom style="thin">
        <color theme="4" tint="0.39997558519241921"/>
      </bottom>
      <diagonal/>
    </border>
    <border>
      <left/>
      <right/>
      <top style="thin">
        <color theme="4" tint="0.39997558519241921"/>
      </top>
      <bottom/>
      <diagonal/>
    </border>
    <border>
      <left/>
      <right/>
      <top style="thin">
        <color indexed="64"/>
      </top>
      <bottom/>
      <diagonal/>
    </border>
    <border>
      <left/>
      <right style="thin">
        <color auto="1"/>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2">
    <xf numFmtId="0" fontId="0" fillId="0" borderId="0">
      <alignment vertical="center"/>
    </xf>
    <xf numFmtId="164" fontId="1" fillId="0" borderId="0" applyFont="0" applyFill="0" applyBorder="0" applyAlignment="0" applyProtection="0">
      <alignment vertical="center"/>
    </xf>
    <xf numFmtId="9" fontId="1" fillId="0" borderId="0" applyFont="0" applyFill="0" applyBorder="0" applyAlignment="0" applyProtection="0">
      <alignment vertical="center"/>
    </xf>
    <xf numFmtId="43" fontId="1" fillId="0" borderId="0" applyFont="0" applyFill="0" applyBorder="0" applyAlignment="0" applyProtection="0">
      <alignment vertical="center"/>
    </xf>
    <xf numFmtId="168" fontId="11" fillId="0" borderId="0"/>
    <xf numFmtId="0" fontId="18" fillId="0" borderId="0"/>
    <xf numFmtId="9" fontId="18" fillId="0" borderId="0" applyFont="0" applyFill="0" applyBorder="0" applyAlignment="0" applyProtection="0">
      <alignment vertical="center"/>
    </xf>
    <xf numFmtId="164" fontId="18" fillId="0" borderId="0" applyFont="0" applyFill="0" applyBorder="0" applyAlignment="0" applyProtection="0">
      <alignment vertical="center"/>
    </xf>
    <xf numFmtId="9" fontId="1" fillId="0" borderId="0" applyFont="0" applyFill="0" applyBorder="0" applyAlignment="0" applyProtection="0">
      <alignment vertical="center"/>
    </xf>
    <xf numFmtId="0" fontId="1" fillId="0" borderId="0">
      <alignment vertical="center"/>
    </xf>
    <xf numFmtId="0" fontId="49" fillId="0" borderId="0" applyNumberFormat="0" applyFill="0" applyBorder="0" applyAlignment="0" applyProtection="0"/>
    <xf numFmtId="0" fontId="18" fillId="0" borderId="0"/>
  </cellStyleXfs>
  <cellXfs count="527">
    <xf numFmtId="0" fontId="0" fillId="0" borderId="0" xfId="0">
      <alignment vertical="center"/>
    </xf>
    <xf numFmtId="0" fontId="0" fillId="0" borderId="1" xfId="0" applyBorder="1" applyAlignment="1">
      <alignment horizontal="center" vertical="center"/>
    </xf>
    <xf numFmtId="0" fontId="0" fillId="0" borderId="0" xfId="0" applyAlignment="1">
      <alignment horizontal="center" vertical="center"/>
    </xf>
    <xf numFmtId="166" fontId="0" fillId="0" borderId="0" xfId="2" applyNumberFormat="1" applyFont="1">
      <alignment vertical="center"/>
    </xf>
    <xf numFmtId="0" fontId="0" fillId="0" borderId="0" xfId="0" applyAlignment="1">
      <alignment horizontal="left" vertical="center"/>
    </xf>
    <xf numFmtId="0" fontId="0" fillId="2" borderId="0" xfId="0" applyFill="1" applyAlignment="1">
      <alignment horizontal="center" vertical="center"/>
    </xf>
    <xf numFmtId="0" fontId="4" fillId="0" borderId="0" xfId="0" applyFont="1" applyAlignment="1">
      <alignment horizontal="center" vertical="center"/>
    </xf>
    <xf numFmtId="0" fontId="0" fillId="3" borderId="0" xfId="0" applyFill="1" applyAlignment="1">
      <alignment vertical="top"/>
    </xf>
    <xf numFmtId="0" fontId="0" fillId="3" borderId="0" xfId="0" applyFill="1" applyAlignment="1">
      <alignment vertical="top" wrapText="1"/>
    </xf>
    <xf numFmtId="0" fontId="4" fillId="3" borderId="0" xfId="0" applyFont="1" applyFill="1" applyAlignment="1">
      <alignment vertical="top"/>
    </xf>
    <xf numFmtId="0" fontId="4" fillId="3" borderId="0" xfId="0" applyFont="1" applyFill="1" applyAlignment="1">
      <alignment horizontal="left" vertical="top"/>
    </xf>
    <xf numFmtId="0" fontId="4" fillId="3" borderId="0" xfId="0" applyFont="1" applyFill="1" applyAlignment="1">
      <alignment horizontal="center" vertical="top" wrapText="1"/>
    </xf>
    <xf numFmtId="0" fontId="5" fillId="0" borderId="0" xfId="0" applyFont="1">
      <alignment vertical="center"/>
    </xf>
    <xf numFmtId="0" fontId="5" fillId="0" borderId="0" xfId="0" applyFont="1" applyAlignment="1">
      <alignment horizontal="center" vertical="center"/>
    </xf>
    <xf numFmtId="0" fontId="5" fillId="0" borderId="0" xfId="0" applyFont="1" applyAlignment="1">
      <alignment horizontal="left" vertical="center"/>
    </xf>
    <xf numFmtId="49" fontId="5" fillId="0" borderId="0" xfId="0" applyNumberFormat="1" applyFont="1" applyAlignment="1">
      <alignment horizontal="left" vertical="center"/>
    </xf>
    <xf numFmtId="43" fontId="5" fillId="0" borderId="0" xfId="3" applyFont="1">
      <alignment vertical="center"/>
    </xf>
    <xf numFmtId="0" fontId="5" fillId="2" borderId="0" xfId="0" applyFont="1" applyFill="1">
      <alignment vertical="center"/>
    </xf>
    <xf numFmtId="0" fontId="5" fillId="2" borderId="0" xfId="0" applyFont="1" applyFill="1" applyAlignment="1">
      <alignment horizontal="center" vertical="center"/>
    </xf>
    <xf numFmtId="0" fontId="5" fillId="2" borderId="0" xfId="0" applyFont="1" applyFill="1" applyAlignment="1">
      <alignment horizontal="left" vertical="center"/>
    </xf>
    <xf numFmtId="49" fontId="5" fillId="2" borderId="0" xfId="0" applyNumberFormat="1" applyFont="1" applyFill="1" applyAlignment="1">
      <alignment horizontal="left" vertical="center"/>
    </xf>
    <xf numFmtId="43" fontId="5" fillId="2" borderId="0" xfId="3" applyFont="1" applyFill="1">
      <alignment vertical="center"/>
    </xf>
    <xf numFmtId="49" fontId="0" fillId="0" borderId="0" xfId="0" applyNumberFormat="1" applyAlignment="1">
      <alignment horizontal="left" vertical="center"/>
    </xf>
    <xf numFmtId="43" fontId="0" fillId="0" borderId="0" xfId="3" applyFont="1">
      <alignment vertical="center"/>
    </xf>
    <xf numFmtId="49" fontId="0" fillId="0" borderId="0" xfId="0" applyNumberFormat="1">
      <alignment vertical="center"/>
    </xf>
    <xf numFmtId="49" fontId="5" fillId="0" borderId="0" xfId="0" applyNumberFormat="1" applyFont="1">
      <alignment vertical="center"/>
    </xf>
    <xf numFmtId="0" fontId="0" fillId="4" borderId="0" xfId="0" applyFill="1">
      <alignment vertical="center"/>
    </xf>
    <xf numFmtId="0" fontId="0" fillId="4" borderId="0" xfId="0" applyFill="1" applyAlignment="1">
      <alignment horizontal="center" vertical="center"/>
    </xf>
    <xf numFmtId="0" fontId="0" fillId="4" borderId="0" xfId="0" applyFill="1" applyAlignment="1">
      <alignment horizontal="left" vertical="center"/>
    </xf>
    <xf numFmtId="49" fontId="0" fillId="4" borderId="0" xfId="0" applyNumberFormat="1" applyFill="1">
      <alignment vertical="center"/>
    </xf>
    <xf numFmtId="43" fontId="0" fillId="4" borderId="0" xfId="3" applyFont="1" applyFill="1">
      <alignment vertical="center"/>
    </xf>
    <xf numFmtId="164" fontId="0" fillId="0" borderId="0" xfId="0" applyNumberFormat="1">
      <alignment vertical="center"/>
    </xf>
    <xf numFmtId="0" fontId="0" fillId="5" borderId="0" xfId="0" applyFill="1" applyAlignment="1">
      <alignment horizontal="center" vertical="center"/>
    </xf>
    <xf numFmtId="0" fontId="4" fillId="0" borderId="1" xfId="0" applyFont="1" applyBorder="1" applyAlignment="1">
      <alignment horizontal="center" vertical="center"/>
    </xf>
    <xf numFmtId="0" fontId="4" fillId="2" borderId="1" xfId="0" applyFont="1" applyFill="1" applyBorder="1" applyAlignment="1">
      <alignment horizontal="center" vertical="top" wrapText="1"/>
    </xf>
    <xf numFmtId="0" fontId="4" fillId="0" borderId="1" xfId="0" applyFont="1" applyBorder="1" applyAlignment="1">
      <alignment horizontal="center" vertical="top"/>
    </xf>
    <xf numFmtId="165" fontId="4" fillId="0" borderId="1" xfId="1" applyNumberFormat="1" applyFont="1" applyBorder="1" applyAlignment="1">
      <alignment horizontal="center" vertical="top" wrapText="1"/>
    </xf>
    <xf numFmtId="0" fontId="4" fillId="5" borderId="1" xfId="0" applyFont="1" applyFill="1" applyBorder="1" applyAlignment="1">
      <alignment horizontal="center" vertical="top" wrapText="1"/>
    </xf>
    <xf numFmtId="165" fontId="8" fillId="0" borderId="1" xfId="1" applyNumberFormat="1" applyFont="1" applyFill="1" applyBorder="1" applyAlignment="1">
      <alignment horizontal="center" vertical="top" wrapText="1"/>
    </xf>
    <xf numFmtId="0" fontId="4" fillId="0" borderId="1" xfId="0" applyFont="1" applyBorder="1" applyAlignment="1">
      <alignment horizontal="center" vertical="top" wrapText="1"/>
    </xf>
    <xf numFmtId="165" fontId="8" fillId="2" borderId="1" xfId="1" applyNumberFormat="1" applyFont="1" applyFill="1" applyBorder="1" applyAlignment="1">
      <alignment horizontal="center" vertical="top" wrapText="1"/>
    </xf>
    <xf numFmtId="165" fontId="4" fillId="0" borderId="1" xfId="1" applyNumberFormat="1" applyFont="1" applyBorder="1" applyAlignment="1">
      <alignment horizontal="center" vertical="top"/>
    </xf>
    <xf numFmtId="0" fontId="4" fillId="2" borderId="1" xfId="0" applyFont="1" applyFill="1" applyBorder="1" applyAlignment="1">
      <alignment horizontal="center" vertical="top"/>
    </xf>
    <xf numFmtId="14" fontId="5" fillId="2" borderId="1" xfId="0" applyNumberFormat="1" applyFont="1" applyFill="1" applyBorder="1" applyAlignment="1">
      <alignment horizontal="center" vertical="center"/>
    </xf>
    <xf numFmtId="0" fontId="5" fillId="2" borderId="1" xfId="0" applyFont="1" applyFill="1" applyBorder="1" applyAlignment="1">
      <alignment horizontal="center" vertical="center"/>
    </xf>
    <xf numFmtId="0" fontId="0" fillId="0" borderId="0" xfId="0" applyFill="1" applyAlignment="1">
      <alignment horizontal="center" vertical="center"/>
    </xf>
    <xf numFmtId="0" fontId="9" fillId="6" borderId="0" xfId="0" applyFont="1" applyFill="1" applyAlignment="1">
      <alignment horizontal="center" vertical="center"/>
    </xf>
    <xf numFmtId="0" fontId="0" fillId="2" borderId="0" xfId="0" applyFill="1">
      <alignment vertical="center"/>
    </xf>
    <xf numFmtId="164" fontId="10" fillId="0" borderId="1" xfId="1" applyFont="1" applyBorder="1" applyAlignment="1">
      <alignment horizontal="center" vertical="center"/>
    </xf>
    <xf numFmtId="0" fontId="4" fillId="2" borderId="2" xfId="0" applyFont="1" applyFill="1" applyBorder="1" applyAlignment="1">
      <alignment horizontal="center" vertical="top" wrapText="1"/>
    </xf>
    <xf numFmtId="0" fontId="4" fillId="2" borderId="2" xfId="0" applyFont="1" applyFill="1" applyBorder="1" applyAlignment="1">
      <alignment horizontal="center" vertical="top"/>
    </xf>
    <xf numFmtId="0" fontId="4" fillId="0" borderId="2" xfId="0" applyFont="1" applyBorder="1" applyAlignment="1">
      <alignment horizontal="center" vertical="top"/>
    </xf>
    <xf numFmtId="165" fontId="4" fillId="0" borderId="2" xfId="1" applyNumberFormat="1" applyFont="1" applyBorder="1" applyAlignment="1">
      <alignment horizontal="center" vertical="top" wrapText="1"/>
    </xf>
    <xf numFmtId="165" fontId="4" fillId="0" borderId="2" xfId="1" applyNumberFormat="1" applyFont="1" applyBorder="1" applyAlignment="1">
      <alignment horizontal="center" vertical="top"/>
    </xf>
    <xf numFmtId="165" fontId="8" fillId="0" borderId="2" xfId="1" applyNumberFormat="1" applyFont="1" applyFill="1" applyBorder="1" applyAlignment="1">
      <alignment horizontal="center" vertical="top" wrapText="1"/>
    </xf>
    <xf numFmtId="0" fontId="4" fillId="0" borderId="2" xfId="0" applyFont="1" applyBorder="1" applyAlignment="1">
      <alignment horizontal="center" vertical="top" wrapText="1"/>
    </xf>
    <xf numFmtId="164" fontId="10" fillId="0" borderId="0" xfId="1" applyFont="1" applyBorder="1" applyAlignment="1">
      <alignment horizontal="center" vertical="center"/>
    </xf>
    <xf numFmtId="14" fontId="10" fillId="2" borderId="0" xfId="0" applyNumberFormat="1" applyFont="1" applyFill="1" applyBorder="1" applyAlignment="1">
      <alignment horizontal="center" vertical="center"/>
    </xf>
    <xf numFmtId="0" fontId="10" fillId="2" borderId="0" xfId="0" applyFont="1" applyFill="1" applyBorder="1" applyAlignment="1">
      <alignment horizontal="center" vertical="center"/>
    </xf>
    <xf numFmtId="0" fontId="10" fillId="0" borderId="0" xfId="0" applyFont="1" applyBorder="1" applyAlignment="1">
      <alignment horizontal="center" vertical="center"/>
    </xf>
    <xf numFmtId="165" fontId="10" fillId="0" borderId="0" xfId="1" applyNumberFormat="1" applyFont="1" applyBorder="1" applyAlignment="1">
      <alignment horizontal="center" vertical="center"/>
    </xf>
    <xf numFmtId="165" fontId="10" fillId="0" borderId="0" xfId="1" applyNumberFormat="1" applyFont="1" applyFill="1" applyBorder="1">
      <alignment vertical="center"/>
    </xf>
    <xf numFmtId="2" fontId="10" fillId="0" borderId="0" xfId="0" applyNumberFormat="1" applyFont="1" applyFill="1" applyBorder="1" applyAlignment="1">
      <alignment horizontal="center" vertical="center"/>
    </xf>
    <xf numFmtId="167" fontId="10" fillId="0" borderId="0" xfId="1" applyNumberFormat="1" applyFont="1" applyBorder="1" applyAlignment="1">
      <alignment horizontal="center" vertical="center"/>
    </xf>
    <xf numFmtId="0" fontId="4" fillId="0" borderId="0" xfId="0" applyFont="1" applyAlignment="1">
      <alignment horizontal="center" vertical="top"/>
    </xf>
    <xf numFmtId="0" fontId="0" fillId="0" borderId="0" xfId="0" pivotButton="1">
      <alignment vertical="center"/>
    </xf>
    <xf numFmtId="10" fontId="0" fillId="0" borderId="0" xfId="2" applyNumberFormat="1" applyFont="1">
      <alignment vertical="center"/>
    </xf>
    <xf numFmtId="10" fontId="0" fillId="0" borderId="0" xfId="0" pivotButton="1" applyNumberFormat="1">
      <alignment vertical="center"/>
    </xf>
    <xf numFmtId="10" fontId="0" fillId="0" borderId="0" xfId="0" applyNumberFormat="1">
      <alignment vertical="center"/>
    </xf>
    <xf numFmtId="2" fontId="0" fillId="0" borderId="0" xfId="0" applyNumberFormat="1">
      <alignment vertical="center"/>
    </xf>
    <xf numFmtId="10" fontId="0" fillId="2" borderId="0" xfId="0" applyNumberFormat="1" applyFill="1">
      <alignment vertical="center"/>
    </xf>
    <xf numFmtId="2" fontId="0" fillId="2" borderId="0" xfId="0" applyNumberFormat="1" applyFill="1">
      <alignment vertical="center"/>
    </xf>
    <xf numFmtId="0" fontId="13" fillId="2" borderId="1" xfId="0" applyFont="1" applyFill="1" applyBorder="1" applyAlignment="1">
      <alignment horizontal="center" vertical="center"/>
    </xf>
    <xf numFmtId="0" fontId="12" fillId="0" borderId="0" xfId="0" applyFont="1" applyAlignment="1">
      <alignment horizontal="center" vertical="center"/>
    </xf>
    <xf numFmtId="0" fontId="14" fillId="0" borderId="1" xfId="0" applyFont="1" applyBorder="1" applyAlignment="1">
      <alignment horizontal="center" vertical="center"/>
    </xf>
    <xf numFmtId="0" fontId="14" fillId="0" borderId="0" xfId="0" applyFont="1" applyAlignment="1">
      <alignment horizontal="center" vertical="center"/>
    </xf>
    <xf numFmtId="0" fontId="14" fillId="0" borderId="0" xfId="0" applyFont="1">
      <alignment vertical="center"/>
    </xf>
    <xf numFmtId="14" fontId="13" fillId="2" borderId="1" xfId="0" applyNumberFormat="1" applyFont="1" applyFill="1" applyBorder="1" applyAlignment="1">
      <alignment horizontal="center" vertical="center"/>
    </xf>
    <xf numFmtId="9" fontId="13" fillId="2" borderId="1" xfId="0" applyNumberFormat="1" applyFont="1" applyFill="1" applyBorder="1" applyAlignment="1">
      <alignment horizontal="center"/>
    </xf>
    <xf numFmtId="10" fontId="13" fillId="2" borderId="1" xfId="0" applyNumberFormat="1" applyFont="1" applyFill="1" applyBorder="1" applyAlignment="1">
      <alignment horizontal="center"/>
    </xf>
    <xf numFmtId="0" fontId="13" fillId="0" borderId="1" xfId="0" applyFont="1" applyBorder="1" applyAlignment="1">
      <alignment horizontal="center" vertical="center"/>
    </xf>
    <xf numFmtId="164" fontId="13" fillId="0" borderId="1" xfId="1" applyFont="1" applyBorder="1" applyAlignment="1">
      <alignment horizontal="center" vertical="center"/>
    </xf>
    <xf numFmtId="165" fontId="13" fillId="0" borderId="1" xfId="1" applyNumberFormat="1" applyFont="1" applyBorder="1" applyAlignment="1">
      <alignment horizontal="center" vertical="center"/>
    </xf>
    <xf numFmtId="165" fontId="13" fillId="0" borderId="1" xfId="1" applyNumberFormat="1" applyFont="1" applyFill="1" applyBorder="1" applyAlignment="1">
      <alignment horizontal="center" vertical="center"/>
    </xf>
    <xf numFmtId="166" fontId="13" fillId="2" borderId="1" xfId="2" applyNumberFormat="1" applyFont="1" applyFill="1" applyBorder="1" applyAlignment="1">
      <alignment horizontal="center" vertical="center"/>
    </xf>
    <xf numFmtId="2" fontId="13" fillId="0" borderId="1" xfId="0" applyNumberFormat="1" applyFont="1" applyFill="1" applyBorder="1" applyAlignment="1">
      <alignment horizontal="center" vertical="center"/>
    </xf>
    <xf numFmtId="167" fontId="13" fillId="5" borderId="1" xfId="1" applyNumberFormat="1" applyFont="1" applyFill="1" applyBorder="1" applyAlignment="1">
      <alignment horizontal="center" vertical="center"/>
    </xf>
    <xf numFmtId="9" fontId="12" fillId="0" borderId="0" xfId="2" applyFont="1" applyAlignment="1">
      <alignment horizontal="center" vertical="center"/>
    </xf>
    <xf numFmtId="9" fontId="14" fillId="0" borderId="0" xfId="2" applyFont="1" applyAlignment="1">
      <alignment horizontal="center" vertical="center"/>
    </xf>
    <xf numFmtId="166" fontId="12" fillId="0" borderId="0" xfId="0" applyNumberFormat="1" applyFont="1" applyAlignment="1">
      <alignment horizontal="center" vertical="center"/>
    </xf>
    <xf numFmtId="0" fontId="4" fillId="2" borderId="0" xfId="0" applyFont="1" applyFill="1" applyAlignment="1">
      <alignment horizontal="center" vertical="top" wrapText="1"/>
    </xf>
    <xf numFmtId="0" fontId="4" fillId="0" borderId="0" xfId="0" applyFont="1" applyBorder="1" applyAlignment="1">
      <alignment horizontal="center" vertical="top" wrapText="1"/>
    </xf>
    <xf numFmtId="10" fontId="13" fillId="0" borderId="0" xfId="2" applyNumberFormat="1" applyFont="1" applyBorder="1" applyAlignment="1">
      <alignment horizontal="center" vertical="center"/>
    </xf>
    <xf numFmtId="0" fontId="15" fillId="0" borderId="1" xfId="0" applyFont="1" applyBorder="1" applyAlignment="1">
      <alignment horizontal="center" vertical="center"/>
    </xf>
    <xf numFmtId="0" fontId="4" fillId="0" borderId="0" xfId="0" applyFont="1">
      <alignment vertical="center"/>
    </xf>
    <xf numFmtId="0" fontId="4" fillId="5" borderId="0" xfId="0" applyFont="1" applyFill="1" applyAlignment="1">
      <alignment horizontal="center" vertical="center"/>
    </xf>
    <xf numFmtId="10" fontId="16" fillId="5" borderId="1" xfId="2" applyNumberFormat="1" applyFont="1" applyFill="1" applyBorder="1" applyAlignment="1">
      <alignment horizontal="center" vertical="center"/>
    </xf>
    <xf numFmtId="10" fontId="8" fillId="5" borderId="1" xfId="2" applyNumberFormat="1" applyFont="1" applyFill="1" applyBorder="1" applyAlignment="1">
      <alignment horizontal="center" vertical="center"/>
    </xf>
    <xf numFmtId="166" fontId="0" fillId="2" borderId="0" xfId="2" applyNumberFormat="1" applyFont="1" applyFill="1" applyAlignment="1">
      <alignment horizontal="center" vertical="center"/>
    </xf>
    <xf numFmtId="166" fontId="4" fillId="2" borderId="1" xfId="2" applyNumberFormat="1" applyFont="1" applyFill="1" applyBorder="1" applyAlignment="1">
      <alignment horizontal="center" vertical="top" wrapText="1"/>
    </xf>
    <xf numFmtId="166" fontId="13" fillId="2" borderId="1" xfId="2" applyNumberFormat="1" applyFont="1" applyFill="1" applyBorder="1" applyAlignment="1">
      <alignment horizontal="center"/>
    </xf>
    <xf numFmtId="167" fontId="10" fillId="0" borderId="0" xfId="1" applyNumberFormat="1" applyFont="1">
      <alignment vertical="center"/>
    </xf>
    <xf numFmtId="167" fontId="10" fillId="5" borderId="0" xfId="1" applyNumberFormat="1" applyFont="1" applyFill="1" applyAlignment="1">
      <alignment horizontal="center" vertical="center"/>
    </xf>
    <xf numFmtId="167" fontId="17" fillId="5" borderId="1" xfId="1" applyNumberFormat="1" applyFont="1" applyFill="1" applyBorder="1" applyAlignment="1">
      <alignment horizontal="center" vertical="top" wrapText="1"/>
    </xf>
    <xf numFmtId="167" fontId="0" fillId="0" borderId="0" xfId="0" applyNumberFormat="1">
      <alignment vertical="center"/>
    </xf>
    <xf numFmtId="164" fontId="12" fillId="2" borderId="0" xfId="1" applyFont="1" applyFill="1" applyAlignment="1">
      <alignment horizontal="center" vertical="center"/>
    </xf>
    <xf numFmtId="166" fontId="12" fillId="2" borderId="1" xfId="2" applyNumberFormat="1" applyFont="1" applyFill="1" applyBorder="1" applyAlignment="1">
      <alignment horizontal="center" vertical="center"/>
    </xf>
    <xf numFmtId="164" fontId="0" fillId="0" borderId="0" xfId="1" applyFont="1" applyFill="1">
      <alignment vertical="center"/>
    </xf>
    <xf numFmtId="164" fontId="0" fillId="0" borderId="0" xfId="1" applyFont="1" applyFill="1" applyAlignment="1">
      <alignment horizontal="center" vertical="center"/>
    </xf>
    <xf numFmtId="164" fontId="10" fillId="0" borderId="0" xfId="1" applyFont="1" applyFill="1" applyBorder="1" applyAlignment="1">
      <alignment horizontal="center" vertical="center"/>
    </xf>
    <xf numFmtId="164" fontId="12" fillId="0" borderId="0" xfId="1" applyFont="1" applyFill="1" applyAlignment="1">
      <alignment horizontal="center" vertical="center"/>
    </xf>
    <xf numFmtId="0" fontId="14" fillId="2" borderId="1" xfId="0" applyFont="1" applyFill="1" applyBorder="1" applyAlignment="1">
      <alignment horizontal="center" vertical="center"/>
    </xf>
    <xf numFmtId="164" fontId="13" fillId="2" borderId="1" xfId="1" applyFont="1" applyFill="1" applyBorder="1" applyAlignment="1">
      <alignment horizontal="center" vertical="center"/>
    </xf>
    <xf numFmtId="165" fontId="13" fillId="2" borderId="1" xfId="1" applyNumberFormat="1" applyFont="1" applyFill="1" applyBorder="1" applyAlignment="1">
      <alignment horizontal="center" vertical="center"/>
    </xf>
    <xf numFmtId="2" fontId="13" fillId="2" borderId="1" xfId="0" applyNumberFormat="1" applyFont="1" applyFill="1" applyBorder="1" applyAlignment="1">
      <alignment horizontal="center" vertical="center"/>
    </xf>
    <xf numFmtId="167" fontId="13" fillId="2" borderId="1" xfId="1" applyNumberFormat="1" applyFont="1" applyFill="1" applyBorder="1" applyAlignment="1">
      <alignment horizontal="center" vertical="center"/>
    </xf>
    <xf numFmtId="10" fontId="16" fillId="2" borderId="1" xfId="2" applyNumberFormat="1" applyFont="1" applyFill="1" applyBorder="1" applyAlignment="1">
      <alignment horizontal="center" vertical="center"/>
    </xf>
    <xf numFmtId="10" fontId="13" fillId="2" borderId="0" xfId="2" applyNumberFormat="1" applyFont="1" applyFill="1" applyBorder="1" applyAlignment="1">
      <alignment horizontal="center" vertical="center"/>
    </xf>
    <xf numFmtId="9" fontId="12" fillId="2" borderId="0" xfId="2" applyFont="1" applyFill="1" applyAlignment="1">
      <alignment horizontal="center" vertical="center"/>
    </xf>
    <xf numFmtId="166" fontId="12" fillId="2" borderId="0" xfId="0" applyNumberFormat="1" applyFont="1" applyFill="1" applyAlignment="1">
      <alignment horizontal="center" vertical="center"/>
    </xf>
    <xf numFmtId="0" fontId="12" fillId="2" borderId="0" xfId="0" applyFont="1" applyFill="1" applyAlignment="1">
      <alignment horizontal="center" vertical="center"/>
    </xf>
    <xf numFmtId="167" fontId="12" fillId="5" borderId="1" xfId="1" applyNumberFormat="1" applyFont="1" applyFill="1" applyBorder="1" applyAlignment="1">
      <alignment horizontal="center" vertical="center"/>
    </xf>
    <xf numFmtId="165" fontId="12" fillId="0" borderId="0" xfId="1" applyNumberFormat="1" applyFont="1" applyAlignment="1">
      <alignment horizontal="center" vertical="center"/>
    </xf>
    <xf numFmtId="166" fontId="5" fillId="2" borderId="1" xfId="2" applyNumberFormat="1" applyFont="1" applyFill="1" applyBorder="1" applyAlignment="1">
      <alignment horizontal="center" vertical="center"/>
    </xf>
    <xf numFmtId="9" fontId="0" fillId="0" borderId="0" xfId="0" applyNumberFormat="1">
      <alignment vertical="center"/>
    </xf>
    <xf numFmtId="167" fontId="10" fillId="5" borderId="1" xfId="1" applyNumberFormat="1" applyFont="1" applyFill="1" applyBorder="1">
      <alignment vertical="center"/>
    </xf>
    <xf numFmtId="167" fontId="0" fillId="5" borderId="1" xfId="1" applyNumberFormat="1" applyFont="1" applyFill="1" applyBorder="1">
      <alignment vertical="center"/>
    </xf>
    <xf numFmtId="164" fontId="4" fillId="2" borderId="0" xfId="1" applyFont="1" applyFill="1" applyAlignment="1">
      <alignment horizontal="center" vertical="top"/>
    </xf>
    <xf numFmtId="164" fontId="13" fillId="0" borderId="0" xfId="1" applyFont="1" applyFill="1" applyAlignment="1">
      <alignment horizontal="center" vertical="center"/>
    </xf>
    <xf numFmtId="164" fontId="3" fillId="0" borderId="0" xfId="1" applyFont="1" applyFill="1">
      <alignment vertical="center"/>
    </xf>
    <xf numFmtId="0" fontId="10" fillId="2" borderId="1" xfId="0" applyFont="1" applyFill="1" applyBorder="1" applyAlignment="1">
      <alignment horizontal="center" vertical="center"/>
    </xf>
    <xf numFmtId="9" fontId="0" fillId="0" borderId="0" xfId="2" applyFont="1">
      <alignment vertical="center"/>
    </xf>
    <xf numFmtId="167" fontId="13" fillId="5" borderId="3" xfId="1" applyNumberFormat="1" applyFont="1" applyFill="1" applyBorder="1" applyAlignment="1">
      <alignment horizontal="center" vertical="center"/>
    </xf>
    <xf numFmtId="10" fontId="16" fillId="5" borderId="3" xfId="2" applyNumberFormat="1" applyFont="1" applyFill="1" applyBorder="1" applyAlignment="1">
      <alignment horizontal="center" vertical="center"/>
    </xf>
    <xf numFmtId="166" fontId="10" fillId="2" borderId="1" xfId="2" applyNumberFormat="1" applyFont="1" applyFill="1" applyBorder="1" applyAlignment="1">
      <alignment horizontal="center" vertical="center"/>
    </xf>
    <xf numFmtId="14" fontId="10" fillId="2" borderId="1" xfId="0" applyNumberFormat="1" applyFont="1" applyFill="1" applyBorder="1" applyAlignment="1">
      <alignment horizontal="center" vertical="center"/>
    </xf>
    <xf numFmtId="0" fontId="4" fillId="0" borderId="0" xfId="0" applyFont="1" applyAlignment="1">
      <alignment horizontal="center" vertical="top" wrapText="1"/>
    </xf>
    <xf numFmtId="167" fontId="10" fillId="0" borderId="1" xfId="1" applyNumberFormat="1" applyFont="1" applyBorder="1" applyAlignment="1">
      <alignment horizontal="center" vertical="center"/>
    </xf>
    <xf numFmtId="0" fontId="10" fillId="0" borderId="1" xfId="0" applyFont="1" applyBorder="1" applyAlignment="1">
      <alignment horizontal="center" vertical="center"/>
    </xf>
    <xf numFmtId="165" fontId="10" fillId="0" borderId="1" xfId="1" applyNumberFormat="1" applyFont="1" applyBorder="1" applyAlignment="1">
      <alignment horizontal="center" vertical="center"/>
    </xf>
    <xf numFmtId="166" fontId="10" fillId="0" borderId="1" xfId="2" applyNumberFormat="1" applyFont="1" applyBorder="1" applyAlignment="1">
      <alignment horizontal="center" vertical="center"/>
    </xf>
    <xf numFmtId="0" fontId="10" fillId="0" borderId="0" xfId="0" applyFont="1" applyAlignment="1">
      <alignment horizontal="center" vertical="center"/>
    </xf>
    <xf numFmtId="0" fontId="0" fillId="0" borderId="1" xfId="0" applyBorder="1">
      <alignment vertical="center"/>
    </xf>
    <xf numFmtId="166" fontId="0" fillId="0" borderId="1" xfId="2" applyNumberFormat="1" applyFont="1" applyBorder="1">
      <alignment vertical="center"/>
    </xf>
    <xf numFmtId="167" fontId="10" fillId="0" borderId="1" xfId="1" applyNumberFormat="1" applyFont="1" applyBorder="1">
      <alignment vertical="center"/>
    </xf>
    <xf numFmtId="0" fontId="4" fillId="0" borderId="1" xfId="0" applyFont="1" applyBorder="1">
      <alignment vertical="center"/>
    </xf>
    <xf numFmtId="164" fontId="14" fillId="0" borderId="0" xfId="0" applyNumberFormat="1" applyFont="1">
      <alignment vertical="center"/>
    </xf>
    <xf numFmtId="164" fontId="0" fillId="0" borderId="0" xfId="1" applyNumberFormat="1" applyFont="1">
      <alignment vertical="center"/>
    </xf>
    <xf numFmtId="167" fontId="0" fillId="0" borderId="1" xfId="1" applyNumberFormat="1" applyFont="1" applyBorder="1">
      <alignment vertical="center"/>
    </xf>
    <xf numFmtId="165" fontId="4" fillId="2" borderId="1" xfId="1" applyNumberFormat="1" applyFont="1" applyFill="1" applyBorder="1" applyAlignment="1">
      <alignment horizontal="center" vertical="top" wrapText="1"/>
    </xf>
    <xf numFmtId="0" fontId="0" fillId="2" borderId="1" xfId="0" applyFill="1" applyBorder="1">
      <alignment vertical="center"/>
    </xf>
    <xf numFmtId="166" fontId="0" fillId="0" borderId="0" xfId="0" applyNumberFormat="1">
      <alignment vertical="center"/>
    </xf>
    <xf numFmtId="166" fontId="10" fillId="2" borderId="0" xfId="2" applyNumberFormat="1" applyFont="1" applyFill="1" applyBorder="1" applyAlignment="1">
      <alignment horizontal="center" vertical="center"/>
    </xf>
    <xf numFmtId="9" fontId="10" fillId="2" borderId="0" xfId="2" applyFont="1" applyFill="1" applyAlignment="1">
      <alignment horizontal="center" vertical="center"/>
    </xf>
    <xf numFmtId="9" fontId="0" fillId="2" borderId="0" xfId="2" applyFont="1" applyFill="1" applyAlignment="1">
      <alignment horizontal="center" vertical="center"/>
    </xf>
    <xf numFmtId="10" fontId="0" fillId="2" borderId="0" xfId="0" applyNumberFormat="1" applyFill="1" applyAlignment="1">
      <alignment horizontal="center" vertical="center"/>
    </xf>
    <xf numFmtId="10" fontId="0" fillId="2" borderId="0" xfId="2" applyNumberFormat="1" applyFont="1" applyFill="1" applyAlignment="1">
      <alignment horizontal="center" vertical="center"/>
    </xf>
    <xf numFmtId="167" fontId="0" fillId="0" borderId="0" xfId="1" applyNumberFormat="1" applyFont="1">
      <alignment vertical="center"/>
    </xf>
    <xf numFmtId="164" fontId="10" fillId="0" borderId="0" xfId="1" applyNumberFormat="1" applyFont="1">
      <alignment vertical="center"/>
    </xf>
    <xf numFmtId="10" fontId="10" fillId="0" borderId="0" xfId="0" applyNumberFormat="1" applyFont="1" applyBorder="1" applyAlignment="1">
      <alignment horizontal="center" vertical="center"/>
    </xf>
    <xf numFmtId="164" fontId="10" fillId="2" borderId="1" xfId="1" applyFont="1" applyFill="1" applyBorder="1" applyAlignment="1">
      <alignment horizontal="center" vertical="center"/>
    </xf>
    <xf numFmtId="164" fontId="0" fillId="0" borderId="0" xfId="1" applyFont="1">
      <alignment vertical="center"/>
    </xf>
    <xf numFmtId="165" fontId="10" fillId="6" borderId="0" xfId="1" applyNumberFormat="1" applyFont="1" applyFill="1" applyBorder="1" applyAlignment="1">
      <alignment horizontal="center" vertical="center"/>
    </xf>
    <xf numFmtId="10" fontId="0" fillId="0" borderId="0" xfId="0" applyNumberFormat="1" applyAlignment="1">
      <alignment horizontal="center" vertical="center"/>
    </xf>
    <xf numFmtId="10" fontId="3" fillId="0" borderId="0" xfId="0" applyNumberFormat="1" applyFont="1" applyAlignment="1">
      <alignment horizontal="center" vertical="center"/>
    </xf>
    <xf numFmtId="0" fontId="18" fillId="0" borderId="0" xfId="5" applyAlignment="1">
      <alignment horizontal="center" vertical="center"/>
    </xf>
    <xf numFmtId="0" fontId="20" fillId="0" borderId="7" xfId="5" applyFont="1" applyBorder="1" applyAlignment="1">
      <alignment horizontal="center" vertical="center" wrapText="1"/>
    </xf>
    <xf numFmtId="0" fontId="20" fillId="0" borderId="0" xfId="5" applyFont="1" applyAlignment="1">
      <alignment horizontal="center" vertical="center" wrapText="1"/>
    </xf>
    <xf numFmtId="0" fontId="23" fillId="7" borderId="0" xfId="5" applyFont="1" applyFill="1" applyAlignment="1">
      <alignment horizontal="center" vertical="center"/>
    </xf>
    <xf numFmtId="0" fontId="18" fillId="0" borderId="0" xfId="5"/>
    <xf numFmtId="169" fontId="25" fillId="8" borderId="3" xfId="4" applyNumberFormat="1" applyFont="1" applyFill="1" applyBorder="1" applyAlignment="1">
      <alignment horizontal="center" vertical="center"/>
    </xf>
    <xf numFmtId="170" fontId="25" fillId="8" borderId="3" xfId="4" applyNumberFormat="1" applyFont="1" applyFill="1" applyBorder="1" applyAlignment="1">
      <alignment horizontal="center" vertical="center"/>
    </xf>
    <xf numFmtId="0" fontId="26" fillId="0" borderId="0" xfId="5" applyFont="1"/>
    <xf numFmtId="169" fontId="25" fillId="8" borderId="0" xfId="4" applyNumberFormat="1" applyFont="1" applyFill="1" applyAlignment="1">
      <alignment horizontal="center" vertical="center" wrapText="1"/>
    </xf>
    <xf numFmtId="170" fontId="25" fillId="8" borderId="1" xfId="4" applyNumberFormat="1" applyFont="1" applyFill="1" applyBorder="1" applyAlignment="1">
      <alignment horizontal="center" vertical="center"/>
    </xf>
    <xf numFmtId="49" fontId="25" fillId="8" borderId="1" xfId="4" applyNumberFormat="1" applyFont="1" applyFill="1" applyBorder="1" applyAlignment="1">
      <alignment horizontal="center" vertical="center"/>
    </xf>
    <xf numFmtId="168" fontId="29" fillId="0" borderId="2" xfId="4" applyFont="1" applyBorder="1" applyAlignment="1">
      <alignment horizontal="center" vertical="center"/>
    </xf>
    <xf numFmtId="168" fontId="29" fillId="9" borderId="2" xfId="4" applyFont="1" applyFill="1" applyBorder="1" applyAlignment="1">
      <alignment horizontal="center" vertical="center"/>
    </xf>
    <xf numFmtId="168" fontId="29" fillId="2" borderId="2" xfId="4" applyFont="1" applyFill="1" applyBorder="1" applyAlignment="1">
      <alignment horizontal="center" vertical="center"/>
    </xf>
    <xf numFmtId="168" fontId="27" fillId="2" borderId="1" xfId="4" applyFont="1" applyFill="1" applyBorder="1" applyAlignment="1">
      <alignment horizontal="left" vertical="center"/>
    </xf>
    <xf numFmtId="168" fontId="29" fillId="10" borderId="1" xfId="4" applyFont="1" applyFill="1" applyBorder="1" applyAlignment="1">
      <alignment horizontal="left" vertical="center"/>
    </xf>
    <xf numFmtId="169" fontId="29" fillId="0" borderId="1" xfId="4" applyNumberFormat="1" applyFont="1" applyBorder="1" applyAlignment="1">
      <alignment horizontal="center" vertical="center"/>
    </xf>
    <xf numFmtId="170" fontId="29" fillId="0" borderId="1" xfId="4" applyNumberFormat="1" applyFont="1" applyBorder="1" applyAlignment="1">
      <alignment horizontal="center" vertical="center"/>
    </xf>
    <xf numFmtId="170" fontId="30" fillId="11" borderId="1" xfId="4" applyNumberFormat="1" applyFont="1" applyFill="1" applyBorder="1" applyAlignment="1">
      <alignment horizontal="center" vertical="center"/>
    </xf>
    <xf numFmtId="166" fontId="31" fillId="11" borderId="1" xfId="6" applyNumberFormat="1" applyFont="1" applyFill="1" applyBorder="1" applyAlignment="1">
      <alignment horizontal="center" vertical="center"/>
    </xf>
    <xf numFmtId="166" fontId="29" fillId="0" borderId="1" xfId="6" applyNumberFormat="1" applyFont="1" applyBorder="1" applyAlignment="1">
      <alignment horizontal="center" vertical="center"/>
    </xf>
    <xf numFmtId="171" fontId="29" fillId="0" borderId="1" xfId="6" applyNumberFormat="1" applyFont="1" applyBorder="1" applyAlignment="1">
      <alignment horizontal="center" vertical="center"/>
    </xf>
    <xf numFmtId="166" fontId="30" fillId="11" borderId="1" xfId="6" applyNumberFormat="1" applyFont="1" applyFill="1" applyBorder="1" applyAlignment="1">
      <alignment horizontal="center" vertical="center"/>
    </xf>
    <xf numFmtId="166" fontId="27" fillId="0" borderId="1" xfId="6" applyNumberFormat="1" applyFont="1" applyBorder="1" applyAlignment="1">
      <alignment horizontal="center" vertical="center"/>
    </xf>
    <xf numFmtId="9" fontId="29" fillId="0" borderId="1" xfId="6" applyFont="1" applyBorder="1" applyAlignment="1">
      <alignment horizontal="center" vertical="center"/>
    </xf>
    <xf numFmtId="9" fontId="29" fillId="0" borderId="0" xfId="6" applyFont="1" applyBorder="1" applyAlignment="1">
      <alignment horizontal="center" vertical="center"/>
    </xf>
    <xf numFmtId="10" fontId="27" fillId="0" borderId="1" xfId="6" applyNumberFormat="1" applyFont="1" applyBorder="1" applyAlignment="1">
      <alignment horizontal="center" vertical="center"/>
    </xf>
    <xf numFmtId="10" fontId="27" fillId="7" borderId="1" xfId="6" applyNumberFormat="1" applyFont="1" applyFill="1" applyBorder="1" applyAlignment="1">
      <alignment horizontal="center" vertical="center"/>
    </xf>
    <xf numFmtId="2" fontId="27" fillId="0" borderId="1" xfId="6" applyNumberFormat="1" applyFont="1" applyBorder="1" applyAlignment="1">
      <alignment horizontal="center" vertical="center"/>
    </xf>
    <xf numFmtId="0" fontId="27" fillId="0" borderId="1" xfId="6" applyNumberFormat="1" applyFont="1" applyBorder="1" applyAlignment="1">
      <alignment horizontal="center" vertical="center"/>
    </xf>
    <xf numFmtId="171" fontId="27" fillId="0" borderId="1" xfId="6" applyNumberFormat="1" applyFont="1" applyBorder="1" applyAlignment="1">
      <alignment horizontal="center" vertical="center"/>
    </xf>
    <xf numFmtId="167" fontId="26" fillId="0" borderId="1" xfId="7" applyNumberFormat="1" applyFont="1" applyBorder="1" applyAlignment="1"/>
    <xf numFmtId="167" fontId="26" fillId="0" borderId="1" xfId="5" applyNumberFormat="1" applyFont="1" applyBorder="1"/>
    <xf numFmtId="166" fontId="26" fillId="0" borderId="0" xfId="6" applyNumberFormat="1" applyFont="1" applyAlignment="1"/>
    <xf numFmtId="168" fontId="29" fillId="12" borderId="1" xfId="4" applyFont="1" applyFill="1" applyBorder="1" applyAlignment="1">
      <alignment horizontal="left" vertical="center"/>
    </xf>
    <xf numFmtId="166" fontId="29" fillId="12" borderId="1" xfId="8" applyNumberFormat="1" applyFont="1" applyFill="1" applyBorder="1" applyAlignment="1">
      <alignment horizontal="center" vertical="center"/>
    </xf>
    <xf numFmtId="10" fontId="26" fillId="0" borderId="0" xfId="5" applyNumberFormat="1" applyFont="1"/>
    <xf numFmtId="170" fontId="29" fillId="12" borderId="1" xfId="4" applyNumberFormat="1" applyFont="1" applyFill="1" applyBorder="1" applyAlignment="1">
      <alignment horizontal="center" vertical="center"/>
    </xf>
    <xf numFmtId="166" fontId="32" fillId="12" borderId="1" xfId="9" applyNumberFormat="1" applyFont="1" applyFill="1" applyBorder="1" applyAlignment="1">
      <alignment horizontal="center" vertical="center" readingOrder="1"/>
    </xf>
    <xf numFmtId="10" fontId="31" fillId="3" borderId="1" xfId="6" applyNumberFormat="1" applyFont="1" applyFill="1" applyBorder="1" applyAlignment="1">
      <alignment horizontal="center" vertical="center"/>
    </xf>
    <xf numFmtId="168" fontId="29" fillId="13" borderId="2" xfId="4" applyFont="1" applyFill="1" applyBorder="1" applyAlignment="1">
      <alignment horizontal="center" vertical="center"/>
    </xf>
    <xf numFmtId="168" fontId="29" fillId="0" borderId="1" xfId="4" applyFont="1" applyBorder="1" applyAlignment="1">
      <alignment horizontal="left" vertical="center"/>
    </xf>
    <xf numFmtId="10" fontId="31" fillId="0" borderId="1" xfId="6" applyNumberFormat="1" applyFont="1" applyBorder="1" applyAlignment="1">
      <alignment horizontal="center" vertical="center"/>
    </xf>
    <xf numFmtId="10" fontId="27" fillId="2" borderId="1" xfId="6" applyNumberFormat="1" applyFont="1" applyFill="1" applyBorder="1" applyAlignment="1">
      <alignment horizontal="center" vertical="center"/>
    </xf>
    <xf numFmtId="168" fontId="29" fillId="13" borderId="2" xfId="4" applyFont="1" applyFill="1" applyBorder="1" applyAlignment="1">
      <alignment horizontal="center" vertical="center" wrapText="1"/>
    </xf>
    <xf numFmtId="168" fontId="27" fillId="2" borderId="1" xfId="4" applyFont="1" applyFill="1" applyBorder="1" applyAlignment="1">
      <alignment horizontal="center" vertical="center"/>
    </xf>
    <xf numFmtId="168" fontId="29" fillId="13" borderId="1" xfId="4" applyFont="1" applyFill="1" applyBorder="1" applyAlignment="1">
      <alignment horizontal="center" vertical="center"/>
    </xf>
    <xf numFmtId="168" fontId="29" fillId="9" borderId="1" xfId="4" applyFont="1" applyFill="1" applyBorder="1" applyAlignment="1">
      <alignment horizontal="center" vertical="center"/>
    </xf>
    <xf numFmtId="168" fontId="29" fillId="2" borderId="1" xfId="4" applyFont="1" applyFill="1" applyBorder="1" applyAlignment="1">
      <alignment horizontal="center" vertical="center"/>
    </xf>
    <xf numFmtId="166" fontId="31" fillId="2" borderId="1" xfId="6" applyNumberFormat="1" applyFont="1" applyFill="1" applyBorder="1" applyAlignment="1">
      <alignment horizontal="center" vertical="center"/>
    </xf>
    <xf numFmtId="168" fontId="29" fillId="0" borderId="1" xfId="4" applyFont="1" applyBorder="1" applyAlignment="1">
      <alignment horizontal="center" vertical="center"/>
    </xf>
    <xf numFmtId="49" fontId="29" fillId="12" borderId="1" xfId="9" applyNumberFormat="1" applyFont="1" applyFill="1" applyBorder="1" applyAlignment="1">
      <alignment horizontal="left" vertical="center"/>
    </xf>
    <xf numFmtId="168" fontId="29" fillId="0" borderId="1" xfId="4" applyFont="1" applyBorder="1" applyAlignment="1">
      <alignment horizontal="center" vertical="center" wrapText="1"/>
    </xf>
    <xf numFmtId="168" fontId="29" fillId="2" borderId="1" xfId="4" applyFont="1" applyFill="1" applyBorder="1" applyAlignment="1">
      <alignment horizontal="center" vertical="center" wrapText="1"/>
    </xf>
    <xf numFmtId="49" fontId="29" fillId="12" borderId="1" xfId="5" applyNumberFormat="1" applyFont="1" applyFill="1" applyBorder="1" applyAlignment="1">
      <alignment vertical="center"/>
    </xf>
    <xf numFmtId="170" fontId="29" fillId="12" borderId="1" xfId="4" applyNumberFormat="1" applyFont="1" applyFill="1" applyBorder="1" applyAlignment="1">
      <alignment horizontal="center" vertical="center" wrapText="1"/>
    </xf>
    <xf numFmtId="166" fontId="32" fillId="12" borderId="1" xfId="9" applyNumberFormat="1" applyFont="1" applyFill="1" applyBorder="1" applyAlignment="1">
      <alignment horizontal="center" vertical="center"/>
    </xf>
    <xf numFmtId="172" fontId="26" fillId="0" borderId="0" xfId="5" applyNumberFormat="1" applyFont="1"/>
    <xf numFmtId="10" fontId="31" fillId="10" borderId="1" xfId="6" applyNumberFormat="1" applyFont="1" applyFill="1" applyBorder="1" applyAlignment="1">
      <alignment horizontal="center" vertical="center"/>
    </xf>
    <xf numFmtId="170" fontId="29" fillId="0" borderId="8" xfId="4" applyNumberFormat="1" applyFont="1" applyBorder="1" applyAlignment="1">
      <alignment horizontal="center" vertical="center"/>
    </xf>
    <xf numFmtId="173" fontId="18" fillId="0" borderId="0" xfId="5" applyNumberFormat="1"/>
    <xf numFmtId="170" fontId="33" fillId="0" borderId="0" xfId="4" applyNumberFormat="1" applyFont="1" applyAlignment="1">
      <alignment horizontal="center" vertical="center"/>
    </xf>
    <xf numFmtId="0" fontId="23" fillId="7" borderId="0" xfId="5" applyFont="1" applyFill="1"/>
    <xf numFmtId="167" fontId="18" fillId="0" borderId="1" xfId="5" applyNumberFormat="1" applyBorder="1"/>
    <xf numFmtId="0" fontId="18" fillId="0" borderId="0" xfId="5" applyAlignment="1">
      <alignment horizontal="center"/>
    </xf>
    <xf numFmtId="10" fontId="18" fillId="0" borderId="0" xfId="5" applyNumberFormat="1"/>
    <xf numFmtId="10" fontId="0" fillId="0" borderId="0" xfId="6" applyNumberFormat="1" applyFont="1" applyAlignment="1"/>
    <xf numFmtId="0" fontId="0" fillId="2" borderId="1" xfId="0" applyFill="1" applyBorder="1" applyAlignment="1">
      <alignment horizontal="center"/>
    </xf>
    <xf numFmtId="0" fontId="0" fillId="14" borderId="0" xfId="0" applyFill="1">
      <alignment vertical="center"/>
    </xf>
    <xf numFmtId="0" fontId="4" fillId="14" borderId="0" xfId="0" applyFont="1" applyFill="1">
      <alignment vertical="center"/>
    </xf>
    <xf numFmtId="0" fontId="4" fillId="14" borderId="0" xfId="0" applyFont="1" applyFill="1" applyAlignment="1">
      <alignment horizontal="center" vertical="center"/>
    </xf>
    <xf numFmtId="0" fontId="4" fillId="14" borderId="0" xfId="0" applyFont="1" applyFill="1" applyAlignment="1">
      <alignment horizontal="left" vertical="center"/>
    </xf>
    <xf numFmtId="0" fontId="0" fillId="14" borderId="0" xfId="0" applyFill="1" applyAlignment="1">
      <alignment horizontal="left" vertical="center"/>
    </xf>
    <xf numFmtId="2" fontId="4" fillId="14" borderId="0" xfId="0" applyNumberFormat="1" applyFont="1" applyFill="1">
      <alignment vertical="center"/>
    </xf>
    <xf numFmtId="165" fontId="14" fillId="0" borderId="0" xfId="1" applyNumberFormat="1" applyFont="1">
      <alignment vertical="center"/>
    </xf>
    <xf numFmtId="166" fontId="12" fillId="0" borderId="0" xfId="2" applyNumberFormat="1" applyFont="1" applyAlignment="1">
      <alignment horizontal="center" vertical="center"/>
    </xf>
    <xf numFmtId="167" fontId="10" fillId="0" borderId="0" xfId="1" applyNumberFormat="1" applyFont="1" applyAlignment="1">
      <alignment horizontal="center" vertical="center"/>
    </xf>
    <xf numFmtId="167" fontId="17" fillId="0" borderId="0" xfId="1" applyNumberFormat="1" applyFont="1" applyAlignment="1">
      <alignment horizontal="center" vertical="center"/>
    </xf>
    <xf numFmtId="167" fontId="13" fillId="0" borderId="0" xfId="1" applyNumberFormat="1" applyFont="1" applyAlignment="1">
      <alignment horizontal="center" vertical="center"/>
    </xf>
    <xf numFmtId="167" fontId="13" fillId="0" borderId="0" xfId="1" applyNumberFormat="1" applyFont="1">
      <alignment vertical="center"/>
    </xf>
    <xf numFmtId="0" fontId="4" fillId="0" borderId="0" xfId="0" applyFont="1" applyAlignment="1">
      <alignment horizontal="center" vertical="center" wrapText="1"/>
    </xf>
    <xf numFmtId="167" fontId="0" fillId="0" borderId="0" xfId="1" applyNumberFormat="1" applyFont="1" applyAlignment="1">
      <alignment horizontal="center" vertical="center"/>
    </xf>
    <xf numFmtId="167" fontId="4" fillId="0" borderId="0" xfId="1" applyNumberFormat="1" applyFont="1" applyAlignment="1">
      <alignment horizontal="center" vertical="center" wrapText="1"/>
    </xf>
    <xf numFmtId="167" fontId="13" fillId="2" borderId="0" xfId="1" applyNumberFormat="1" applyFont="1" applyFill="1" applyAlignment="1">
      <alignment horizontal="center" vertical="center"/>
    </xf>
    <xf numFmtId="2" fontId="14" fillId="0" borderId="0" xfId="0" applyNumberFormat="1" applyFont="1">
      <alignment vertical="center"/>
    </xf>
    <xf numFmtId="2" fontId="0" fillId="0" borderId="1" xfId="0" applyNumberFormat="1" applyBorder="1">
      <alignment vertical="center"/>
    </xf>
    <xf numFmtId="166" fontId="12" fillId="2" borderId="1" xfId="2" applyNumberFormat="1" applyFont="1" applyFill="1" applyBorder="1" applyAlignment="1">
      <alignment horizontal="center"/>
    </xf>
    <xf numFmtId="0" fontId="0" fillId="0" borderId="1" xfId="0" applyFill="1" applyBorder="1">
      <alignment vertical="center"/>
    </xf>
    <xf numFmtId="171" fontId="0" fillId="0" borderId="1" xfId="0" applyNumberFormat="1" applyBorder="1">
      <alignment vertical="center"/>
    </xf>
    <xf numFmtId="167" fontId="0" fillId="0" borderId="0" xfId="0" applyNumberFormat="1" applyFill="1">
      <alignment vertical="center"/>
    </xf>
    <xf numFmtId="0" fontId="0" fillId="0" borderId="0" xfId="0" pivotButton="1" applyAlignment="1">
      <alignment vertical="center" wrapText="1"/>
    </xf>
    <xf numFmtId="167" fontId="4" fillId="0" borderId="0" xfId="1" applyNumberFormat="1" applyFont="1">
      <alignment vertical="center"/>
    </xf>
    <xf numFmtId="0" fontId="34" fillId="15" borderId="0" xfId="0" applyFont="1" applyFill="1" applyAlignment="1">
      <alignment horizontal="center" vertical="center" wrapText="1"/>
    </xf>
    <xf numFmtId="0" fontId="34" fillId="15" borderId="9" xfId="0" applyFont="1" applyFill="1" applyBorder="1" applyAlignment="1">
      <alignment horizontal="center" vertical="center"/>
    </xf>
    <xf numFmtId="167" fontId="34" fillId="15" borderId="10" xfId="0" applyNumberFormat="1" applyFont="1" applyFill="1" applyBorder="1">
      <alignment vertical="center"/>
    </xf>
    <xf numFmtId="167" fontId="4" fillId="16" borderId="0" xfId="1" applyNumberFormat="1" applyFont="1" applyFill="1">
      <alignment vertical="center"/>
    </xf>
    <xf numFmtId="49" fontId="13" fillId="2" borderId="1" xfId="0" applyNumberFormat="1" applyFont="1" applyFill="1" applyBorder="1" applyAlignment="1">
      <alignment horizontal="center" vertical="center"/>
    </xf>
    <xf numFmtId="164" fontId="12" fillId="0" borderId="0" xfId="0" applyNumberFormat="1" applyFont="1" applyAlignment="1">
      <alignment horizontal="center" vertical="center"/>
    </xf>
    <xf numFmtId="167" fontId="14" fillId="0" borderId="0" xfId="1" applyNumberFormat="1" applyFont="1">
      <alignment vertical="center"/>
    </xf>
    <xf numFmtId="167" fontId="35" fillId="0" borderId="0" xfId="0" applyNumberFormat="1" applyFont="1">
      <alignment vertical="center"/>
    </xf>
    <xf numFmtId="167" fontId="35" fillId="0" borderId="0" xfId="0" applyNumberFormat="1" applyFont="1" applyFill="1">
      <alignment vertical="center"/>
    </xf>
    <xf numFmtId="167" fontId="3" fillId="2" borderId="0" xfId="0" applyNumberFormat="1" applyFont="1" applyFill="1">
      <alignment vertical="center"/>
    </xf>
    <xf numFmtId="9" fontId="0" fillId="0" borderId="0" xfId="2" applyFont="1" applyAlignment="1">
      <alignment vertical="center"/>
    </xf>
    <xf numFmtId="9" fontId="4" fillId="2" borderId="0" xfId="2" applyFont="1" applyFill="1" applyAlignment="1">
      <alignment vertical="top" wrapText="1"/>
    </xf>
    <xf numFmtId="9" fontId="12" fillId="0" borderId="0" xfId="2" applyFont="1" applyAlignment="1">
      <alignment vertical="center"/>
    </xf>
    <xf numFmtId="9" fontId="12" fillId="2" borderId="0" xfId="2" applyFont="1" applyFill="1" applyAlignment="1">
      <alignment vertical="center"/>
    </xf>
    <xf numFmtId="174" fontId="0" fillId="0" borderId="0" xfId="0" applyNumberFormat="1">
      <alignment vertical="center"/>
    </xf>
    <xf numFmtId="164" fontId="0" fillId="0" borderId="0" xfId="1" applyFont="1" applyAlignment="1">
      <alignment horizontal="center" vertical="center"/>
    </xf>
    <xf numFmtId="164" fontId="4" fillId="0" borderId="1" xfId="1" applyFont="1" applyBorder="1" applyAlignment="1">
      <alignment horizontal="center" vertical="top" wrapText="1"/>
    </xf>
    <xf numFmtId="164" fontId="4" fillId="0" borderId="1" xfId="1" applyFont="1" applyBorder="1" applyAlignment="1">
      <alignment horizontal="center" vertical="top"/>
    </xf>
    <xf numFmtId="164" fontId="4" fillId="2" borderId="1" xfId="1" applyFont="1" applyFill="1" applyBorder="1" applyAlignment="1">
      <alignment horizontal="center" vertical="top"/>
    </xf>
    <xf numFmtId="164" fontId="4" fillId="2" borderId="1" xfId="1" applyFont="1" applyFill="1" applyBorder="1" applyAlignment="1">
      <alignment horizontal="center" vertical="top" wrapText="1"/>
    </xf>
    <xf numFmtId="0" fontId="0" fillId="0" borderId="1" xfId="0" applyBorder="1" applyAlignment="1">
      <alignment horizontal="center" vertical="top" wrapText="1"/>
    </xf>
    <xf numFmtId="164" fontId="0" fillId="0" borderId="1" xfId="1" applyFont="1" applyBorder="1" applyAlignment="1">
      <alignment horizontal="center" vertical="top"/>
    </xf>
    <xf numFmtId="0" fontId="36" fillId="0" borderId="1" xfId="0" applyFont="1" applyBorder="1" applyAlignment="1">
      <alignment horizontal="center" vertical="top" wrapText="1"/>
    </xf>
    <xf numFmtId="164" fontId="4" fillId="17" borderId="1" xfId="1" applyFont="1" applyFill="1" applyBorder="1" applyAlignment="1">
      <alignment horizontal="center" vertical="top" wrapText="1"/>
    </xf>
    <xf numFmtId="0" fontId="0" fillId="17" borderId="0" xfId="0" applyFill="1">
      <alignment vertical="center"/>
    </xf>
    <xf numFmtId="0" fontId="37" fillId="17" borderId="1" xfId="0" applyFont="1" applyFill="1" applyBorder="1" applyAlignment="1">
      <alignment horizontal="center" vertical="top" wrapText="1"/>
    </xf>
    <xf numFmtId="0" fontId="0" fillId="17" borderId="1" xfId="0" applyFill="1" applyBorder="1" applyAlignment="1">
      <alignment horizontal="center" vertical="top" wrapText="1"/>
    </xf>
    <xf numFmtId="49" fontId="38" fillId="0" borderId="1" xfId="4" applyNumberFormat="1" applyFont="1" applyBorder="1" applyAlignment="1">
      <alignment horizontal="center" vertical="center" wrapText="1"/>
    </xf>
    <xf numFmtId="49" fontId="39" fillId="7" borderId="1" xfId="4" applyNumberFormat="1" applyFont="1" applyFill="1" applyBorder="1" applyAlignment="1">
      <alignment horizontal="center" vertical="center" wrapText="1"/>
    </xf>
    <xf numFmtId="0" fontId="0" fillId="2" borderId="1" xfId="0" applyFill="1" applyBorder="1" applyAlignment="1">
      <alignment horizontal="center" vertical="center"/>
    </xf>
    <xf numFmtId="164" fontId="0" fillId="0" borderId="1" xfId="1" applyFont="1" applyBorder="1" applyAlignment="1">
      <alignment horizontal="center" vertical="center"/>
    </xf>
    <xf numFmtId="0" fontId="36" fillId="2" borderId="1" xfId="0" applyFont="1" applyFill="1" applyBorder="1" applyAlignment="1">
      <alignment horizontal="center" vertical="top"/>
    </xf>
    <xf numFmtId="0" fontId="37" fillId="17" borderId="1" xfId="0" applyFont="1" applyFill="1" applyBorder="1" applyAlignment="1">
      <alignment horizontal="center" vertical="top"/>
    </xf>
    <xf numFmtId="164" fontId="37" fillId="0" borderId="1" xfId="1" applyFont="1" applyBorder="1" applyAlignment="1">
      <alignment horizontal="center" vertical="top"/>
    </xf>
    <xf numFmtId="164" fontId="0" fillId="0" borderId="1" xfId="1" applyNumberFormat="1" applyFont="1" applyBorder="1" applyAlignment="1">
      <alignment horizontal="center" vertical="center"/>
    </xf>
    <xf numFmtId="164" fontId="0" fillId="17" borderId="1" xfId="1" applyFont="1" applyFill="1" applyBorder="1">
      <alignment vertical="center"/>
    </xf>
    <xf numFmtId="164" fontId="0" fillId="17" borderId="1" xfId="0" applyNumberFormat="1" applyFill="1" applyBorder="1">
      <alignment vertical="center"/>
    </xf>
    <xf numFmtId="164" fontId="3" fillId="17" borderId="1" xfId="1" applyFont="1" applyFill="1" applyBorder="1">
      <alignment vertical="center"/>
    </xf>
    <xf numFmtId="164" fontId="3" fillId="17" borderId="1" xfId="1" applyNumberFormat="1" applyFont="1" applyFill="1" applyBorder="1">
      <alignment vertical="center"/>
    </xf>
    <xf numFmtId="164" fontId="0" fillId="0" borderId="1" xfId="1" applyFont="1" applyBorder="1">
      <alignment vertical="center"/>
    </xf>
    <xf numFmtId="9" fontId="0" fillId="0" borderId="1" xfId="2" applyFont="1" applyBorder="1">
      <alignment vertical="center"/>
    </xf>
    <xf numFmtId="170" fontId="0" fillId="2" borderId="1" xfId="1" applyNumberFormat="1" applyFont="1" applyFill="1" applyBorder="1">
      <alignment vertical="center"/>
    </xf>
    <xf numFmtId="0" fontId="38" fillId="0" borderId="1" xfId="4" applyNumberFormat="1" applyFont="1" applyBorder="1" applyAlignment="1">
      <alignment horizontal="center" vertical="center" wrapText="1"/>
    </xf>
    <xf numFmtId="170" fontId="0" fillId="17" borderId="1" xfId="1" applyNumberFormat="1" applyFont="1" applyFill="1" applyBorder="1">
      <alignment vertical="center"/>
    </xf>
    <xf numFmtId="0" fontId="0" fillId="6" borderId="1" xfId="0" applyFill="1" applyBorder="1">
      <alignment vertical="center"/>
    </xf>
    <xf numFmtId="175" fontId="0" fillId="17" borderId="1" xfId="1" applyNumberFormat="1" applyFont="1" applyFill="1" applyBorder="1">
      <alignment vertical="center"/>
    </xf>
    <xf numFmtId="176" fontId="0" fillId="17" borderId="1" xfId="1" applyNumberFormat="1" applyFont="1" applyFill="1" applyBorder="1">
      <alignment vertical="center"/>
    </xf>
    <xf numFmtId="0" fontId="38" fillId="13" borderId="1" xfId="4" applyNumberFormat="1" applyFont="1" applyFill="1" applyBorder="1" applyAlignment="1">
      <alignment horizontal="center" vertical="center" wrapText="1"/>
    </xf>
    <xf numFmtId="0" fontId="38" fillId="4" borderId="1" xfId="4" applyNumberFormat="1" applyFont="1" applyFill="1" applyBorder="1" applyAlignment="1">
      <alignment horizontal="center" vertical="center" wrapText="1"/>
    </xf>
    <xf numFmtId="0" fontId="0" fillId="10" borderId="1" xfId="0" applyFill="1" applyBorder="1">
      <alignment vertical="center"/>
    </xf>
    <xf numFmtId="0" fontId="35" fillId="10" borderId="1" xfId="0" applyFont="1" applyFill="1" applyBorder="1">
      <alignment vertical="center"/>
    </xf>
    <xf numFmtId="0" fontId="0" fillId="0" borderId="0" xfId="0" applyAlignment="1">
      <alignment vertical="center"/>
    </xf>
    <xf numFmtId="0" fontId="4" fillId="2" borderId="1" xfId="0" applyFont="1" applyFill="1" applyBorder="1" applyAlignment="1">
      <alignment horizontal="center" vertical="center"/>
    </xf>
    <xf numFmtId="0" fontId="4" fillId="2" borderId="1" xfId="0" applyFont="1" applyFill="1" applyBorder="1" applyAlignment="1">
      <alignment horizontal="center" vertical="center" wrapText="1"/>
    </xf>
    <xf numFmtId="164" fontId="4" fillId="0" borderId="1" xfId="1" applyFont="1" applyBorder="1" applyAlignment="1">
      <alignment horizontal="center" vertical="center" wrapText="1"/>
    </xf>
    <xf numFmtId="164" fontId="4" fillId="0" borderId="1" xfId="1" applyFont="1" applyBorder="1" applyAlignment="1">
      <alignment horizontal="center" vertical="center"/>
    </xf>
    <xf numFmtId="164" fontId="4" fillId="2" borderId="1" xfId="1" applyFont="1" applyFill="1" applyBorder="1" applyAlignment="1">
      <alignment horizontal="center" vertical="center"/>
    </xf>
    <xf numFmtId="164" fontId="4" fillId="2" borderId="1" xfId="1" applyFont="1" applyFill="1" applyBorder="1" applyAlignment="1">
      <alignment horizontal="center" vertical="center" wrapText="1"/>
    </xf>
    <xf numFmtId="0" fontId="37" fillId="17" borderId="1" xfId="0" applyFont="1" applyFill="1" applyBorder="1" applyAlignment="1">
      <alignment horizontal="center" vertical="center" wrapText="1"/>
    </xf>
    <xf numFmtId="0" fontId="0" fillId="17" borderId="1" xfId="0" applyFill="1" applyBorder="1" applyAlignment="1">
      <alignment horizontal="center" vertical="center" wrapText="1"/>
    </xf>
    <xf numFmtId="0" fontId="0" fillId="0" borderId="1" xfId="0" applyBorder="1" applyAlignment="1">
      <alignment horizontal="center" vertical="center" wrapText="1"/>
    </xf>
    <xf numFmtId="0" fontId="36" fillId="0" borderId="1" xfId="0" applyFont="1" applyBorder="1" applyAlignment="1">
      <alignment horizontal="center" vertical="center" wrapText="1"/>
    </xf>
    <xf numFmtId="164" fontId="40" fillId="2" borderId="8" xfId="1" applyFont="1" applyFill="1" applyBorder="1" applyAlignment="1">
      <alignment horizontal="center" vertical="center" wrapText="1"/>
    </xf>
    <xf numFmtId="0" fontId="4" fillId="0" borderId="1" xfId="0" applyFont="1" applyBorder="1" applyAlignment="1">
      <alignment horizontal="center" vertical="center" wrapText="1"/>
    </xf>
    <xf numFmtId="170" fontId="37" fillId="17" borderId="1" xfId="0" applyNumberFormat="1" applyFont="1" applyFill="1" applyBorder="1" applyAlignment="1">
      <alignment horizontal="center" vertical="top"/>
    </xf>
    <xf numFmtId="164" fontId="37" fillId="0" borderId="0" xfId="1" applyFont="1" applyBorder="1" applyAlignment="1">
      <alignment horizontal="center" vertical="top"/>
    </xf>
    <xf numFmtId="0" fontId="36" fillId="0" borderId="8" xfId="0" applyFont="1" applyBorder="1" applyAlignment="1">
      <alignment horizontal="center" vertical="center" wrapText="1"/>
    </xf>
    <xf numFmtId="166" fontId="0" fillId="0" borderId="0" xfId="2" applyNumberFormat="1" applyFont="1" applyBorder="1">
      <alignment vertical="center"/>
    </xf>
    <xf numFmtId="164" fontId="0" fillId="0" borderId="0" xfId="1" applyFont="1" applyBorder="1">
      <alignment vertical="center"/>
    </xf>
    <xf numFmtId="164" fontId="40" fillId="2" borderId="1" xfId="1" applyFont="1" applyFill="1" applyBorder="1" applyAlignment="1">
      <alignment horizontal="center" vertical="center" wrapText="1"/>
    </xf>
    <xf numFmtId="170" fontId="3" fillId="17" borderId="1" xfId="1" applyNumberFormat="1" applyFont="1" applyFill="1" applyBorder="1">
      <alignment vertical="center"/>
    </xf>
    <xf numFmtId="2" fontId="36" fillId="2" borderId="1" xfId="0" applyNumberFormat="1" applyFont="1" applyFill="1" applyBorder="1" applyAlignment="1">
      <alignment horizontal="center" vertical="top"/>
    </xf>
    <xf numFmtId="164" fontId="37" fillId="2" borderId="0" xfId="1" applyFont="1" applyFill="1" applyBorder="1" applyAlignment="1">
      <alignment horizontal="center" vertical="top"/>
    </xf>
    <xf numFmtId="164" fontId="0" fillId="2" borderId="1" xfId="1" applyFont="1" applyFill="1" applyBorder="1" applyAlignment="1">
      <alignment horizontal="center" vertical="center"/>
    </xf>
    <xf numFmtId="0" fontId="36" fillId="2" borderId="1" xfId="0" applyFont="1" applyFill="1" applyBorder="1" applyAlignment="1">
      <alignment horizontal="center" vertical="center" wrapText="1"/>
    </xf>
    <xf numFmtId="164" fontId="0" fillId="2" borderId="1" xfId="1" applyFont="1" applyFill="1" applyBorder="1">
      <alignment vertical="center"/>
    </xf>
    <xf numFmtId="166" fontId="0" fillId="2" borderId="1" xfId="2" applyNumberFormat="1" applyFont="1" applyFill="1" applyBorder="1">
      <alignment vertical="center"/>
    </xf>
    <xf numFmtId="164" fontId="40" fillId="2" borderId="12" xfId="1" applyFont="1" applyFill="1" applyBorder="1" applyAlignment="1">
      <alignment horizontal="center" vertical="center" wrapText="1"/>
    </xf>
    <xf numFmtId="176" fontId="0" fillId="0" borderId="0" xfId="1" applyNumberFormat="1" applyFont="1">
      <alignment vertical="center"/>
    </xf>
    <xf numFmtId="0" fontId="0" fillId="0" borderId="0" xfId="0" applyAlignment="1">
      <alignment horizontal="center" vertical="center" wrapText="1"/>
    </xf>
    <xf numFmtId="164" fontId="4" fillId="4" borderId="1" xfId="1" applyFont="1" applyFill="1" applyBorder="1" applyAlignment="1">
      <alignment horizontal="center" vertical="center" wrapText="1"/>
    </xf>
    <xf numFmtId="164" fontId="4" fillId="13" borderId="1" xfId="1" applyFont="1" applyFill="1" applyBorder="1" applyAlignment="1">
      <alignment horizontal="center" vertical="center" wrapText="1"/>
    </xf>
    <xf numFmtId="164" fontId="4" fillId="7" borderId="1" xfId="1" applyFont="1" applyFill="1" applyBorder="1" applyAlignment="1">
      <alignment horizontal="center" vertical="center" wrapText="1"/>
    </xf>
    <xf numFmtId="0" fontId="0" fillId="10" borderId="1" xfId="0" applyFont="1" applyFill="1" applyBorder="1">
      <alignment vertical="center"/>
    </xf>
    <xf numFmtId="170" fontId="1" fillId="17" borderId="1" xfId="1" applyNumberFormat="1" applyFont="1" applyFill="1" applyBorder="1">
      <alignment vertical="center"/>
    </xf>
    <xf numFmtId="164" fontId="4" fillId="13" borderId="1" xfId="1" applyFont="1" applyFill="1" applyBorder="1" applyAlignment="1">
      <alignment horizontal="center" vertical="top" wrapText="1"/>
    </xf>
    <xf numFmtId="164" fontId="4" fillId="4" borderId="1" xfId="1" applyFont="1" applyFill="1" applyBorder="1" applyAlignment="1">
      <alignment horizontal="center" vertical="top" wrapText="1"/>
    </xf>
    <xf numFmtId="166" fontId="0" fillId="7" borderId="0" xfId="2" applyNumberFormat="1" applyFont="1" applyFill="1">
      <alignment vertical="center"/>
    </xf>
    <xf numFmtId="0" fontId="0" fillId="6" borderId="1" xfId="0" applyFont="1" applyFill="1" applyBorder="1">
      <alignment vertical="center"/>
    </xf>
    <xf numFmtId="0" fontId="41" fillId="0" borderId="1" xfId="0" applyFont="1" applyBorder="1" applyAlignment="1">
      <alignment horizontal="left" vertical="center" wrapText="1"/>
    </xf>
    <xf numFmtId="9" fontId="41" fillId="0" borderId="1" xfId="0" applyNumberFormat="1" applyFont="1" applyBorder="1" applyAlignment="1">
      <alignment horizontal="left" vertical="center" wrapText="1"/>
    </xf>
    <xf numFmtId="0" fontId="0" fillId="0" borderId="1" xfId="0" applyBorder="1" applyAlignment="1">
      <alignment horizontal="left" vertical="center" wrapText="1"/>
    </xf>
    <xf numFmtId="164" fontId="0" fillId="0" borderId="0" xfId="1" applyFont="1" applyAlignment="1">
      <alignment horizontal="left" vertical="center" wrapText="1"/>
    </xf>
    <xf numFmtId="0" fontId="0" fillId="0" borderId="0" xfId="0" applyAlignment="1">
      <alignment horizontal="left" vertical="center" wrapText="1"/>
    </xf>
    <xf numFmtId="0" fontId="0" fillId="2" borderId="0" xfId="0" applyFill="1" applyAlignment="1">
      <alignment horizontal="left" vertical="center" wrapText="1"/>
    </xf>
    <xf numFmtId="0" fontId="0" fillId="4" borderId="1" xfId="0" applyFill="1" applyBorder="1">
      <alignment vertical="center"/>
    </xf>
    <xf numFmtId="0" fontId="35" fillId="4" borderId="1" xfId="0" applyFont="1" applyFill="1" applyBorder="1">
      <alignment vertical="center"/>
    </xf>
    <xf numFmtId="164" fontId="37" fillId="13" borderId="1" xfId="1" applyFont="1" applyFill="1" applyBorder="1" applyAlignment="1">
      <alignment horizontal="center" vertical="top"/>
    </xf>
    <xf numFmtId="9" fontId="0" fillId="13" borderId="1" xfId="2" applyFont="1" applyFill="1" applyBorder="1">
      <alignment vertical="center"/>
    </xf>
    <xf numFmtId="0" fontId="0" fillId="13" borderId="0" xfId="0" applyFill="1">
      <alignment vertical="center"/>
    </xf>
    <xf numFmtId="9" fontId="41" fillId="13" borderId="1" xfId="0" applyNumberFormat="1" applyFont="1" applyFill="1" applyBorder="1" applyAlignment="1">
      <alignment horizontal="left" vertical="center" wrapText="1"/>
    </xf>
    <xf numFmtId="0" fontId="41" fillId="13" borderId="1" xfId="0" applyFont="1" applyFill="1" applyBorder="1" applyAlignment="1">
      <alignment horizontal="left" vertical="center" wrapText="1"/>
    </xf>
    <xf numFmtId="0" fontId="0" fillId="13" borderId="1" xfId="0" applyFill="1" applyBorder="1" applyAlignment="1">
      <alignment horizontal="left" vertical="center" wrapText="1"/>
    </xf>
    <xf numFmtId="0" fontId="0" fillId="13" borderId="0" xfId="0" applyFill="1" applyAlignment="1">
      <alignment horizontal="left" vertical="center" wrapText="1"/>
    </xf>
    <xf numFmtId="0" fontId="0" fillId="0" borderId="0" xfId="0" applyAlignment="1"/>
    <xf numFmtId="0" fontId="0" fillId="0" borderId="0" xfId="0" applyAlignment="1">
      <alignment horizontal="left"/>
    </xf>
    <xf numFmtId="166" fontId="0" fillId="0" borderId="0" xfId="2" applyNumberFormat="1" applyFont="1" applyAlignment="1"/>
    <xf numFmtId="166" fontId="0" fillId="0" borderId="0" xfId="2" applyNumberFormat="1" applyFont="1" applyAlignment="1">
      <alignment horizontal="left"/>
    </xf>
    <xf numFmtId="166" fontId="0" fillId="13" borderId="1" xfId="2" applyNumberFormat="1" applyFont="1" applyFill="1" applyBorder="1">
      <alignment vertical="center"/>
    </xf>
    <xf numFmtId="166" fontId="0" fillId="13" borderId="0" xfId="2" applyNumberFormat="1" applyFont="1" applyFill="1" applyAlignment="1">
      <alignment vertical="center" wrapText="1"/>
    </xf>
    <xf numFmtId="0" fontId="48" fillId="0" borderId="1" xfId="4" applyNumberFormat="1" applyFont="1" applyBorder="1" applyAlignment="1">
      <alignment vertical="center" wrapText="1"/>
    </xf>
    <xf numFmtId="49" fontId="48" fillId="0" borderId="1" xfId="4" applyNumberFormat="1" applyFont="1" applyBorder="1" applyAlignment="1">
      <alignment vertical="center" wrapText="1"/>
    </xf>
    <xf numFmtId="43" fontId="0" fillId="0" borderId="0" xfId="0" applyNumberFormat="1">
      <alignment vertical="center"/>
    </xf>
    <xf numFmtId="0" fontId="47" fillId="0" borderId="0" xfId="0" applyFont="1" applyAlignment="1">
      <alignment horizontal="center" vertical="center"/>
    </xf>
    <xf numFmtId="0" fontId="18" fillId="0" borderId="0" xfId="0" applyFont="1" applyAlignment="1">
      <alignment horizontal="center" vertical="center"/>
    </xf>
    <xf numFmtId="0" fontId="0" fillId="0" borderId="0" xfId="0" quotePrefix="1" applyAlignment="1">
      <alignment horizontal="center" vertical="center"/>
    </xf>
    <xf numFmtId="164" fontId="49" fillId="18" borderId="1" xfId="10" applyNumberFormat="1" applyFill="1" applyBorder="1" applyAlignment="1">
      <alignment horizontal="center" vertical="center" wrapText="1"/>
    </xf>
    <xf numFmtId="170" fontId="48" fillId="0" borderId="1" xfId="4" applyNumberFormat="1" applyFont="1" applyBorder="1" applyAlignment="1">
      <alignment horizontal="center" vertical="center"/>
    </xf>
    <xf numFmtId="170" fontId="48" fillId="0" borderId="1" xfId="4" applyNumberFormat="1" applyFont="1" applyBorder="1" applyAlignment="1">
      <alignment horizontal="center" vertical="center"/>
    </xf>
    <xf numFmtId="49" fontId="48" fillId="0" borderId="1" xfId="4" applyNumberFormat="1" applyFont="1" applyBorder="1" applyAlignment="1">
      <alignment horizontal="center" vertical="center" wrapText="1"/>
    </xf>
    <xf numFmtId="168" fontId="48" fillId="0" borderId="1" xfId="4" applyFont="1" applyBorder="1" applyAlignment="1">
      <alignment vertical="center" wrapText="1"/>
    </xf>
    <xf numFmtId="169" fontId="48" fillId="0" borderId="1" xfId="4" applyNumberFormat="1" applyFont="1" applyBorder="1" applyAlignment="1">
      <alignment vertical="center" wrapText="1"/>
    </xf>
    <xf numFmtId="49" fontId="48" fillId="0" borderId="1" xfId="4" applyNumberFormat="1" applyFont="1" applyBorder="1" applyAlignment="1">
      <alignment vertical="top" wrapText="1"/>
    </xf>
    <xf numFmtId="170" fontId="48" fillId="0" borderId="1" xfId="4" applyNumberFormat="1" applyFont="1" applyBorder="1" applyAlignment="1">
      <alignment horizontal="center" vertical="top"/>
    </xf>
    <xf numFmtId="0" fontId="0" fillId="0" borderId="0" xfId="0" applyAlignment="1">
      <alignment vertical="top"/>
    </xf>
    <xf numFmtId="0" fontId="48" fillId="11" borderId="1" xfId="0" applyFont="1" applyFill="1" applyBorder="1" applyAlignment="1">
      <alignment horizontal="center" vertical="top"/>
    </xf>
    <xf numFmtId="0" fontId="48" fillId="0" borderId="1" xfId="4" applyNumberFormat="1" applyFont="1" applyBorder="1" applyAlignment="1">
      <alignment horizontal="center" vertical="top" wrapText="1"/>
    </xf>
    <xf numFmtId="49" fontId="48" fillId="0" borderId="1" xfId="4" applyNumberFormat="1" applyFont="1" applyBorder="1" applyAlignment="1">
      <alignment horizontal="center" vertical="top" wrapText="1"/>
    </xf>
    <xf numFmtId="168" fontId="48" fillId="0" borderId="1" xfId="4" applyFont="1" applyBorder="1" applyAlignment="1">
      <alignment horizontal="center" vertical="top" wrapText="1"/>
    </xf>
    <xf numFmtId="169" fontId="48" fillId="0" borderId="1" xfId="4" applyNumberFormat="1" applyFont="1" applyBorder="1" applyAlignment="1">
      <alignment horizontal="center" vertical="top" wrapText="1"/>
    </xf>
    <xf numFmtId="0" fontId="0" fillId="0" borderId="0" xfId="0" applyAlignment="1">
      <alignment horizontal="center" vertical="top"/>
    </xf>
    <xf numFmtId="0" fontId="51" fillId="0" borderId="0" xfId="0" applyFont="1">
      <alignment vertical="center"/>
    </xf>
    <xf numFmtId="0" fontId="51" fillId="0" borderId="0" xfId="0" applyFont="1" applyAlignment="1">
      <alignment horizontal="center" vertical="center"/>
    </xf>
    <xf numFmtId="0" fontId="50" fillId="19" borderId="1" xfId="9" applyFont="1" applyFill="1" applyBorder="1" applyAlignment="1">
      <alignment horizontal="left" vertical="top"/>
    </xf>
    <xf numFmtId="0" fontId="50" fillId="19" borderId="1" xfId="9" applyFont="1" applyFill="1" applyBorder="1" applyAlignment="1">
      <alignment horizontal="center" vertical="top"/>
    </xf>
    <xf numFmtId="164" fontId="50" fillId="19" borderId="1" xfId="1" applyFont="1" applyFill="1" applyBorder="1" applyAlignment="1">
      <alignment horizontal="left" vertical="top"/>
    </xf>
    <xf numFmtId="0" fontId="52" fillId="0" borderId="0" xfId="0" applyFont="1" applyAlignment="1">
      <alignment horizontal="center" vertical="center"/>
    </xf>
    <xf numFmtId="164" fontId="5" fillId="0" borderId="0" xfId="1" applyFont="1">
      <alignment vertical="center"/>
    </xf>
    <xf numFmtId="166" fontId="0" fillId="0" borderId="0" xfId="2" applyNumberFormat="1" applyFont="1" applyAlignment="1">
      <alignment horizontal="center" vertical="center"/>
    </xf>
    <xf numFmtId="10" fontId="0" fillId="0" borderId="0" xfId="2" applyNumberFormat="1" applyFont="1" applyAlignment="1">
      <alignment horizontal="center" vertical="center"/>
    </xf>
    <xf numFmtId="171" fontId="0" fillId="0" borderId="0" xfId="0" applyNumberFormat="1">
      <alignment vertical="center"/>
    </xf>
    <xf numFmtId="0" fontId="0" fillId="0" borderId="1" xfId="0" applyBorder="1" applyAlignment="1">
      <alignment vertical="top"/>
    </xf>
    <xf numFmtId="0" fontId="48" fillId="11" borderId="1" xfId="0" applyFont="1" applyFill="1" applyBorder="1" applyAlignment="1"/>
    <xf numFmtId="170" fontId="48" fillId="3" borderId="1" xfId="4" applyNumberFormat="1" applyFont="1" applyFill="1" applyBorder="1" applyAlignment="1">
      <alignment horizontal="center" vertical="top"/>
    </xf>
    <xf numFmtId="170" fontId="48" fillId="2" borderId="1" xfId="4" applyNumberFormat="1" applyFont="1" applyFill="1" applyBorder="1" applyAlignment="1">
      <alignment horizontal="center" vertical="top"/>
    </xf>
    <xf numFmtId="170" fontId="48" fillId="2" borderId="1" xfId="4" applyNumberFormat="1" applyFont="1" applyFill="1" applyBorder="1" applyAlignment="1">
      <alignment horizontal="center" vertical="top" wrapText="1"/>
    </xf>
    <xf numFmtId="177" fontId="48" fillId="2" borderId="1" xfId="1" applyNumberFormat="1" applyFont="1" applyFill="1" applyBorder="1" applyAlignment="1">
      <alignment horizontal="center" vertical="top" wrapText="1"/>
    </xf>
    <xf numFmtId="167" fontId="48" fillId="2" borderId="1" xfId="1" applyNumberFormat="1" applyFont="1" applyFill="1" applyBorder="1" applyAlignment="1">
      <alignment horizontal="center" vertical="top" wrapText="1"/>
    </xf>
    <xf numFmtId="166" fontId="48" fillId="2" borderId="1" xfId="2" applyNumberFormat="1" applyFont="1" applyFill="1" applyBorder="1" applyAlignment="1">
      <alignment horizontal="center" vertical="top" wrapText="1"/>
    </xf>
    <xf numFmtId="0" fontId="0" fillId="13" borderId="1" xfId="0" applyFill="1" applyBorder="1">
      <alignment vertical="center"/>
    </xf>
    <xf numFmtId="170" fontId="48" fillId="13" borderId="1" xfId="4" applyNumberFormat="1" applyFont="1" applyFill="1" applyBorder="1" applyAlignment="1">
      <alignment horizontal="center" vertical="top" wrapText="1"/>
    </xf>
    <xf numFmtId="167" fontId="0" fillId="13" borderId="1" xfId="1" applyNumberFormat="1" applyFont="1" applyFill="1" applyBorder="1">
      <alignment vertical="center"/>
    </xf>
    <xf numFmtId="167" fontId="48" fillId="13" borderId="15" xfId="1" applyNumberFormat="1" applyFont="1" applyFill="1" applyBorder="1" applyAlignment="1">
      <alignment vertical="top" wrapText="1"/>
    </xf>
    <xf numFmtId="0" fontId="0" fillId="13" borderId="1" xfId="0" applyFill="1" applyBorder="1" applyAlignment="1">
      <alignment horizontal="center" vertical="center"/>
    </xf>
    <xf numFmtId="9" fontId="48" fillId="13" borderId="1" xfId="8" applyFont="1" applyFill="1" applyBorder="1" applyAlignment="1">
      <alignment horizontal="center" vertical="top"/>
    </xf>
    <xf numFmtId="0" fontId="48" fillId="13" borderId="1" xfId="4" applyNumberFormat="1" applyFont="1" applyFill="1" applyBorder="1" applyAlignment="1">
      <alignment vertical="center" wrapText="1"/>
    </xf>
    <xf numFmtId="0" fontId="48" fillId="13" borderId="1" xfId="4" applyNumberFormat="1" applyFont="1" applyFill="1" applyBorder="1" applyAlignment="1">
      <alignment horizontal="center" vertical="top" wrapText="1"/>
    </xf>
    <xf numFmtId="0" fontId="48" fillId="13" borderId="1" xfId="4" applyNumberFormat="1" applyFont="1" applyFill="1" applyBorder="1" applyAlignment="1">
      <alignment horizontal="center" vertical="center" wrapText="1"/>
    </xf>
    <xf numFmtId="0" fontId="48" fillId="0" borderId="1" xfId="4" applyNumberFormat="1" applyFont="1" applyBorder="1" applyAlignment="1">
      <alignment vertical="top" wrapText="1"/>
    </xf>
    <xf numFmtId="0" fontId="0" fillId="13" borderId="1" xfId="0" applyFill="1" applyBorder="1" applyAlignment="1">
      <alignment horizontal="center" vertical="top" wrapText="1"/>
    </xf>
    <xf numFmtId="166" fontId="48" fillId="0" borderId="1" xfId="2" applyNumberFormat="1" applyFont="1" applyBorder="1" applyAlignment="1">
      <alignment horizontal="center" vertical="top" wrapText="1"/>
    </xf>
    <xf numFmtId="0" fontId="0" fillId="13" borderId="1" xfId="0" applyFill="1" applyBorder="1" applyAlignment="1">
      <alignment vertical="top"/>
    </xf>
    <xf numFmtId="49" fontId="48" fillId="13" borderId="1" xfId="4" applyNumberFormat="1" applyFont="1" applyFill="1" applyBorder="1" applyAlignment="1">
      <alignment vertical="center" wrapText="1"/>
    </xf>
    <xf numFmtId="49" fontId="48" fillId="13" borderId="1" xfId="4" applyNumberFormat="1" applyFont="1" applyFill="1" applyBorder="1" applyAlignment="1">
      <alignment horizontal="center" vertical="top" wrapText="1"/>
    </xf>
    <xf numFmtId="0" fontId="0" fillId="13" borderId="1" xfId="0" applyFill="1" applyBorder="1" applyAlignment="1">
      <alignment horizontal="center" vertical="top"/>
    </xf>
    <xf numFmtId="0" fontId="0" fillId="13" borderId="1" xfId="0" applyFill="1" applyBorder="1" applyAlignment="1">
      <alignment horizontal="center"/>
    </xf>
    <xf numFmtId="9" fontId="0" fillId="0" borderId="0" xfId="2" applyFont="1" applyAlignment="1">
      <alignment horizontal="center" vertical="center"/>
    </xf>
    <xf numFmtId="164" fontId="0" fillId="0" borderId="0" xfId="1" applyFont="1" applyAlignment="1">
      <alignment vertical="center"/>
    </xf>
    <xf numFmtId="164" fontId="0" fillId="2" borderId="0" xfId="1" applyFont="1" applyFill="1">
      <alignment vertical="center"/>
    </xf>
    <xf numFmtId="164" fontId="0" fillId="2" borderId="0" xfId="1" applyFont="1" applyFill="1" applyAlignment="1">
      <alignment horizontal="center" vertical="center"/>
    </xf>
    <xf numFmtId="164" fontId="0" fillId="2" borderId="0" xfId="0" applyNumberFormat="1" applyFill="1">
      <alignment vertical="center"/>
    </xf>
    <xf numFmtId="171" fontId="0" fillId="2" borderId="0" xfId="0" applyNumberFormat="1" applyFill="1">
      <alignment vertical="center"/>
    </xf>
    <xf numFmtId="166" fontId="0" fillId="2" borderId="0" xfId="2" applyNumberFormat="1" applyFont="1" applyFill="1">
      <alignment vertical="center"/>
    </xf>
    <xf numFmtId="10" fontId="0" fillId="2" borderId="0" xfId="2" applyNumberFormat="1" applyFont="1" applyFill="1">
      <alignment vertical="center"/>
    </xf>
    <xf numFmtId="167" fontId="0" fillId="2" borderId="0" xfId="1" applyNumberFormat="1" applyFont="1" applyFill="1">
      <alignment vertical="center"/>
    </xf>
    <xf numFmtId="164" fontId="48" fillId="0" borderId="1" xfId="1" applyFont="1" applyBorder="1" applyAlignment="1">
      <alignment horizontal="center" vertical="top" wrapText="1"/>
    </xf>
    <xf numFmtId="164" fontId="48" fillId="0" borderId="1" xfId="1" applyFont="1" applyBorder="1" applyAlignment="1">
      <alignment horizontal="center" vertical="center"/>
    </xf>
    <xf numFmtId="164" fontId="48" fillId="2" borderId="1" xfId="1" applyFont="1" applyFill="1" applyBorder="1" applyAlignment="1">
      <alignment horizontal="center" vertical="top"/>
    </xf>
    <xf numFmtId="9" fontId="0" fillId="2" borderId="0" xfId="0" applyNumberFormat="1" applyFill="1" applyAlignment="1">
      <alignment horizontal="center" vertical="center"/>
    </xf>
    <xf numFmtId="9" fontId="0" fillId="2" borderId="0" xfId="2" applyNumberFormat="1" applyFont="1" applyFill="1" applyAlignment="1">
      <alignment horizontal="center" vertical="center"/>
    </xf>
    <xf numFmtId="164" fontId="53" fillId="0" borderId="1" xfId="1" applyFont="1" applyBorder="1" applyAlignment="1">
      <alignment horizontal="center" vertical="center"/>
    </xf>
    <xf numFmtId="0" fontId="3" fillId="0" borderId="0" xfId="0" applyFont="1" applyAlignment="1">
      <alignment horizontal="center" vertical="center"/>
    </xf>
    <xf numFmtId="164" fontId="5" fillId="0" borderId="0" xfId="1" applyFont="1" applyAlignment="1">
      <alignment horizontal="center" vertical="center"/>
    </xf>
    <xf numFmtId="164" fontId="5" fillId="0" borderId="0" xfId="0" applyNumberFormat="1" applyFont="1">
      <alignment vertical="center"/>
    </xf>
    <xf numFmtId="9" fontId="5" fillId="0" borderId="0" xfId="2" applyFont="1" applyAlignment="1">
      <alignment horizontal="center" vertical="center"/>
    </xf>
    <xf numFmtId="171" fontId="5" fillId="0" borderId="0" xfId="0" applyNumberFormat="1" applyFont="1">
      <alignment vertical="center"/>
    </xf>
    <xf numFmtId="166" fontId="5" fillId="0" borderId="0" xfId="2" applyNumberFormat="1" applyFont="1">
      <alignment vertical="center"/>
    </xf>
    <xf numFmtId="166" fontId="5" fillId="0" borderId="0" xfId="2" applyNumberFormat="1" applyFont="1" applyAlignment="1">
      <alignment horizontal="center" vertical="center"/>
    </xf>
    <xf numFmtId="10" fontId="5" fillId="0" borderId="0" xfId="2" applyNumberFormat="1" applyFont="1">
      <alignment vertical="center"/>
    </xf>
    <xf numFmtId="10" fontId="5" fillId="0" borderId="0" xfId="0" applyNumberFormat="1" applyFont="1">
      <alignment vertical="center"/>
    </xf>
    <xf numFmtId="167" fontId="5" fillId="0" borderId="0" xfId="1" applyNumberFormat="1" applyFont="1">
      <alignment vertical="center"/>
    </xf>
    <xf numFmtId="0" fontId="0" fillId="5" borderId="1" xfId="0" applyFill="1" applyBorder="1" applyAlignment="1">
      <alignment horizontal="center" vertical="top" wrapText="1"/>
    </xf>
    <xf numFmtId="164" fontId="0" fillId="5" borderId="1" xfId="1" applyFont="1" applyFill="1" applyBorder="1" applyAlignment="1">
      <alignment horizontal="center" vertical="center" wrapText="1"/>
    </xf>
    <xf numFmtId="164" fontId="48" fillId="5" borderId="1" xfId="1" applyFont="1" applyFill="1" applyBorder="1" applyAlignment="1">
      <alignment horizontal="center" vertical="center"/>
    </xf>
    <xf numFmtId="164" fontId="48" fillId="2" borderId="1" xfId="1" applyFont="1" applyFill="1" applyBorder="1" applyAlignment="1">
      <alignment horizontal="center" vertical="top" wrapText="1"/>
    </xf>
    <xf numFmtId="164" fontId="48" fillId="5" borderId="1" xfId="1" applyFont="1" applyFill="1" applyBorder="1" applyAlignment="1">
      <alignment horizontal="center" vertical="top" wrapText="1"/>
    </xf>
    <xf numFmtId="164" fontId="17" fillId="0" borderId="1" xfId="1" applyFont="1" applyBorder="1" applyAlignment="1">
      <alignment horizontal="center" vertical="center"/>
    </xf>
    <xf numFmtId="171" fontId="0" fillId="0" borderId="0" xfId="0" applyNumberFormat="1" applyAlignment="1">
      <alignment horizontal="center" vertical="center"/>
    </xf>
    <xf numFmtId="9" fontId="0" fillId="0" borderId="0" xfId="0" applyNumberFormat="1" applyAlignment="1">
      <alignment horizontal="center" vertical="center"/>
    </xf>
    <xf numFmtId="0" fontId="16" fillId="19" borderId="1" xfId="9" applyFont="1" applyFill="1" applyBorder="1" applyAlignment="1">
      <alignment horizontal="left" vertical="top"/>
    </xf>
    <xf numFmtId="0" fontId="16" fillId="19" borderId="1" xfId="9" applyFont="1" applyFill="1" applyBorder="1" applyAlignment="1">
      <alignment horizontal="center" vertical="top"/>
    </xf>
    <xf numFmtId="49" fontId="16" fillId="19" borderId="1" xfId="9" applyNumberFormat="1" applyFont="1" applyFill="1" applyBorder="1" applyAlignment="1">
      <alignment horizontal="left" vertical="top"/>
    </xf>
    <xf numFmtId="0" fontId="54" fillId="0" borderId="0" xfId="0" applyFont="1">
      <alignment vertical="center"/>
    </xf>
    <xf numFmtId="0" fontId="55" fillId="0" borderId="1" xfId="0" applyNumberFormat="1" applyFont="1" applyBorder="1" applyAlignment="1">
      <alignment horizontal="center" vertical="center" wrapText="1"/>
    </xf>
    <xf numFmtId="0" fontId="54" fillId="0" borderId="0" xfId="0" applyFont="1" applyAlignment="1">
      <alignment horizontal="center" vertical="center"/>
    </xf>
    <xf numFmtId="0" fontId="12" fillId="0" borderId="0" xfId="0" applyFont="1">
      <alignment vertical="center"/>
    </xf>
    <xf numFmtId="0" fontId="14" fillId="20" borderId="0" xfId="0" applyFont="1" applyFill="1" applyAlignment="1">
      <alignment horizontal="center" vertical="center"/>
    </xf>
    <xf numFmtId="0" fontId="14" fillId="20" borderId="0" xfId="0" applyFont="1" applyFill="1">
      <alignment vertical="center"/>
    </xf>
    <xf numFmtId="0" fontId="14" fillId="2" borderId="0" xfId="0" applyFont="1" applyFill="1">
      <alignment vertical="center"/>
    </xf>
    <xf numFmtId="0" fontId="12" fillId="20" borderId="0" xfId="0" applyFont="1" applyFill="1" applyAlignment="1">
      <alignment horizontal="center" vertical="center"/>
    </xf>
    <xf numFmtId="0" fontId="12" fillId="20" borderId="0" xfId="0" applyFont="1" applyFill="1">
      <alignment vertical="center"/>
    </xf>
    <xf numFmtId="0" fontId="14" fillId="0" borderId="0" xfId="0" quotePrefix="1" applyFont="1">
      <alignment vertical="center"/>
    </xf>
    <xf numFmtId="0" fontId="14" fillId="21" borderId="0" xfId="0" applyFont="1" applyFill="1" applyAlignment="1">
      <alignment horizontal="center" vertical="center"/>
    </xf>
    <xf numFmtId="0" fontId="14" fillId="21" borderId="0" xfId="0" applyFont="1" applyFill="1">
      <alignment vertical="center"/>
    </xf>
    <xf numFmtId="49" fontId="16" fillId="19" borderId="1" xfId="9" applyNumberFormat="1" applyFont="1" applyFill="1" applyBorder="1" applyAlignment="1">
      <alignment horizontal="center" vertical="top"/>
    </xf>
    <xf numFmtId="164" fontId="16" fillId="19" borderId="1" xfId="1" applyFont="1" applyFill="1" applyBorder="1" applyAlignment="1">
      <alignment vertical="top"/>
    </xf>
    <xf numFmtId="164" fontId="54" fillId="0" borderId="0" xfId="1" applyFont="1" applyAlignment="1">
      <alignment vertical="center"/>
    </xf>
    <xf numFmtId="164" fontId="12" fillId="0" borderId="0" xfId="1" applyFont="1" applyAlignment="1">
      <alignment vertical="center"/>
    </xf>
    <xf numFmtId="164" fontId="54" fillId="2" borderId="0" xfId="1" applyFont="1" applyFill="1" applyAlignment="1">
      <alignment vertical="center"/>
    </xf>
    <xf numFmtId="170" fontId="48" fillId="3" borderId="1" xfId="4" applyNumberFormat="1" applyFont="1" applyFill="1" applyBorder="1" applyAlignment="1">
      <alignment horizontal="center" vertical="center"/>
    </xf>
    <xf numFmtId="0" fontId="45" fillId="10" borderId="1" xfId="0" applyFont="1" applyFill="1" applyBorder="1" applyAlignment="1">
      <alignment horizontal="left" vertical="top" wrapText="1"/>
    </xf>
    <xf numFmtId="0" fontId="41" fillId="0" borderId="1" xfId="0" applyFont="1" applyBorder="1" applyAlignment="1">
      <alignment horizontal="left" vertical="center" wrapText="1"/>
    </xf>
    <xf numFmtId="0" fontId="43" fillId="0" borderId="1" xfId="0" applyFont="1" applyBorder="1" applyAlignment="1">
      <alignment horizontal="left" vertical="center" wrapText="1"/>
    </xf>
    <xf numFmtId="0" fontId="41" fillId="13" borderId="1" xfId="0" applyFont="1" applyFill="1" applyBorder="1" applyAlignment="1">
      <alignment horizontal="left" vertical="center" wrapText="1"/>
    </xf>
    <xf numFmtId="0" fontId="41" fillId="0" borderId="13" xfId="0" applyFont="1" applyBorder="1" applyAlignment="1">
      <alignment horizontal="center" vertical="center" wrapText="1"/>
    </xf>
    <xf numFmtId="0" fontId="41" fillId="0" borderId="14" xfId="0" applyFont="1" applyBorder="1" applyAlignment="1">
      <alignment horizontal="center" vertical="center" wrapText="1"/>
    </xf>
    <xf numFmtId="0" fontId="41" fillId="0" borderId="15" xfId="0" applyFont="1" applyBorder="1" applyAlignment="1">
      <alignment horizontal="center" vertical="center" wrapText="1"/>
    </xf>
    <xf numFmtId="0" fontId="41" fillId="0" borderId="13" xfId="0" applyFont="1" applyBorder="1" applyAlignment="1">
      <alignment horizontal="left" vertical="center" wrapText="1"/>
    </xf>
    <xf numFmtId="0" fontId="41" fillId="0" borderId="14" xfId="0" applyFont="1" applyBorder="1" applyAlignment="1">
      <alignment horizontal="left" vertical="center" wrapText="1"/>
    </xf>
    <xf numFmtId="0" fontId="41" fillId="0" borderId="15" xfId="0" applyFont="1" applyBorder="1" applyAlignment="1">
      <alignment horizontal="left" vertical="center" wrapText="1"/>
    </xf>
    <xf numFmtId="0" fontId="0" fillId="10" borderId="11" xfId="0" applyFill="1" applyBorder="1" applyAlignment="1">
      <alignment horizontal="left" vertical="top" wrapText="1"/>
    </xf>
    <xf numFmtId="0" fontId="0" fillId="10" borderId="11" xfId="0" applyFill="1" applyBorder="1" applyAlignment="1">
      <alignment horizontal="left" vertical="top"/>
    </xf>
    <xf numFmtId="0" fontId="0" fillId="10" borderId="0" xfId="0" applyFill="1" applyAlignment="1">
      <alignment horizontal="left" vertical="top"/>
    </xf>
    <xf numFmtId="49" fontId="25" fillId="8" borderId="2" xfId="4" applyNumberFormat="1" applyFont="1" applyFill="1" applyBorder="1" applyAlignment="1">
      <alignment horizontal="center" vertical="center" wrapText="1"/>
    </xf>
    <xf numFmtId="49" fontId="25" fillId="8" borderId="8" xfId="4" applyNumberFormat="1" applyFont="1" applyFill="1" applyBorder="1" applyAlignment="1">
      <alignment horizontal="center" vertical="center" wrapText="1"/>
    </xf>
    <xf numFmtId="49" fontId="25" fillId="8" borderId="3" xfId="4" applyNumberFormat="1" applyFont="1" applyFill="1" applyBorder="1" applyAlignment="1">
      <alignment horizontal="center" vertical="center" wrapText="1"/>
    </xf>
    <xf numFmtId="170" fontId="25" fillId="8" borderId="8" xfId="4" applyNumberFormat="1" applyFont="1" applyFill="1" applyBorder="1" applyAlignment="1">
      <alignment horizontal="center" vertical="center"/>
    </xf>
    <xf numFmtId="170" fontId="25" fillId="8" borderId="3" xfId="4" applyNumberFormat="1" applyFont="1" applyFill="1" applyBorder="1" applyAlignment="1">
      <alignment horizontal="center" vertical="center"/>
    </xf>
    <xf numFmtId="169" fontId="25" fillId="8" borderId="2" xfId="4" applyNumberFormat="1" applyFont="1" applyFill="1" applyBorder="1" applyAlignment="1">
      <alignment horizontal="center" vertical="center"/>
    </xf>
    <xf numFmtId="169" fontId="25" fillId="8" borderId="3" xfId="4" applyNumberFormat="1" applyFont="1" applyFill="1" applyBorder="1" applyAlignment="1">
      <alignment horizontal="center" vertical="center"/>
    </xf>
    <xf numFmtId="49" fontId="25" fillId="8" borderId="1" xfId="4" applyNumberFormat="1" applyFont="1" applyFill="1" applyBorder="1" applyAlignment="1">
      <alignment horizontal="center" vertical="center"/>
    </xf>
    <xf numFmtId="168" fontId="25" fillId="8" borderId="1" xfId="4" applyFont="1" applyFill="1" applyBorder="1" applyAlignment="1">
      <alignment horizontal="center" vertical="center"/>
    </xf>
    <xf numFmtId="49" fontId="25" fillId="8" borderId="1" xfId="4" applyNumberFormat="1" applyFont="1" applyFill="1" applyBorder="1" applyAlignment="1">
      <alignment horizontal="center" vertical="center" wrapText="1"/>
    </xf>
    <xf numFmtId="169" fontId="25" fillId="8" borderId="8" xfId="4" applyNumberFormat="1" applyFont="1" applyFill="1" applyBorder="1" applyAlignment="1">
      <alignment horizontal="center" vertical="center" wrapText="1"/>
    </xf>
    <xf numFmtId="169" fontId="25" fillId="8" borderId="3" xfId="4" applyNumberFormat="1" applyFont="1" applyFill="1" applyBorder="1" applyAlignment="1">
      <alignment horizontal="center" vertical="center" wrapText="1"/>
    </xf>
    <xf numFmtId="0" fontId="25" fillId="8" borderId="8" xfId="4" applyNumberFormat="1" applyFont="1" applyFill="1" applyBorder="1" applyAlignment="1">
      <alignment horizontal="center" vertical="center" wrapText="1"/>
    </xf>
    <xf numFmtId="0" fontId="25" fillId="8" borderId="3" xfId="4" applyNumberFormat="1" applyFont="1" applyFill="1" applyBorder="1" applyAlignment="1">
      <alignment horizontal="center" vertical="center" wrapText="1"/>
    </xf>
    <xf numFmtId="169" fontId="25" fillId="8" borderId="1" xfId="4" applyNumberFormat="1" applyFont="1" applyFill="1" applyBorder="1" applyAlignment="1">
      <alignment horizontal="center" vertical="center" wrapText="1"/>
    </xf>
    <xf numFmtId="169" fontId="27" fillId="7" borderId="8" xfId="4" applyNumberFormat="1" applyFont="1" applyFill="1" applyBorder="1" applyAlignment="1">
      <alignment horizontal="center" vertical="center" wrapText="1"/>
    </xf>
    <xf numFmtId="169" fontId="27" fillId="7" borderId="3" xfId="4" applyNumberFormat="1" applyFont="1" applyFill="1" applyBorder="1" applyAlignment="1">
      <alignment horizontal="center" vertical="center" wrapText="1"/>
    </xf>
    <xf numFmtId="0" fontId="19" fillId="0" borderId="4" xfId="5" applyFont="1" applyBorder="1" applyAlignment="1">
      <alignment horizontal="center" vertical="center"/>
    </xf>
    <xf numFmtId="0" fontId="19" fillId="0" borderId="5" xfId="5" applyFont="1" applyBorder="1" applyAlignment="1">
      <alignment horizontal="center" vertical="center"/>
    </xf>
    <xf numFmtId="0" fontId="19" fillId="0" borderId="6" xfId="5" applyFont="1" applyBorder="1" applyAlignment="1">
      <alignment horizontal="center" vertical="center"/>
    </xf>
    <xf numFmtId="0" fontId="18" fillId="0" borderId="0" xfId="5" applyAlignment="1">
      <alignment horizontal="center" vertical="center"/>
    </xf>
    <xf numFmtId="49" fontId="24" fillId="8" borderId="8" xfId="4" applyNumberFormat="1" applyFont="1" applyFill="1" applyBorder="1" applyAlignment="1">
      <alignment horizontal="center" vertical="center"/>
    </xf>
    <xf numFmtId="49" fontId="25" fillId="8" borderId="3" xfId="4" applyNumberFormat="1" applyFont="1" applyFill="1" applyBorder="1" applyAlignment="1">
      <alignment horizontal="center" vertical="center"/>
    </xf>
    <xf numFmtId="168" fontId="25" fillId="8" borderId="8" xfId="4" applyFont="1" applyFill="1" applyBorder="1" applyAlignment="1">
      <alignment horizontal="center" vertical="center"/>
    </xf>
    <xf numFmtId="168" fontId="25" fillId="8" borderId="3" xfId="4" applyFont="1" applyFill="1" applyBorder="1" applyAlignment="1">
      <alignment horizontal="center" vertical="center"/>
    </xf>
    <xf numFmtId="169" fontId="25" fillId="8" borderId="8" xfId="4" applyNumberFormat="1" applyFont="1" applyFill="1" applyBorder="1" applyAlignment="1">
      <alignment horizontal="center" vertical="center"/>
    </xf>
    <xf numFmtId="0" fontId="56" fillId="9" borderId="1" xfId="11" applyFont="1" applyFill="1" applyBorder="1" applyAlignment="1">
      <alignment horizontal="center" vertical="top"/>
    </xf>
    <xf numFmtId="0" fontId="56" fillId="0" borderId="1" xfId="11" applyFont="1" applyBorder="1" applyAlignment="1">
      <alignment horizontal="center" vertical="top"/>
    </xf>
    <xf numFmtId="0" fontId="56" fillId="0" borderId="1" xfId="11" applyFont="1" applyBorder="1" applyAlignment="1">
      <alignment horizontal="center" vertical="center"/>
    </xf>
    <xf numFmtId="0" fontId="0" fillId="0" borderId="0" xfId="0" applyFont="1" applyAlignment="1">
      <alignment horizontal="center"/>
    </xf>
    <xf numFmtId="0" fontId="0" fillId="0" borderId="0" xfId="0" applyFont="1" applyAlignment="1">
      <alignment horizontal="center" vertical="center"/>
    </xf>
    <xf numFmtId="0" fontId="0" fillId="0" borderId="1" xfId="0" applyFont="1" applyBorder="1" applyAlignment="1">
      <alignment horizontal="center"/>
    </xf>
    <xf numFmtId="0" fontId="56" fillId="0" borderId="0" xfId="11" applyFont="1" applyBorder="1" applyAlignment="1">
      <alignment horizontal="center" vertical="center"/>
    </xf>
    <xf numFmtId="0" fontId="0" fillId="0" borderId="1" xfId="0" applyFont="1" applyBorder="1" applyAlignment="1">
      <alignment horizontal="center" vertical="center"/>
    </xf>
    <xf numFmtId="0" fontId="0" fillId="0" borderId="0" xfId="0" applyFont="1" applyBorder="1" applyAlignment="1">
      <alignment horizontal="center"/>
    </xf>
    <xf numFmtId="0" fontId="0" fillId="0" borderId="0" xfId="0" applyFont="1" applyBorder="1" applyAlignment="1">
      <alignment horizontal="center" vertical="center"/>
    </xf>
    <xf numFmtId="0" fontId="57" fillId="0" borderId="1" xfId="0" applyFont="1" applyBorder="1" applyAlignment="1">
      <alignment horizontal="center" vertical="center"/>
    </xf>
  </cellXfs>
  <cellStyles count="12">
    <cellStyle name="百分比" xfId="2" builtinId="5"/>
    <cellStyle name="百分比 2" xfId="6" xr:uid="{16ACABB4-155A-4E46-AA5A-8C9860533814}"/>
    <cellStyle name="百分比 2 2" xfId="8" xr:uid="{2A6832E4-1F30-4570-8ED5-0D345673A736}"/>
    <cellStyle name="常规" xfId="0" builtinId="0"/>
    <cellStyle name="常规 2" xfId="5" xr:uid="{98C9B2E3-3053-4AA5-9558-AE0C5EFF658E}"/>
    <cellStyle name="常规 2 15 2" xfId="11" xr:uid="{E70DDA55-8879-4A9F-898F-D8659E9EDDE1}"/>
    <cellStyle name="常规 2 2 2 3" xfId="4" xr:uid="{E44514ED-F3D0-4190-B192-A9F5A2C7E8C9}"/>
    <cellStyle name="常规 2 7" xfId="9" xr:uid="{1A99D438-D41D-40D9-B104-E90E905291A3}"/>
    <cellStyle name="超链接" xfId="10" builtinId="8"/>
    <cellStyle name="千位分隔" xfId="1" builtinId="3"/>
    <cellStyle name="千位分隔 2" xfId="3" xr:uid="{21CEFFA8-42FE-459E-9A05-93AC86121542}"/>
    <cellStyle name="千位分隔 3" xfId="7" xr:uid="{A19D2618-42B8-4307-B78A-EC886C71104F}"/>
  </cellStyles>
  <dxfs count="11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fill>
        <patternFill patternType="solid">
          <bgColor rgb="FFFFFF00"/>
        </patternFill>
      </fill>
    </dxf>
    <dxf>
      <font>
        <color rgb="FFFF0000"/>
      </font>
    </dxf>
    <dxf>
      <font>
        <color auto="1"/>
      </font>
    </dxf>
    <dxf>
      <font>
        <color auto="1"/>
      </font>
    </dxf>
    <dxf>
      <font>
        <color auto="1"/>
      </font>
    </dxf>
    <dxf>
      <font>
        <color auto="1"/>
      </font>
    </dxf>
    <dxf>
      <fill>
        <patternFill patternType="none">
          <bgColor auto="1"/>
        </patternFill>
      </fill>
    </dxf>
    <dxf>
      <fill>
        <patternFill patternType="none">
          <bgColor auto="1"/>
        </patternFill>
      </fill>
    </dxf>
    <dxf>
      <font>
        <b val="0"/>
        <i val="0"/>
        <strike val="0"/>
        <condense val="0"/>
        <extend val="0"/>
        <outline val="0"/>
        <shadow val="0"/>
        <u val="none"/>
        <vertAlign val="baseline"/>
        <sz val="11"/>
        <color theme="1"/>
        <name val="等线"/>
        <family val="2"/>
        <charset val="134"/>
        <scheme val="minor"/>
      </font>
    </dxf>
    <dxf>
      <alignment horizontal="center"/>
    </dxf>
    <dxf>
      <alignment horizontal="center"/>
    </dxf>
    <dxf>
      <fill>
        <patternFill patternType="none">
          <bgColor auto="1"/>
        </patternFill>
      </fill>
    </dxf>
    <dxf>
      <fill>
        <patternFill patternType="solid">
          <bgColor rgb="FFFFFF00"/>
        </patternFill>
      </fill>
    </dxf>
    <dxf>
      <numFmt numFmtId="167" formatCode="_(* #,##0_);_(* \(#,##0\);_(* &quot;-&quot;??_);_(@_)"/>
    </dxf>
    <dxf>
      <numFmt numFmtId="167" formatCode="_(* #,##0_);_(* \(#,##0\);_(* &quot;-&quot;??_);_(@_)"/>
    </dxf>
    <dxf>
      <alignment wrapText="1"/>
    </dxf>
    <dxf>
      <alignment horizontal="center"/>
    </dxf>
    <dxf>
      <numFmt numFmtId="167" formatCode="_(* #,##0_);_(* \(#,##0\);_(* &quot;-&quot;??_);_(@_)"/>
    </dxf>
    <dxf>
      <numFmt numFmtId="167"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2.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externalLink" Target="externalLinks/externalLink5.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4.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2.xml"/><Relationship Id="rId28"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externalLink" Target="externalLinks/externalLink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1.xml"/><Relationship Id="rId27"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Lucy\Mapping&#34920;.xlsx" TargetMode="External"/><Relationship Id="rId1" Type="http://schemas.openxmlformats.org/officeDocument/2006/relationships/externalLinkPath" Target="/Lucy/Mapping&#34920;.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Lucy\&#20379;&#24212;&#38142;\5220%20Product%20Information%20Report%2020260511.xlsx" TargetMode="External"/><Relationship Id="rId1" Type="http://schemas.openxmlformats.org/officeDocument/2006/relationships/externalLinkPath" Target="/Lucy/&#20379;&#24212;&#38142;/5220%20Product%20Information%20Report%2020260511.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C:\Lucy\Cost%20information%20-%20Jul%20YTD%20from%20crystal%200826.xlsx" TargetMode="External"/><Relationship Id="rId1" Type="http://schemas.openxmlformats.org/officeDocument/2006/relationships/externalLinkPath" Target="/Lucy/Cost%20information%20-%20Jul%20YTD%20from%20crystal%200826.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file:///C:\Lucy\RKA\FMC&#20135;&#21697;-Kleenex%20-%20&#20840;&#22269;&#20215;&#30424;-0422%20from%20desheng.xlsx" TargetMode="External"/><Relationship Id="rId1" Type="http://schemas.openxmlformats.org/officeDocument/2006/relationships/externalLinkPath" Target="/Lucy/RKA/FMC&#20135;&#21697;-Kleenex%20-%20&#20840;&#22269;&#20215;&#30424;-0422%20from%20desheng.xlsx"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https://kimberlyclark-my.sharepoint.com/personal/desheng_shen_kcc_com/Documents/Documents/WeChat%20Files/05-&#22522;&#26412;&#25968;&#25454;/FMC-2024&#38144;&#37327;&#24773;&#20917;%2020250114.xlsx" TargetMode="External"/><Relationship Id="rId1" Type="http://schemas.openxmlformats.org/officeDocument/2006/relationships/externalLinkPath" Target="/personal/desheng_shen_kcc_com/Documents/Documents/WeChat%20Files/05-&#22522;&#26412;&#25968;&#25454;/FMC-2024&#38144;&#37327;&#24773;&#20917;%202025011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DLP mapping"/>
      <sheetName val="Vendor code"/>
      <sheetName val="GT团购项目"/>
      <sheetName val="Sheet1"/>
      <sheetName val="link"/>
      <sheetName val="POS"/>
      <sheetName val="订单价格"/>
      <sheetName val="订单日"/>
      <sheetName val="Assortment"/>
      <sheetName val="产品信息表"/>
      <sheetName val="新品领样"/>
      <sheetName val="PPT&amp;4Q Mapping"/>
      <sheetName val="日报mapping-&gt;"/>
      <sheetName val="Sheet5"/>
      <sheetName val="Sheet4"/>
      <sheetName val="EC&amp;NKA&amp;Region&amp;Others-Y25"/>
      <sheetName val="EC&amp;NKA&amp;Region&amp;Others-Y26"/>
      <sheetName val="NKA客户名单转换"/>
      <sheetName val="客户层次"/>
      <sheetName val="客户结构表-NKA"/>
      <sheetName val="Sheet6"/>
      <sheetName val="2023-2025 customer level"/>
      <sheetName val="Sheet2"/>
      <sheetName val="四联单录入客户"/>
      <sheetName val="Sheet3"/>
      <sheetName val="导invoice"/>
      <sheetName val="coverage"/>
      <sheetName val="supplychain"/>
      <sheetName val="KA对应account"/>
      <sheetName val="盒马mapping-&gt;"/>
      <sheetName val="盒马大仓"/>
      <sheetName val="大润发mapping-&gt;"/>
      <sheetName val="大润发分销data"/>
      <sheetName val="大润发分区"/>
      <sheetName val="大润发档期"/>
      <sheetName val="沃尔玛mapping-&gt;"/>
      <sheetName val="沃尔玛费用类型"/>
      <sheetName val="屈臣氏mapping-&gt;"/>
      <sheetName val="屈臣氏正常售价"/>
      <sheetName val="核销费用类型"/>
      <sheetName val="费用预提mapping"/>
      <sheetName val="mapping"/>
    </sheetNames>
    <sheetDataSet>
      <sheetData sheetId="0"/>
      <sheetData sheetId="1"/>
      <sheetData sheetId="2"/>
      <sheetData sheetId="3"/>
      <sheetData sheetId="4"/>
      <sheetData sheetId="5"/>
      <sheetData sheetId="6"/>
      <sheetData sheetId="7"/>
      <sheetData sheetId="8">
        <row r="1">
          <cell r="L1" t="str">
            <v>EA per Case</v>
          </cell>
          <cell r="Q1">
            <v>3.8</v>
          </cell>
          <cell r="R1">
            <v>6.75</v>
          </cell>
          <cell r="S1" t="str">
            <v>建议零售价</v>
          </cell>
          <cell r="U1" t="str">
            <v>分销情况</v>
          </cell>
          <cell r="V1" t="str">
            <v>NKA</v>
          </cell>
          <cell r="W1" t="str">
            <v>NKA</v>
          </cell>
          <cell r="X1" t="str">
            <v>NKA</v>
          </cell>
          <cell r="Y1" t="str">
            <v>NKA</v>
          </cell>
          <cell r="Z1" t="str">
            <v>NKA</v>
          </cell>
          <cell r="AA1" t="str">
            <v>NKA</v>
          </cell>
          <cell r="AB1" t="str">
            <v>NKA</v>
          </cell>
          <cell r="AC1" t="str">
            <v>NKA</v>
          </cell>
          <cell r="AD1" t="str">
            <v>NKA</v>
          </cell>
          <cell r="AE1" t="str">
            <v>RKA</v>
          </cell>
          <cell r="AM1" t="str">
            <v>Middle Pack 3D mm</v>
          </cell>
          <cell r="AN1" t="str">
            <v>Middle Pack 3D mm</v>
          </cell>
          <cell r="AO1" t="str">
            <v>Middle Pack 3D mm</v>
          </cell>
          <cell r="AV1" t="str">
            <v>新增客户</v>
          </cell>
          <cell r="AY1" t="str">
            <v>新增客户</v>
          </cell>
          <cell r="AZ1" t="str">
            <v>新增客户</v>
          </cell>
          <cell r="BA1" t="str">
            <v>新增客户</v>
          </cell>
        </row>
        <row r="2">
          <cell r="F2" t="str">
            <v>Product Code</v>
          </cell>
          <cell r="G2" t="str">
            <v>code</v>
          </cell>
          <cell r="H2" t="str">
            <v>Barcode（EA）</v>
          </cell>
          <cell r="I2" t="str">
            <v>Material</v>
          </cell>
          <cell r="J2" t="str">
            <v>描述</v>
          </cell>
          <cell r="K2" t="str">
            <v>Material Description</v>
          </cell>
          <cell r="L2" t="str">
            <v>EA箱规</v>
          </cell>
          <cell r="M2" t="str">
            <v>内容</v>
          </cell>
          <cell r="N2" t="str">
            <v>片数</v>
          </cell>
          <cell r="O2" t="str">
            <v>张/箱</v>
          </cell>
          <cell r="P2" t="str">
            <v>Size/EA</v>
          </cell>
          <cell r="Q2" t="str">
            <v>Volume</v>
          </cell>
          <cell r="R2" t="str">
            <v>纸张尺寸</v>
          </cell>
          <cell r="S2" t="str">
            <v>PR00
(未税)</v>
          </cell>
          <cell r="T2" t="str">
            <v>PR00/EA
(未税)</v>
          </cell>
          <cell r="U2" t="str">
            <v>大润发</v>
          </cell>
          <cell r="V2" t="str">
            <v>山姆</v>
          </cell>
          <cell r="W2" t="str">
            <v>盒马</v>
          </cell>
          <cell r="X2" t="str">
            <v>万宁</v>
          </cell>
          <cell r="Y2" t="str">
            <v>屈臣氏</v>
          </cell>
          <cell r="Z2" t="str">
            <v>麦德龙</v>
          </cell>
          <cell r="AA2" t="str">
            <v>永辉</v>
          </cell>
          <cell r="AB2" t="str">
            <v>沃尔玛</v>
          </cell>
          <cell r="AC2" t="str">
            <v>ole</v>
          </cell>
          <cell r="AD2" t="str">
            <v>小象超市</v>
          </cell>
          <cell r="AE2" t="str">
            <v>NKA TTL</v>
          </cell>
          <cell r="AF2" t="str">
            <v>产品系列</v>
          </cell>
          <cell r="AG2" t="str">
            <v>Product Code</v>
          </cell>
          <cell r="AH2" t="str">
            <v>四联单品类</v>
          </cell>
          <cell r="AI2" t="str">
            <v>产品系列</v>
          </cell>
          <cell r="AJ2" t="str">
            <v>包/箱</v>
          </cell>
          <cell r="AK2" t="str">
            <v>净重/箱</v>
          </cell>
          <cell r="AL2" t="str">
            <v>单包克重约</v>
          </cell>
          <cell r="AM2" t="str">
            <v>长</v>
          </cell>
          <cell r="AN2" t="str">
            <v>宽</v>
          </cell>
          <cell r="AO2" t="str">
            <v>高</v>
          </cell>
          <cell r="AP2" t="str">
            <v>Barcode（EA）</v>
          </cell>
          <cell r="AQ2" t="str">
            <v>Prod. Hier.- Packing</v>
          </cell>
          <cell r="AR2" t="str">
            <v>产品代码前4位</v>
          </cell>
          <cell r="AS2" t="str">
            <v>Product Code</v>
          </cell>
          <cell r="AT2" t="str">
            <v>COGS%</v>
          </cell>
          <cell r="AU2" t="str">
            <v>COGS
(EA)</v>
          </cell>
          <cell r="AV2" t="str">
            <v>其他</v>
          </cell>
          <cell r="AW2" t="str">
            <v>中包装</v>
          </cell>
          <cell r="AX2" t="str">
            <v>PPT产品分类</v>
          </cell>
          <cell r="AY2" t="str">
            <v>胖东来</v>
          </cell>
          <cell r="AZ2" t="str">
            <v>大张</v>
          </cell>
          <cell r="BA2" t="str">
            <v>美嘉乐</v>
          </cell>
        </row>
        <row r="3">
          <cell r="F3" t="str">
            <v>2660-00</v>
          </cell>
          <cell r="G3">
            <v>266000</v>
          </cell>
          <cell r="H3" t="str">
            <v>6923589426600</v>
          </cell>
          <cell r="I3" t="str">
            <v>14014255</v>
          </cell>
          <cell r="J3" t="str">
            <v>266000舒洁湿厕纸80片</v>
          </cell>
          <cell r="K3" t="str">
            <v>D266000KS PW FAMILY PACK 80'S</v>
          </cell>
          <cell r="L3">
            <v>24</v>
          </cell>
          <cell r="M3" t="str">
            <v>80p</v>
          </cell>
          <cell r="N3">
            <v>80</v>
          </cell>
          <cell r="O3">
            <v>1920</v>
          </cell>
          <cell r="P3" t="str">
            <v>334*314*277</v>
          </cell>
          <cell r="Q3">
            <v>2.9000000000000001E-2</v>
          </cell>
          <cell r="R3" t="str">
            <v>200*133</v>
          </cell>
          <cell r="S3">
            <v>326.88</v>
          </cell>
          <cell r="T3">
            <v>13.62</v>
          </cell>
          <cell r="AA3">
            <v>1</v>
          </cell>
          <cell r="AB3">
            <v>0</v>
          </cell>
          <cell r="AC3">
            <v>0</v>
          </cell>
          <cell r="AE3">
            <v>1</v>
          </cell>
          <cell r="AF3" t="str">
            <v>湿厕纸</v>
          </cell>
          <cell r="AG3" t="str">
            <v>2660-00</v>
          </cell>
          <cell r="AH3" t="str">
            <v>舒洁湿厕纸巾</v>
          </cell>
          <cell r="AI3" t="str">
            <v>湿厕纸</v>
          </cell>
          <cell r="AJ3">
            <v>24</v>
          </cell>
          <cell r="AK3">
            <v>9.6999999999999993</v>
          </cell>
          <cell r="AL3">
            <v>404.16666666666669</v>
          </cell>
          <cell r="AM3">
            <v>170</v>
          </cell>
          <cell r="AN3">
            <v>110</v>
          </cell>
          <cell r="AO3">
            <v>66</v>
          </cell>
          <cell r="AP3" t="str">
            <v>6923589426600</v>
          </cell>
          <cell r="AQ3" t="str">
            <v>M2J</v>
          </cell>
          <cell r="AR3" t="str">
            <v>2660</v>
          </cell>
          <cell r="AS3" t="str">
            <v>2660-00</v>
          </cell>
          <cell r="AT3">
            <v>0.28160396412546912</v>
          </cell>
          <cell r="AU3">
            <v>92.050703793333341</v>
          </cell>
          <cell r="AW3">
            <v>1</v>
          </cell>
          <cell r="AX3" t="str">
            <v>湿厕纸</v>
          </cell>
          <cell r="AY3">
            <v>0</v>
          </cell>
        </row>
        <row r="4">
          <cell r="F4" t="str">
            <v>2661-00</v>
          </cell>
          <cell r="G4">
            <v>266100</v>
          </cell>
          <cell r="H4" t="str">
            <v>6923589426617</v>
          </cell>
          <cell r="I4" t="str">
            <v>14014256</v>
          </cell>
          <cell r="J4" t="str">
            <v>266100舒洁湿厕纸80片x3包</v>
          </cell>
          <cell r="K4" t="str">
            <v>266100KS PW FAMILY PACK 80'S 3P</v>
          </cell>
          <cell r="L4">
            <v>8</v>
          </cell>
          <cell r="M4" t="str">
            <v>80*3</v>
          </cell>
          <cell r="N4">
            <v>240</v>
          </cell>
          <cell r="O4">
            <v>1920</v>
          </cell>
          <cell r="P4" t="str">
            <v>444*314*215</v>
          </cell>
          <cell r="Q4">
            <v>0.03</v>
          </cell>
          <cell r="R4" t="str">
            <v>200*133</v>
          </cell>
          <cell r="S4">
            <v>310.48</v>
          </cell>
          <cell r="T4">
            <v>38.81</v>
          </cell>
          <cell r="U4">
            <v>0</v>
          </cell>
          <cell r="W4">
            <v>0</v>
          </cell>
          <cell r="AA4">
            <v>1</v>
          </cell>
          <cell r="AC4">
            <v>0</v>
          </cell>
          <cell r="AE4">
            <v>1</v>
          </cell>
          <cell r="AF4" t="str">
            <v>湿厕纸</v>
          </cell>
          <cell r="AG4" t="str">
            <v>2661-00</v>
          </cell>
          <cell r="AH4" t="str">
            <v>舒洁湿厕纸巾</v>
          </cell>
          <cell r="AI4" t="str">
            <v>湿厕纸</v>
          </cell>
          <cell r="AJ4">
            <v>24</v>
          </cell>
          <cell r="AK4">
            <v>9.6999999999999993</v>
          </cell>
          <cell r="AL4">
            <v>404.16666666666669</v>
          </cell>
          <cell r="AM4">
            <v>170</v>
          </cell>
          <cell r="AN4">
            <v>110</v>
          </cell>
          <cell r="AO4">
            <v>198</v>
          </cell>
          <cell r="AP4" t="str">
            <v>6923589426617</v>
          </cell>
          <cell r="AQ4" t="str">
            <v>M2K</v>
          </cell>
          <cell r="AR4" t="str">
            <v>2661</v>
          </cell>
          <cell r="AS4" t="str">
            <v>2661-00</v>
          </cell>
          <cell r="AT4">
            <v>0.31110004154856996</v>
          </cell>
          <cell r="AU4">
            <v>96.590340900000001</v>
          </cell>
          <cell r="AW4">
            <v>3</v>
          </cell>
          <cell r="AX4" t="str">
            <v>湿厕纸</v>
          </cell>
        </row>
        <row r="5">
          <cell r="F5" t="str">
            <v>2662-00</v>
          </cell>
          <cell r="G5">
            <v>266200</v>
          </cell>
          <cell r="H5" t="str">
            <v>6923589426624</v>
          </cell>
          <cell r="I5" t="str">
            <v>14014257</v>
          </cell>
          <cell r="J5" t="str">
            <v xml:space="preserve">266200舒洁湿厕纸80片x6包 </v>
          </cell>
          <cell r="L5">
            <v>1</v>
          </cell>
          <cell r="M5" t="str">
            <v>80*6</v>
          </cell>
          <cell r="N5">
            <v>480</v>
          </cell>
          <cell r="O5">
            <v>480</v>
          </cell>
          <cell r="P5" t="str">
            <v>223*168*204</v>
          </cell>
          <cell r="Q5">
            <v>8.0000000000000002E-3</v>
          </cell>
          <cell r="R5" t="str">
            <v>200*133</v>
          </cell>
          <cell r="S5">
            <v>69.44</v>
          </cell>
          <cell r="T5">
            <v>69.44</v>
          </cell>
          <cell r="U5">
            <v>0</v>
          </cell>
          <cell r="Z5">
            <v>0</v>
          </cell>
          <cell r="AC5">
            <v>0</v>
          </cell>
          <cell r="AE5">
            <v>0</v>
          </cell>
          <cell r="AF5" t="str">
            <v>湿厕纸</v>
          </cell>
          <cell r="AG5" t="str">
            <v>2662-00</v>
          </cell>
          <cell r="AH5" t="str">
            <v>舒洁湿厕纸巾</v>
          </cell>
          <cell r="AI5" t="str">
            <v>湿厕纸</v>
          </cell>
          <cell r="AJ5">
            <v>6</v>
          </cell>
          <cell r="AK5">
            <v>2.4</v>
          </cell>
          <cell r="AL5">
            <v>400</v>
          </cell>
          <cell r="AM5">
            <v>320</v>
          </cell>
          <cell r="AN5">
            <v>110</v>
          </cell>
          <cell r="AO5">
            <v>198</v>
          </cell>
          <cell r="AP5" t="str">
            <v>6923589426624</v>
          </cell>
          <cell r="AQ5" t="str">
            <v>M2L</v>
          </cell>
          <cell r="AR5" t="str">
            <v>2662</v>
          </cell>
          <cell r="AS5" t="str">
            <v>2662-00</v>
          </cell>
          <cell r="AT5">
            <v>0.33905454166666671</v>
          </cell>
          <cell r="AU5">
            <v>23.543947373333335</v>
          </cell>
          <cell r="AW5">
            <v>6</v>
          </cell>
          <cell r="AX5" t="str">
            <v>湿厕纸</v>
          </cell>
          <cell r="AZ5">
            <v>0</v>
          </cell>
        </row>
        <row r="6">
          <cell r="F6" t="str">
            <v>2666-00</v>
          </cell>
          <cell r="G6">
            <v>266600</v>
          </cell>
          <cell r="H6" t="str">
            <v>6923589426662</v>
          </cell>
          <cell r="I6" t="str">
            <v>14016486</v>
          </cell>
          <cell r="J6" t="str">
            <v>266600舒洁湿厕纸100片x6包-植物双萃</v>
          </cell>
          <cell r="K6" t="str">
            <v>266600KS PW FAMILY PACK 100'S 6P</v>
          </cell>
          <cell r="L6">
            <v>1</v>
          </cell>
          <cell r="M6" t="str">
            <v>100*6</v>
          </cell>
          <cell r="N6">
            <v>600</v>
          </cell>
          <cell r="O6">
            <v>600</v>
          </cell>
          <cell r="P6" t="str">
            <v>245X180X259</v>
          </cell>
          <cell r="Q6">
            <v>1.0999999999999999E-2</v>
          </cell>
          <cell r="R6" t="str">
            <v>200*133</v>
          </cell>
          <cell r="S6">
            <v>86.8</v>
          </cell>
          <cell r="T6">
            <v>86.8</v>
          </cell>
          <cell r="U6">
            <v>1</v>
          </cell>
          <cell r="Y6">
            <v>0</v>
          </cell>
          <cell r="AD6">
            <v>1</v>
          </cell>
          <cell r="AE6">
            <v>2</v>
          </cell>
          <cell r="AF6" t="str">
            <v>湿厕纸</v>
          </cell>
          <cell r="AG6" t="str">
            <v>2666-00</v>
          </cell>
          <cell r="AH6" t="str">
            <v>舒洁湿厕纸巾</v>
          </cell>
          <cell r="AI6" t="str">
            <v>湿厕纸</v>
          </cell>
          <cell r="AJ6">
            <v>6</v>
          </cell>
          <cell r="AK6">
            <v>3</v>
          </cell>
          <cell r="AL6">
            <v>500</v>
          </cell>
          <cell r="AP6" t="str">
            <v>6923589426662</v>
          </cell>
          <cell r="AQ6" t="str">
            <v>N8L</v>
          </cell>
          <cell r="AR6" t="str">
            <v>2666</v>
          </cell>
          <cell r="AS6" t="str">
            <v>2666-00</v>
          </cell>
          <cell r="AT6">
            <v>0.345821325648415</v>
          </cell>
          <cell r="AU6">
            <v>30</v>
          </cell>
          <cell r="AW6">
            <v>1</v>
          </cell>
          <cell r="AX6" t="str">
            <v>湿厕纸</v>
          </cell>
        </row>
        <row r="7">
          <cell r="F7" t="str">
            <v>2670-30</v>
          </cell>
          <cell r="G7">
            <v>267030</v>
          </cell>
          <cell r="H7" t="str">
            <v>6923589426709</v>
          </cell>
          <cell r="I7" t="str">
            <v>14014253</v>
          </cell>
          <cell r="J7" t="str">
            <v>267030舒洁湿厕纸旅行装10包装</v>
          </cell>
          <cell r="L7">
            <v>4</v>
          </cell>
          <cell r="M7" t="str">
            <v>10*10</v>
          </cell>
          <cell r="N7">
            <v>100</v>
          </cell>
          <cell r="O7">
            <v>400</v>
          </cell>
          <cell r="P7" t="str">
            <v>294*175*161</v>
          </cell>
          <cell r="Q7">
            <v>8.0000000000000002E-3</v>
          </cell>
          <cell r="R7" t="str">
            <v>200*133</v>
          </cell>
          <cell r="S7">
            <v>151.33000000000001</v>
          </cell>
          <cell r="T7">
            <v>37.832500000000003</v>
          </cell>
          <cell r="X7">
            <v>1</v>
          </cell>
          <cell r="AE7">
            <v>1</v>
          </cell>
          <cell r="AF7" t="str">
            <v>湿厕纸</v>
          </cell>
          <cell r="AG7" t="str">
            <v>2670-30</v>
          </cell>
          <cell r="AH7" t="str">
            <v>舒洁湿厕纸巾</v>
          </cell>
          <cell r="AI7" t="str">
            <v>湿厕纸</v>
          </cell>
          <cell r="AJ7">
            <v>40</v>
          </cell>
          <cell r="AK7">
            <v>2.1</v>
          </cell>
          <cell r="AL7">
            <v>52.5</v>
          </cell>
          <cell r="AM7">
            <v>160</v>
          </cell>
          <cell r="AN7">
            <v>66</v>
          </cell>
          <cell r="AO7">
            <v>135</v>
          </cell>
          <cell r="AP7" t="str">
            <v>6923589426709</v>
          </cell>
          <cell r="AQ7" t="str">
            <v>J5D</v>
          </cell>
          <cell r="AR7" t="str">
            <v>2670</v>
          </cell>
          <cell r="AS7" t="str">
            <v>2670-30</v>
          </cell>
          <cell r="AT7">
            <v>0.19861465402545753</v>
          </cell>
          <cell r="AU7">
            <v>30.056866033333332</v>
          </cell>
          <cell r="AW7">
            <v>10</v>
          </cell>
          <cell r="AX7" t="str">
            <v>湿厕纸</v>
          </cell>
        </row>
        <row r="8">
          <cell r="F8" t="str">
            <v>2694-30</v>
          </cell>
          <cell r="G8">
            <v>269430</v>
          </cell>
          <cell r="H8" t="str">
            <v>6923589426945</v>
          </cell>
          <cell r="I8" t="str">
            <v>14014247</v>
          </cell>
          <cell r="J8" t="str">
            <v>269430舒洁湿厕纸家庭装40抽</v>
          </cell>
          <cell r="K8" t="str">
            <v xml:space="preserve">D269430舒洁湿厕纸家庭装40抽 </v>
          </cell>
          <cell r="L8">
            <v>40</v>
          </cell>
          <cell r="M8" t="str">
            <v>40p</v>
          </cell>
          <cell r="N8">
            <v>40</v>
          </cell>
          <cell r="O8">
            <v>1600</v>
          </cell>
          <cell r="P8" t="str">
            <v>334*314*252</v>
          </cell>
          <cell r="Q8">
            <v>2.5999999999999999E-2</v>
          </cell>
          <cell r="R8" t="str">
            <v>200*133</v>
          </cell>
          <cell r="S8">
            <v>367.52</v>
          </cell>
          <cell r="T8">
            <v>9.1879999999999988</v>
          </cell>
          <cell r="U8">
            <v>0</v>
          </cell>
          <cell r="Y8">
            <v>0</v>
          </cell>
          <cell r="AA8">
            <v>1</v>
          </cell>
          <cell r="AC8">
            <v>0</v>
          </cell>
          <cell r="AE8">
            <v>1</v>
          </cell>
          <cell r="AF8" t="str">
            <v>湿厕纸</v>
          </cell>
          <cell r="AG8" t="str">
            <v>2694-30</v>
          </cell>
          <cell r="AH8" t="str">
            <v>舒洁湿厕纸巾</v>
          </cell>
          <cell r="AI8" t="str">
            <v>湿厕纸</v>
          </cell>
          <cell r="AJ8">
            <v>40</v>
          </cell>
          <cell r="AK8">
            <v>8.1999999999999993</v>
          </cell>
          <cell r="AL8">
            <v>205</v>
          </cell>
          <cell r="AM8">
            <v>170</v>
          </cell>
          <cell r="AN8">
            <v>106</v>
          </cell>
          <cell r="AO8">
            <v>30</v>
          </cell>
          <cell r="AP8" t="str">
            <v>6923589426945</v>
          </cell>
          <cell r="AQ8" t="str">
            <v>H8C</v>
          </cell>
          <cell r="AR8" t="str">
            <v>2694</v>
          </cell>
          <cell r="AS8" t="str">
            <v>2694-30</v>
          </cell>
          <cell r="AT8">
            <v>0.24024036796131312</v>
          </cell>
          <cell r="AU8">
            <v>88.293613306666686</v>
          </cell>
          <cell r="AW8">
            <v>1</v>
          </cell>
          <cell r="AX8" t="str">
            <v>湿厕纸</v>
          </cell>
        </row>
        <row r="9">
          <cell r="F9" t="str">
            <v>2694-40</v>
          </cell>
          <cell r="G9">
            <v>269440</v>
          </cell>
          <cell r="H9" t="str">
            <v>6923589420011</v>
          </cell>
          <cell r="I9" t="str">
            <v>14014249</v>
          </cell>
          <cell r="J9" t="str">
            <v>269440舒洁湿厕纸家庭装40抽10包装</v>
          </cell>
          <cell r="L9">
            <v>4</v>
          </cell>
          <cell r="M9" t="str">
            <v>40*10</v>
          </cell>
          <cell r="N9">
            <v>400</v>
          </cell>
          <cell r="O9">
            <v>1600</v>
          </cell>
          <cell r="P9" t="str">
            <v>334*314*252</v>
          </cell>
          <cell r="Q9">
            <v>2.5999999999999999E-2</v>
          </cell>
          <cell r="R9" t="str">
            <v>200*133</v>
          </cell>
          <cell r="S9">
            <v>330.25</v>
          </cell>
          <cell r="T9">
            <v>82.5625</v>
          </cell>
          <cell r="AE9">
            <v>0</v>
          </cell>
          <cell r="AF9" t="str">
            <v>湿厕纸</v>
          </cell>
          <cell r="AG9" t="str">
            <v>2694-40</v>
          </cell>
          <cell r="AH9" t="str">
            <v>舒洁湿厕纸巾</v>
          </cell>
          <cell r="AI9" t="str">
            <v>湿厕纸</v>
          </cell>
          <cell r="AJ9">
            <v>40</v>
          </cell>
          <cell r="AK9">
            <v>8.1999999999999993</v>
          </cell>
          <cell r="AL9">
            <v>205</v>
          </cell>
          <cell r="AM9">
            <v>320</v>
          </cell>
          <cell r="AN9">
            <v>110</v>
          </cell>
          <cell r="AO9">
            <v>158</v>
          </cell>
          <cell r="AP9" t="str">
            <v>6923589420011</v>
          </cell>
          <cell r="AQ9" t="str">
            <v>I7A</v>
          </cell>
          <cell r="AR9" t="str">
            <v>2694</v>
          </cell>
          <cell r="AS9" t="str">
            <v>2694-40</v>
          </cell>
          <cell r="AT9">
            <v>0.27846026039154059</v>
          </cell>
          <cell r="AU9">
            <v>91.961601240000022</v>
          </cell>
          <cell r="AW9">
            <v>10</v>
          </cell>
          <cell r="AX9" t="str">
            <v>湿厕纸</v>
          </cell>
          <cell r="AZ9">
            <v>0</v>
          </cell>
        </row>
        <row r="10">
          <cell r="F10" t="str">
            <v>2655-00</v>
          </cell>
          <cell r="G10">
            <v>265500</v>
          </cell>
          <cell r="H10" t="str">
            <v>6923589426556</v>
          </cell>
          <cell r="I10" t="str">
            <v>14014856</v>
          </cell>
          <cell r="J10" t="str">
            <v>265500舒洁湿厕纸7抽6包装</v>
          </cell>
          <cell r="K10" t="str">
            <v>D265500KS PW MINI PACK 7'S 6P</v>
          </cell>
          <cell r="L10">
            <v>16</v>
          </cell>
          <cell r="M10" t="str">
            <v>7*6</v>
          </cell>
          <cell r="N10">
            <v>42</v>
          </cell>
          <cell r="O10">
            <v>672</v>
          </cell>
          <cell r="P10" t="str">
            <v>253*218*221</v>
          </cell>
          <cell r="Q10">
            <v>1.2E-2</v>
          </cell>
          <cell r="R10" t="str">
            <v>140*190</v>
          </cell>
          <cell r="S10">
            <v>179.2</v>
          </cell>
          <cell r="T10">
            <v>11.2</v>
          </cell>
          <cell r="U10">
            <v>0</v>
          </cell>
          <cell r="Y10">
            <v>0</v>
          </cell>
          <cell r="AA10">
            <v>1</v>
          </cell>
          <cell r="AC10">
            <v>0</v>
          </cell>
          <cell r="AE10">
            <v>1</v>
          </cell>
          <cell r="AF10" t="str">
            <v>湿厕纸</v>
          </cell>
          <cell r="AG10" t="str">
            <v>2655-00</v>
          </cell>
          <cell r="AH10" t="str">
            <v>舒洁湿厕纸巾</v>
          </cell>
          <cell r="AI10" t="str">
            <v>湿厕纸</v>
          </cell>
          <cell r="AJ10">
            <v>96</v>
          </cell>
          <cell r="AK10">
            <v>3.4</v>
          </cell>
          <cell r="AL10">
            <v>35.416666666666664</v>
          </cell>
          <cell r="AM10">
            <v>120</v>
          </cell>
          <cell r="AN10">
            <v>40</v>
          </cell>
          <cell r="AO10">
            <v>100</v>
          </cell>
          <cell r="AP10" t="str">
            <v>6923589426556</v>
          </cell>
          <cell r="AQ10" t="str">
            <v>M6R</v>
          </cell>
          <cell r="AR10" t="str">
            <v>2655</v>
          </cell>
          <cell r="AS10" t="str">
            <v>2655-00</v>
          </cell>
          <cell r="AT10">
            <v>0.27329499334343116</v>
          </cell>
          <cell r="AU10">
            <v>48.974462807142864</v>
          </cell>
          <cell r="AW10">
            <v>6</v>
          </cell>
          <cell r="AX10" t="str">
            <v>湿厕纸</v>
          </cell>
        </row>
        <row r="11">
          <cell r="F11" t="str">
            <v>2673-00</v>
          </cell>
          <cell r="G11">
            <v>267300</v>
          </cell>
          <cell r="H11" t="str">
            <v>6923589426730</v>
          </cell>
          <cell r="I11" t="str">
            <v>14016683</v>
          </cell>
          <cell r="J11" t="str">
            <v>267300舒洁山茶花系列湿厕纸60片</v>
          </cell>
          <cell r="K11" t="str">
            <v>267300KS PW Camellia 60'S</v>
          </cell>
          <cell r="L11">
            <v>24</v>
          </cell>
          <cell r="M11" t="str">
            <v>60p</v>
          </cell>
          <cell r="N11">
            <v>60</v>
          </cell>
          <cell r="O11">
            <v>1440</v>
          </cell>
          <cell r="P11" t="str">
            <v>344X326X232</v>
          </cell>
          <cell r="Q11">
            <v>2.5999999999999999E-2</v>
          </cell>
          <cell r="R11" t="str">
            <v>200*140</v>
          </cell>
          <cell r="S11">
            <v>244.8</v>
          </cell>
          <cell r="T11">
            <v>10.200000000000001</v>
          </cell>
          <cell r="U11">
            <v>1</v>
          </cell>
          <cell r="Y11">
            <v>0</v>
          </cell>
          <cell r="AE11">
            <v>2</v>
          </cell>
          <cell r="AF11" t="str">
            <v>湿厕纸</v>
          </cell>
          <cell r="AG11" t="str">
            <v>2673-00</v>
          </cell>
          <cell r="AH11" t="str">
            <v>舒洁湿厕纸巾</v>
          </cell>
          <cell r="AI11" t="str">
            <v>湿厕纸</v>
          </cell>
          <cell r="AJ11">
            <v>24</v>
          </cell>
          <cell r="AK11">
            <v>9.5</v>
          </cell>
          <cell r="AL11">
            <v>395.83333333333331</v>
          </cell>
          <cell r="AM11">
            <v>140</v>
          </cell>
          <cell r="AN11">
            <v>100</v>
          </cell>
          <cell r="AO11">
            <v>47</v>
          </cell>
          <cell r="AP11" t="str">
            <v>6923589426730</v>
          </cell>
          <cell r="AQ11" t="str">
            <v>O0W</v>
          </cell>
          <cell r="AR11" t="str">
            <v>2673</v>
          </cell>
          <cell r="AS11" t="str">
            <v>2673-00</v>
          </cell>
          <cell r="AT11">
            <v>0.36704560612161535</v>
          </cell>
          <cell r="AU11">
            <v>89.852764378571436</v>
          </cell>
          <cell r="AW11">
            <v>1</v>
          </cell>
          <cell r="AX11" t="str">
            <v>湿厕纸</v>
          </cell>
          <cell r="AY11">
            <v>1</v>
          </cell>
          <cell r="AZ11">
            <v>0</v>
          </cell>
        </row>
        <row r="12">
          <cell r="F12" t="str">
            <v>2674-00</v>
          </cell>
          <cell r="G12">
            <v>267400</v>
          </cell>
          <cell r="H12" t="str">
            <v>6923589426730</v>
          </cell>
          <cell r="I12" t="str">
            <v>14016684</v>
          </cell>
          <cell r="J12" t="str">
            <v>267400舒洁山茶花系列湿厕纸60片x4包</v>
          </cell>
          <cell r="K12" t="str">
            <v>267400KS Camellia PW 60'S 4P</v>
          </cell>
          <cell r="L12">
            <v>1</v>
          </cell>
          <cell r="M12" t="str">
            <v>60*4</v>
          </cell>
          <cell r="N12">
            <v>240</v>
          </cell>
          <cell r="O12">
            <v>240</v>
          </cell>
          <cell r="P12" t="str">
            <v>225X175X124</v>
          </cell>
          <cell r="Q12">
            <v>5.0000000000000001E-3</v>
          </cell>
          <cell r="R12" t="str">
            <v>200*140</v>
          </cell>
          <cell r="S12">
            <v>41.9</v>
          </cell>
          <cell r="T12">
            <v>41.9</v>
          </cell>
          <cell r="W12">
            <v>0</v>
          </cell>
          <cell r="Y12">
            <v>1</v>
          </cell>
          <cell r="AE12">
            <v>2</v>
          </cell>
          <cell r="AF12" t="str">
            <v>湿厕纸</v>
          </cell>
          <cell r="AG12" t="str">
            <v>2674-00</v>
          </cell>
          <cell r="AH12" t="str">
            <v>舒洁湿厕纸巾</v>
          </cell>
          <cell r="AI12" t="str">
            <v>湿厕纸</v>
          </cell>
          <cell r="AJ12">
            <v>4</v>
          </cell>
          <cell r="AK12">
            <v>1.6</v>
          </cell>
          <cell r="AL12">
            <v>400</v>
          </cell>
          <cell r="AP12" t="str">
            <v>6923589426730</v>
          </cell>
          <cell r="AQ12" t="str">
            <v>O0X</v>
          </cell>
          <cell r="AR12" t="str">
            <v>2674</v>
          </cell>
          <cell r="AS12" t="str">
            <v>2674-00</v>
          </cell>
          <cell r="AT12">
            <v>0.36824247101943403</v>
          </cell>
          <cell r="AU12">
            <v>15.429359535714285</v>
          </cell>
          <cell r="AW12">
            <v>4</v>
          </cell>
          <cell r="AX12" t="str">
            <v>湿厕纸</v>
          </cell>
          <cell r="AZ12">
            <v>1</v>
          </cell>
        </row>
        <row r="13">
          <cell r="F13" t="str">
            <v>2682-20</v>
          </cell>
          <cell r="G13">
            <v>268220</v>
          </cell>
          <cell r="H13" t="str">
            <v>6923589426822</v>
          </cell>
          <cell r="I13" t="str">
            <v>14014250</v>
          </cell>
          <cell r="J13" t="str">
            <v>268220舒洁女性湿厕纸10包装</v>
          </cell>
          <cell r="K13" t="str">
            <v>268220KS PW FEMALE 24'S 10p</v>
          </cell>
          <cell r="L13">
            <v>4</v>
          </cell>
          <cell r="M13" t="str">
            <v>24*10</v>
          </cell>
          <cell r="N13">
            <v>240</v>
          </cell>
          <cell r="O13">
            <v>960</v>
          </cell>
          <cell r="P13" t="str">
            <v>366*269*196</v>
          </cell>
          <cell r="Q13">
            <v>1.9E-2</v>
          </cell>
          <cell r="R13" t="str">
            <v>200*133</v>
          </cell>
          <cell r="S13">
            <v>255.40530999999999</v>
          </cell>
          <cell r="T13">
            <v>63.851327499999996</v>
          </cell>
          <cell r="AE13">
            <v>2</v>
          </cell>
          <cell r="AF13" t="str">
            <v>湿厕纸</v>
          </cell>
          <cell r="AG13" t="str">
            <v>2682-20</v>
          </cell>
          <cell r="AH13" t="str">
            <v>舒洁湿厕纸巾</v>
          </cell>
          <cell r="AI13" t="str">
            <v>湿厕纸</v>
          </cell>
          <cell r="AJ13">
            <v>40</v>
          </cell>
          <cell r="AK13">
            <v>4.9000000000000004</v>
          </cell>
          <cell r="AL13">
            <v>122.5</v>
          </cell>
          <cell r="AM13">
            <v>255</v>
          </cell>
          <cell r="AN13">
            <v>172</v>
          </cell>
          <cell r="AO13">
            <v>70</v>
          </cell>
          <cell r="AP13" t="str">
            <v>6923589426822</v>
          </cell>
          <cell r="AQ13" t="str">
            <v>J9Y</v>
          </cell>
          <cell r="AR13" t="str">
            <v>2682</v>
          </cell>
          <cell r="AS13" t="str">
            <v>2682-20</v>
          </cell>
          <cell r="AT13">
            <v>0.23925764827155188</v>
          </cell>
          <cell r="AU13">
            <v>61.107673826666669</v>
          </cell>
          <cell r="AW13">
            <v>10</v>
          </cell>
          <cell r="AX13" t="str">
            <v>湿厕纸</v>
          </cell>
          <cell r="AY13">
            <v>1</v>
          </cell>
          <cell r="AZ13">
            <v>1</v>
          </cell>
        </row>
        <row r="14">
          <cell r="F14" t="str">
            <v>2152-04</v>
          </cell>
          <cell r="G14">
            <v>215204</v>
          </cell>
          <cell r="H14" t="str">
            <v>6923589421520</v>
          </cell>
          <cell r="I14" t="str">
            <v>14014940</v>
          </cell>
          <cell r="J14" t="str">
            <v>215204舒洁鎏金系列乳霜纸巾40抽8包</v>
          </cell>
          <cell r="K14" t="str">
            <v>215204KS Ult Sft Moist 3ply 40'S 8P</v>
          </cell>
          <cell r="L14">
            <v>4</v>
          </cell>
          <cell r="M14" t="str">
            <v>40p*8</v>
          </cell>
          <cell r="N14">
            <v>320</v>
          </cell>
          <cell r="O14">
            <v>1280</v>
          </cell>
          <cell r="P14" t="str">
            <v>338*208*166</v>
          </cell>
          <cell r="Q14">
            <v>1.2E-2</v>
          </cell>
          <cell r="R14" t="str">
            <v>137*190</v>
          </cell>
          <cell r="S14">
            <v>105.788</v>
          </cell>
          <cell r="T14">
            <v>26.446999999999999</v>
          </cell>
          <cell r="AE14">
            <v>2</v>
          </cell>
          <cell r="AF14" t="str">
            <v>乳霜纸</v>
          </cell>
          <cell r="AG14" t="str">
            <v>2152-04</v>
          </cell>
          <cell r="AH14" t="str">
            <v>高端抽纸</v>
          </cell>
          <cell r="AI14" t="str">
            <v>乳霜纸</v>
          </cell>
          <cell r="AJ14">
            <v>32</v>
          </cell>
          <cell r="AK14">
            <v>1.9</v>
          </cell>
          <cell r="AL14">
            <v>59.375</v>
          </cell>
          <cell r="AM14">
            <v>160</v>
          </cell>
          <cell r="AN14">
            <v>98</v>
          </cell>
          <cell r="AO14">
            <v>140</v>
          </cell>
          <cell r="AP14" t="str">
            <v>6923589421520</v>
          </cell>
          <cell r="AQ14" t="str">
            <v>M6X</v>
          </cell>
          <cell r="AR14" t="str">
            <v>2152</v>
          </cell>
          <cell r="AS14" t="str">
            <v>2152-04</v>
          </cell>
          <cell r="AT14">
            <v>0.31011186132372554</v>
          </cell>
          <cell r="AU14">
            <v>32.806733809436928</v>
          </cell>
          <cell r="AW14">
            <v>8</v>
          </cell>
          <cell r="AX14" t="str">
            <v>乳霜纸</v>
          </cell>
          <cell r="AY14">
            <v>1</v>
          </cell>
          <cell r="AZ14">
            <v>1</v>
          </cell>
        </row>
        <row r="15">
          <cell r="F15" t="str">
            <v>2155-03</v>
          </cell>
          <cell r="G15">
            <v>215503</v>
          </cell>
          <cell r="H15" t="str">
            <v>6923589421551</v>
          </cell>
          <cell r="I15" t="str">
            <v>14016306</v>
          </cell>
          <cell r="J15" t="str">
            <v>215503舒洁®北海道轻牛乳系列乳霜纸面巾40抽3包装</v>
          </cell>
          <cell r="K15" t="str">
            <v>215503KS PREMIUM LTN 4ply 40'S 3P</v>
          </cell>
          <cell r="L15">
            <v>16</v>
          </cell>
          <cell r="M15" t="str">
            <v>40P*3</v>
          </cell>
          <cell r="N15">
            <v>120</v>
          </cell>
          <cell r="O15">
            <v>1920</v>
          </cell>
          <cell r="P15" t="str">
            <v>318X208X306</v>
          </cell>
          <cell r="Q15">
            <v>0.02</v>
          </cell>
          <cell r="R15" t="str">
            <v>137*190</v>
          </cell>
          <cell r="S15">
            <v>222.4</v>
          </cell>
          <cell r="T15">
            <v>13.9</v>
          </cell>
          <cell r="W15">
            <v>0</v>
          </cell>
          <cell r="Y15">
            <v>1</v>
          </cell>
          <cell r="AB15">
            <v>1</v>
          </cell>
          <cell r="AC15">
            <v>1</v>
          </cell>
          <cell r="AE15">
            <v>5</v>
          </cell>
          <cell r="AF15" t="str">
            <v>乳霜纸</v>
          </cell>
          <cell r="AG15" t="str">
            <v>2155-03</v>
          </cell>
          <cell r="AH15" t="str">
            <v>高端抽纸</v>
          </cell>
          <cell r="AI15" t="str">
            <v>乳霜纸</v>
          </cell>
          <cell r="AJ15">
            <v>48</v>
          </cell>
          <cell r="AK15">
            <v>3.6</v>
          </cell>
          <cell r="AL15">
            <v>75</v>
          </cell>
          <cell r="AM15">
            <v>95</v>
          </cell>
          <cell r="AN15">
            <v>70</v>
          </cell>
          <cell r="AO15">
            <v>142</v>
          </cell>
          <cell r="AP15" t="str">
            <v>6923589421551</v>
          </cell>
          <cell r="AQ15" t="str">
            <v>N7A</v>
          </cell>
          <cell r="AR15" t="str">
            <v>2155</v>
          </cell>
          <cell r="AS15" t="str">
            <v>2155-03</v>
          </cell>
          <cell r="AT15">
            <v>0.25414598641443992</v>
          </cell>
          <cell r="AU15">
            <v>56.522067378571442</v>
          </cell>
          <cell r="AW15">
            <v>3</v>
          </cell>
          <cell r="AX15" t="str">
            <v>乳霜纸</v>
          </cell>
          <cell r="AY15">
            <v>1</v>
          </cell>
          <cell r="AZ15">
            <v>1</v>
          </cell>
        </row>
        <row r="16">
          <cell r="F16" t="str">
            <v>2156-10</v>
          </cell>
          <cell r="G16">
            <v>215610</v>
          </cell>
          <cell r="H16" t="str">
            <v>6923589421568</v>
          </cell>
          <cell r="I16" t="str">
            <v>14016307</v>
          </cell>
          <cell r="J16" t="str">
            <v>215610舒洁®北海道轻牛乳系列乳霜纸面巾100抽3包装</v>
          </cell>
          <cell r="K16" t="str">
            <v>215610KS PREMIUM LTN 4ply 100'S 3P</v>
          </cell>
          <cell r="L16">
            <v>6</v>
          </cell>
          <cell r="M16" t="str">
            <v>100p*3</v>
          </cell>
          <cell r="N16">
            <v>300</v>
          </cell>
          <cell r="O16">
            <v>1800</v>
          </cell>
          <cell r="P16" t="str">
            <v>328X308X211</v>
          </cell>
          <cell r="Q16">
            <v>2.1000000000000001E-2</v>
          </cell>
          <cell r="R16" t="str">
            <v>137*190</v>
          </cell>
          <cell r="S16">
            <v>215.4</v>
          </cell>
          <cell r="T16">
            <v>35.9</v>
          </cell>
          <cell r="U16">
            <v>1</v>
          </cell>
          <cell r="W16">
            <v>1</v>
          </cell>
          <cell r="AC16">
            <v>1</v>
          </cell>
          <cell r="AE16">
            <v>4</v>
          </cell>
          <cell r="AF16" t="str">
            <v>乳霜纸</v>
          </cell>
          <cell r="AG16" t="str">
            <v>2156-10</v>
          </cell>
          <cell r="AH16" t="str">
            <v>高端抽纸</v>
          </cell>
          <cell r="AI16" t="str">
            <v>乳霜纸</v>
          </cell>
          <cell r="AJ16">
            <v>18</v>
          </cell>
          <cell r="AK16">
            <v>3.9</v>
          </cell>
          <cell r="AL16">
            <v>216.66666666666666</v>
          </cell>
          <cell r="AP16" t="str">
            <v>6923589421568</v>
          </cell>
          <cell r="AQ16" t="str">
            <v>N7B</v>
          </cell>
          <cell r="AR16" t="str">
            <v>2156</v>
          </cell>
          <cell r="AS16" t="str">
            <v>2156-10</v>
          </cell>
          <cell r="AT16">
            <v>0.26372714218508203</v>
          </cell>
          <cell r="AU16">
            <v>56.806826426666674</v>
          </cell>
          <cell r="AW16">
            <v>3</v>
          </cell>
          <cell r="AX16" t="str">
            <v>乳霜纸</v>
          </cell>
          <cell r="AZ16">
            <v>1</v>
          </cell>
        </row>
        <row r="17">
          <cell r="F17" t="str">
            <v>2162-08</v>
          </cell>
          <cell r="G17">
            <v>216208</v>
          </cell>
          <cell r="H17" t="str">
            <v>6923589421629</v>
          </cell>
          <cell r="I17" t="str">
            <v>14015110</v>
          </cell>
          <cell r="J17" t="str">
            <v>216208舒洁®北海道牛乳系列乳霜纸面巾20抽8包装</v>
          </cell>
          <cell r="K17" t="str">
            <v>216208KS SUPER PREMIUM LTN 6ply 20'S 8P</v>
          </cell>
          <cell r="L17">
            <v>4</v>
          </cell>
          <cell r="M17" t="str">
            <v>20p*8</v>
          </cell>
          <cell r="N17">
            <v>160</v>
          </cell>
          <cell r="O17">
            <v>640</v>
          </cell>
          <cell r="P17" t="str">
            <v>313*208*166</v>
          </cell>
          <cell r="Q17">
            <v>1.0999999999999999E-2</v>
          </cell>
          <cell r="R17" t="str">
            <v>137*190</v>
          </cell>
          <cell r="S17">
            <v>100.4986</v>
          </cell>
          <cell r="T17">
            <v>25.124649999999999</v>
          </cell>
          <cell r="U17">
            <v>1</v>
          </cell>
          <cell r="W17">
            <v>0</v>
          </cell>
          <cell r="AD17">
            <v>1</v>
          </cell>
          <cell r="AE17">
            <v>4</v>
          </cell>
          <cell r="AF17" t="str">
            <v>乳霜纸</v>
          </cell>
          <cell r="AG17" t="str">
            <v>2162-08</v>
          </cell>
          <cell r="AH17" t="str">
            <v>高端抽纸</v>
          </cell>
          <cell r="AI17" t="str">
            <v>乳霜纸</v>
          </cell>
          <cell r="AJ17">
            <v>32</v>
          </cell>
          <cell r="AK17">
            <v>1.7</v>
          </cell>
          <cell r="AL17">
            <v>53.125</v>
          </cell>
          <cell r="AM17">
            <v>130</v>
          </cell>
          <cell r="AN17">
            <v>98</v>
          </cell>
          <cell r="AO17">
            <v>140</v>
          </cell>
          <cell r="AP17" t="str">
            <v>6923589421629</v>
          </cell>
          <cell r="AQ17" t="str">
            <v>M8F</v>
          </cell>
          <cell r="AR17" t="str">
            <v>2162</v>
          </cell>
          <cell r="AS17" t="str">
            <v>2162-08</v>
          </cell>
          <cell r="AT17">
            <v>0.31392280240719772</v>
          </cell>
          <cell r="AU17">
            <v>31.54924164192337</v>
          </cell>
          <cell r="AW17">
            <v>8</v>
          </cell>
          <cell r="AX17" t="str">
            <v>乳霜纸</v>
          </cell>
          <cell r="AY17">
            <v>1</v>
          </cell>
          <cell r="AZ17">
            <v>1</v>
          </cell>
        </row>
        <row r="18">
          <cell r="F18" t="str">
            <v>2167-10</v>
          </cell>
          <cell r="G18">
            <v>216710</v>
          </cell>
          <cell r="H18" t="str">
            <v>6923589421605</v>
          </cell>
          <cell r="I18" t="str">
            <v>14016042</v>
          </cell>
          <cell r="J18" t="str">
            <v>216710舒洁®牛乳系列乳霜纸面巾口袋包7抽10包装</v>
          </cell>
          <cell r="K18" t="str">
            <v>216710KS SUPER PREMIUM LTN 6ply 7'S 10P</v>
          </cell>
          <cell r="L18">
            <v>12</v>
          </cell>
          <cell r="M18" t="str">
            <v>7*10</v>
          </cell>
          <cell r="N18">
            <v>70</v>
          </cell>
          <cell r="O18">
            <v>840</v>
          </cell>
          <cell r="P18" t="str">
            <v>338X313X191</v>
          </cell>
          <cell r="Q18">
            <v>0.02</v>
          </cell>
          <cell r="R18" t="str">
            <v>137*190</v>
          </cell>
          <cell r="S18">
            <v>202.8</v>
          </cell>
          <cell r="T18">
            <v>16.900000000000002</v>
          </cell>
          <cell r="W18">
            <v>0</v>
          </cell>
          <cell r="Y18">
            <v>0</v>
          </cell>
          <cell r="AE18">
            <v>1</v>
          </cell>
          <cell r="AF18" t="str">
            <v>乳霜纸</v>
          </cell>
          <cell r="AG18" t="str">
            <v>2167-10</v>
          </cell>
          <cell r="AH18" t="str">
            <v>高端抽纸</v>
          </cell>
          <cell r="AI18" t="str">
            <v>乳霜纸</v>
          </cell>
          <cell r="AJ18">
            <v>120</v>
          </cell>
          <cell r="AK18">
            <v>3.5</v>
          </cell>
          <cell r="AL18">
            <v>29.166666666666668</v>
          </cell>
          <cell r="AP18" t="str">
            <v>6923589421605</v>
          </cell>
          <cell r="AQ18" t="str">
            <v>N5F</v>
          </cell>
          <cell r="AR18" t="str">
            <v>2167</v>
          </cell>
          <cell r="AS18" t="str">
            <v>2167-10</v>
          </cell>
          <cell r="AT18">
            <v>0.31494165106367988</v>
          </cell>
          <cell r="AU18">
            <v>63.870166835714286</v>
          </cell>
          <cell r="AW18">
            <v>10</v>
          </cell>
          <cell r="AX18" t="str">
            <v>乳霜纸</v>
          </cell>
          <cell r="AZ18">
            <v>1</v>
          </cell>
        </row>
        <row r="19">
          <cell r="F19" t="str">
            <v>2168-05</v>
          </cell>
          <cell r="G19">
            <v>216805</v>
          </cell>
          <cell r="H19" t="str">
            <v>6923589421681</v>
          </cell>
          <cell r="I19" t="str">
            <v>14015111</v>
          </cell>
          <cell r="J19" t="str">
            <v>216805舒洁®北海道牛乳系列乳霜纸面巾80抽5包装</v>
          </cell>
          <cell r="K19" t="str">
            <v>216805KS SUPER PREMIUM LTN 6ply 80'S 5P</v>
          </cell>
          <cell r="L19">
            <v>3</v>
          </cell>
          <cell r="M19" t="str">
            <v>80p*5</v>
          </cell>
          <cell r="N19">
            <v>400</v>
          </cell>
          <cell r="O19">
            <v>1200</v>
          </cell>
          <cell r="P19" t="str">
            <v>328*303*191</v>
          </cell>
          <cell r="Q19">
            <v>1.9E-2</v>
          </cell>
          <cell r="R19" t="str">
            <v>137*190</v>
          </cell>
          <cell r="S19">
            <v>215.56800000000001</v>
          </cell>
          <cell r="T19">
            <v>71.856000000000009</v>
          </cell>
          <cell r="AE19">
            <v>1</v>
          </cell>
          <cell r="AF19" t="str">
            <v>乳霜纸</v>
          </cell>
          <cell r="AG19" t="str">
            <v>2168-05</v>
          </cell>
          <cell r="AH19" t="str">
            <v>高端抽纸</v>
          </cell>
          <cell r="AI19" t="str">
            <v>乳霜纸</v>
          </cell>
          <cell r="AJ19">
            <v>15</v>
          </cell>
          <cell r="AK19">
            <v>4</v>
          </cell>
          <cell r="AL19">
            <v>266.66666666666669</v>
          </cell>
          <cell r="AP19" t="str">
            <v>6923589421681</v>
          </cell>
          <cell r="AQ19" t="str">
            <v>M8G</v>
          </cell>
          <cell r="AR19" t="str">
            <v>2168</v>
          </cell>
          <cell r="AS19" t="str">
            <v>2168-05</v>
          </cell>
          <cell r="AT19">
            <v>0.28672442136256637</v>
          </cell>
          <cell r="AU19">
            <v>61.809183513128431</v>
          </cell>
          <cell r="AW19">
            <v>5</v>
          </cell>
          <cell r="AX19" t="str">
            <v>乳霜纸</v>
          </cell>
          <cell r="AZ19">
            <v>1</v>
          </cell>
        </row>
        <row r="20">
          <cell r="F20" t="str">
            <v>2103-90</v>
          </cell>
          <cell r="G20">
            <v>210390</v>
          </cell>
          <cell r="H20" t="str">
            <v>6923589421032</v>
          </cell>
          <cell r="I20" t="str">
            <v>14016868</v>
          </cell>
          <cell r="J20" t="str">
            <v>210390舒洁小熊印花抽纸3层80抽4包FSC mix70%</v>
          </cell>
          <cell r="K20" t="str">
            <v>210390KS IF COCO 3ply 80'S4P FSC mix70%</v>
          </cell>
          <cell r="L20">
            <v>24</v>
          </cell>
          <cell r="M20" t="str">
            <v>80*4</v>
          </cell>
          <cell r="N20">
            <v>320</v>
          </cell>
          <cell r="O20">
            <v>7680</v>
          </cell>
          <cell r="P20" t="str">
            <v>599X409X342</v>
          </cell>
          <cell r="Q20">
            <v>8.4000000000000005E-2</v>
          </cell>
          <cell r="R20" t="str">
            <v>190*155</v>
          </cell>
          <cell r="S20">
            <v>287.22305</v>
          </cell>
          <cell r="T20">
            <v>11.967627083333333</v>
          </cell>
          <cell r="U20">
            <v>1</v>
          </cell>
          <cell r="W20">
            <v>0</v>
          </cell>
          <cell r="AC20">
            <v>1</v>
          </cell>
          <cell r="AE20">
            <v>5</v>
          </cell>
          <cell r="AF20" t="str">
            <v>抽纸</v>
          </cell>
          <cell r="AG20" t="str">
            <v>2103-90</v>
          </cell>
          <cell r="AH20" t="str">
            <v>高端抽纸</v>
          </cell>
          <cell r="AI20" t="str">
            <v>抽纸</v>
          </cell>
          <cell r="AJ20">
            <v>96</v>
          </cell>
          <cell r="AK20">
            <v>10.5</v>
          </cell>
          <cell r="AL20">
            <v>109.375</v>
          </cell>
          <cell r="AM20">
            <v>155</v>
          </cell>
          <cell r="AN20">
            <v>42</v>
          </cell>
          <cell r="AO20">
            <v>384</v>
          </cell>
          <cell r="AP20" t="str">
            <v>6923589421032</v>
          </cell>
          <cell r="AQ20" t="str">
            <v>O2S</v>
          </cell>
          <cell r="AR20" t="str">
            <v>2103</v>
          </cell>
          <cell r="AS20" t="str">
            <v>2103-90</v>
          </cell>
          <cell r="AT20">
            <v>0.47598850674279869</v>
          </cell>
          <cell r="AU20">
            <v>136.71341890666665</v>
          </cell>
          <cell r="AW20">
            <v>4</v>
          </cell>
          <cell r="AX20" t="str">
            <v>Others</v>
          </cell>
          <cell r="AY20">
            <v>1</v>
          </cell>
          <cell r="AZ20">
            <v>1</v>
          </cell>
          <cell r="BA20">
            <v>1</v>
          </cell>
        </row>
        <row r="21">
          <cell r="F21" t="str">
            <v>2148-90</v>
          </cell>
          <cell r="G21">
            <v>214890</v>
          </cell>
          <cell r="H21" t="str">
            <v>6923589421483</v>
          </cell>
          <cell r="I21" t="str">
            <v>14016869</v>
          </cell>
          <cell r="J21" t="str">
            <v>214890舒洁小熊印花抽纸3层80抽16包FSC mix70%</v>
          </cell>
          <cell r="K21" t="str">
            <v>214890KS IF COCO 3ply 80'S16P FSC mix70%</v>
          </cell>
          <cell r="L21">
            <v>6</v>
          </cell>
          <cell r="M21" t="str">
            <v>80*16</v>
          </cell>
          <cell r="N21">
            <v>1280</v>
          </cell>
          <cell r="O21">
            <v>7680</v>
          </cell>
          <cell r="P21" t="str">
            <v>599X409X342</v>
          </cell>
          <cell r="Q21">
            <v>8.4000000000000005E-2</v>
          </cell>
          <cell r="R21" t="str">
            <v>190*155</v>
          </cell>
          <cell r="S21">
            <v>283.80122999999998</v>
          </cell>
          <cell r="T21">
            <v>47.300204999999998</v>
          </cell>
          <cell r="W21">
            <v>0</v>
          </cell>
          <cell r="AE21">
            <v>0</v>
          </cell>
          <cell r="AF21" t="str">
            <v>抽纸</v>
          </cell>
          <cell r="AG21" t="str">
            <v>2148-90</v>
          </cell>
          <cell r="AH21" t="str">
            <v>高端抽纸</v>
          </cell>
          <cell r="AI21" t="str">
            <v>抽纸</v>
          </cell>
          <cell r="AJ21">
            <v>96</v>
          </cell>
          <cell r="AK21">
            <v>10.5</v>
          </cell>
          <cell r="AL21">
            <v>109.375</v>
          </cell>
          <cell r="AP21" t="str">
            <v>6923589421483</v>
          </cell>
          <cell r="AQ21" t="str">
            <v>O2T</v>
          </cell>
          <cell r="AR21" t="str">
            <v>2148</v>
          </cell>
          <cell r="AS21" t="str">
            <v>2148-90</v>
          </cell>
          <cell r="AT21">
            <v>0.47320377436935956</v>
          </cell>
          <cell r="AU21">
            <v>134.29581320666671</v>
          </cell>
          <cell r="AW21">
            <v>16</v>
          </cell>
          <cell r="AX21" t="str">
            <v>Others</v>
          </cell>
        </row>
        <row r="22">
          <cell r="F22" t="str">
            <v>2107-61</v>
          </cell>
          <cell r="G22">
            <v>210761</v>
          </cell>
          <cell r="H22" t="str">
            <v>6923589421070</v>
          </cell>
          <cell r="I22" t="str">
            <v>14014470</v>
          </cell>
          <cell r="J22" t="str">
            <v>210761舒洁卡通系列抽纸200抽3包 FSC mix70%</v>
          </cell>
          <cell r="K22" t="str">
            <v>210761KS IF CARTOON 200'S 3P FSC MIX</v>
          </cell>
          <cell r="L22">
            <v>20</v>
          </cell>
          <cell r="M22" t="str">
            <v>200*3</v>
          </cell>
          <cell r="N22">
            <v>600</v>
          </cell>
          <cell r="O22">
            <v>12000</v>
          </cell>
          <cell r="P22" t="str">
            <v>520X493X414</v>
          </cell>
          <cell r="Q22">
            <v>0.106</v>
          </cell>
          <cell r="R22" t="str">
            <v>200*194</v>
          </cell>
          <cell r="S22">
            <v>338.18198999999998</v>
          </cell>
          <cell r="T22">
            <v>16.9090995</v>
          </cell>
          <cell r="U22">
            <v>1</v>
          </cell>
          <cell r="AE22">
            <v>1</v>
          </cell>
          <cell r="AF22" t="str">
            <v>抽纸</v>
          </cell>
          <cell r="AG22" t="str">
            <v>2107-61</v>
          </cell>
          <cell r="AH22" t="str">
            <v>高端抽纸</v>
          </cell>
          <cell r="AI22" t="str">
            <v>抽纸</v>
          </cell>
          <cell r="AJ22">
            <v>60</v>
          </cell>
          <cell r="AK22">
            <v>13.5</v>
          </cell>
          <cell r="AL22">
            <v>225</v>
          </cell>
          <cell r="AP22" t="str">
            <v>6923589421070</v>
          </cell>
          <cell r="AQ22" t="str">
            <v>B5L</v>
          </cell>
          <cell r="AR22" t="str">
            <v>2107</v>
          </cell>
          <cell r="AS22" t="str">
            <v>2107-61</v>
          </cell>
          <cell r="AT22">
            <v>0.46407138653362351</v>
          </cell>
          <cell r="AU22">
            <v>156.940585</v>
          </cell>
          <cell r="AW22">
            <v>3</v>
          </cell>
          <cell r="AX22" t="str">
            <v>Others</v>
          </cell>
        </row>
        <row r="23">
          <cell r="F23" t="str">
            <v>2312-16</v>
          </cell>
          <cell r="G23">
            <v>231216</v>
          </cell>
          <cell r="H23" t="str">
            <v>6923589423128</v>
          </cell>
          <cell r="I23" t="str">
            <v>14014482</v>
          </cell>
          <cell r="J23" t="str">
            <v>231216 舒洁马蹄莲盒面纸200抽3盒 FSC mix70%</v>
          </cell>
          <cell r="K23" t="str">
            <v>231216 KS BF CALLALILY200'S 3P COC</v>
          </cell>
          <cell r="L23">
            <v>10</v>
          </cell>
          <cell r="M23" t="str">
            <v>200*3</v>
          </cell>
          <cell r="N23">
            <v>600</v>
          </cell>
          <cell r="O23">
            <v>6000</v>
          </cell>
          <cell r="P23" t="str">
            <v>625*320*450</v>
          </cell>
          <cell r="Q23">
            <v>0.09</v>
          </cell>
          <cell r="R23" t="str">
            <v>200*194</v>
          </cell>
          <cell r="S23">
            <v>243.21306999999999</v>
          </cell>
          <cell r="T23">
            <v>24.321306999999997</v>
          </cell>
          <cell r="U23">
            <v>1</v>
          </cell>
          <cell r="AE23">
            <v>1</v>
          </cell>
          <cell r="AF23" t="str">
            <v>抽纸</v>
          </cell>
          <cell r="AG23" t="str">
            <v>2312-16</v>
          </cell>
          <cell r="AH23" t="str">
            <v>盒纸</v>
          </cell>
          <cell r="AI23" t="str">
            <v>抽纸</v>
          </cell>
          <cell r="AJ23">
            <v>30</v>
          </cell>
          <cell r="AK23">
            <v>6.82</v>
          </cell>
          <cell r="AL23">
            <v>227.33333333333334</v>
          </cell>
          <cell r="AP23" t="str">
            <v>6923589423128</v>
          </cell>
          <cell r="AQ23" t="str">
            <v>E9D</v>
          </cell>
          <cell r="AR23" t="str">
            <v>2312</v>
          </cell>
          <cell r="AS23" t="str">
            <v>2312-16</v>
          </cell>
          <cell r="AT23">
            <v>0.4066409056727503</v>
          </cell>
          <cell r="AU23">
            <v>98.900383056250007</v>
          </cell>
          <cell r="AW23">
            <v>3</v>
          </cell>
          <cell r="AX23" t="str">
            <v>Others</v>
          </cell>
        </row>
        <row r="24">
          <cell r="F24" t="str">
            <v>2306-20</v>
          </cell>
          <cell r="G24">
            <v>230620</v>
          </cell>
          <cell r="H24" t="str">
            <v>6923589423074</v>
          </cell>
          <cell r="I24" t="str">
            <v>14016487</v>
          </cell>
          <cell r="J24" t="str">
            <v>230620舒洁环保系列盒抽面纸180抽6盒</v>
          </cell>
          <cell r="K24" t="str">
            <v>230620KS BF ECO 180'S 6P FSC MIX 70%</v>
          </cell>
          <cell r="L24">
            <v>1</v>
          </cell>
          <cell r="M24" t="str">
            <v>180*6</v>
          </cell>
          <cell r="N24">
            <v>1080</v>
          </cell>
          <cell r="O24">
            <v>1080</v>
          </cell>
          <cell r="P24" t="str">
            <v>258X213X254</v>
          </cell>
          <cell r="Q24">
            <v>1.4E-2</v>
          </cell>
          <cell r="R24" t="str">
            <v>190*175</v>
          </cell>
          <cell r="S24">
            <v>48.6</v>
          </cell>
          <cell r="T24">
            <v>48.6</v>
          </cell>
          <cell r="AE24">
            <v>0</v>
          </cell>
          <cell r="AF24" t="str">
            <v>抽纸</v>
          </cell>
          <cell r="AG24" t="str">
            <v>2306-20</v>
          </cell>
          <cell r="AH24" t="str">
            <v>盒纸</v>
          </cell>
          <cell r="AI24" t="str">
            <v>抽纸</v>
          </cell>
          <cell r="AJ24">
            <v>6</v>
          </cell>
          <cell r="AK24">
            <v>1.5</v>
          </cell>
          <cell r="AL24">
            <v>250</v>
          </cell>
          <cell r="AP24" t="str">
            <v>6923589423074</v>
          </cell>
          <cell r="AQ24" t="str">
            <v>N8M</v>
          </cell>
          <cell r="AR24" t="str">
            <v>2306</v>
          </cell>
          <cell r="AS24" t="str">
            <v>2306-20</v>
          </cell>
          <cell r="AT24">
            <v>0.3665059415049971</v>
          </cell>
          <cell r="AU24">
            <v>17.812188757142859</v>
          </cell>
          <cell r="AW24">
            <v>6</v>
          </cell>
          <cell r="AX24" t="str">
            <v>Others</v>
          </cell>
        </row>
        <row r="25">
          <cell r="F25" t="str">
            <v>2216-35</v>
          </cell>
          <cell r="G25">
            <v>221635</v>
          </cell>
          <cell r="H25" t="str">
            <v>6923589422169</v>
          </cell>
          <cell r="I25" t="str">
            <v>14015861</v>
          </cell>
          <cell r="J25" t="str">
            <v>221635舒洁卷纸3层纯白10粒（蓝色）</v>
          </cell>
          <cell r="K25" t="str">
            <v>221635KS RBT WHITE 210'S 3PLY 10R</v>
          </cell>
          <cell r="L25">
            <v>10</v>
          </cell>
          <cell r="M25" t="str">
            <v>210节/卷*10卷/包</v>
          </cell>
          <cell r="N25">
            <v>2100</v>
          </cell>
          <cell r="O25">
            <v>21000</v>
          </cell>
          <cell r="P25" t="str">
            <v>530X425X540</v>
          </cell>
          <cell r="Q25">
            <v>0.122</v>
          </cell>
          <cell r="R25" t="str">
            <v>114*102</v>
          </cell>
          <cell r="S25">
            <v>240.89676</v>
          </cell>
          <cell r="T25">
            <v>24.089676000000001</v>
          </cell>
          <cell r="AE25">
            <v>1</v>
          </cell>
          <cell r="AF25" t="str">
            <v>卷纸</v>
          </cell>
          <cell r="AG25" t="str">
            <v>2216-35</v>
          </cell>
          <cell r="AH25" t="str">
            <v>卷纸</v>
          </cell>
          <cell r="AI25" t="str">
            <v>卷纸</v>
          </cell>
          <cell r="AJ25">
            <v>100</v>
          </cell>
          <cell r="AK25">
            <v>10.3</v>
          </cell>
          <cell r="AL25">
            <v>103</v>
          </cell>
          <cell r="AP25" t="str">
            <v>6923589422169</v>
          </cell>
          <cell r="AQ25" t="str">
            <v>B5Z</v>
          </cell>
          <cell r="AR25" t="str">
            <v>2216</v>
          </cell>
          <cell r="AS25" t="str">
            <v>2216-35</v>
          </cell>
          <cell r="AT25">
            <v>0.46908061362054021</v>
          </cell>
          <cell r="AU25">
            <v>113</v>
          </cell>
          <cell r="AW25">
            <v>10</v>
          </cell>
          <cell r="AX25" t="str">
            <v>Others</v>
          </cell>
          <cell r="AY25">
            <v>1</v>
          </cell>
        </row>
        <row r="26">
          <cell r="F26" t="str">
            <v>2291-60</v>
          </cell>
          <cell r="G26">
            <v>229160</v>
          </cell>
          <cell r="H26" t="str">
            <v>6923589422916</v>
          </cell>
          <cell r="I26" t="str">
            <v>14014479</v>
          </cell>
          <cell r="J26" t="str">
            <v>229160舒洁绿茶洋甘菊印花清香卷纸10粒</v>
          </cell>
          <cell r="K26" t="str">
            <v>229160KS RBT Grntea&amp;Chamomile250'SP/S10R</v>
          </cell>
          <cell r="L26">
            <v>5</v>
          </cell>
          <cell r="M26" t="str">
            <v>250节/卷*10卷/包</v>
          </cell>
          <cell r="N26">
            <v>2500</v>
          </cell>
          <cell r="O26">
            <v>12500</v>
          </cell>
          <cell r="P26" t="str">
            <v>538X534X229</v>
          </cell>
          <cell r="Q26">
            <v>6.6000000000000003E-2</v>
          </cell>
          <cell r="R26" t="str">
            <v>114*102</v>
          </cell>
          <cell r="S26">
            <v>153.64888999999999</v>
          </cell>
          <cell r="T26">
            <v>30.729778</v>
          </cell>
          <cell r="U26">
            <v>1</v>
          </cell>
          <cell r="AC26">
            <v>1</v>
          </cell>
          <cell r="AE26">
            <v>3</v>
          </cell>
          <cell r="AF26" t="str">
            <v>卷纸</v>
          </cell>
          <cell r="AG26" t="str">
            <v>2291-60</v>
          </cell>
          <cell r="AH26" t="str">
            <v>卷纸</v>
          </cell>
          <cell r="AI26" t="str">
            <v>卷纸</v>
          </cell>
          <cell r="AJ26">
            <v>50</v>
          </cell>
          <cell r="AK26">
            <v>6.15</v>
          </cell>
          <cell r="AL26">
            <v>123</v>
          </cell>
          <cell r="AM26">
            <v>190</v>
          </cell>
          <cell r="AN26">
            <v>80</v>
          </cell>
          <cell r="AO26">
            <v>465</v>
          </cell>
          <cell r="AP26" t="str">
            <v>6923589422916</v>
          </cell>
          <cell r="AQ26" t="str">
            <v>A3E</v>
          </cell>
          <cell r="AR26" t="str">
            <v>2291</v>
          </cell>
          <cell r="AS26" t="str">
            <v>2291-60</v>
          </cell>
          <cell r="AT26">
            <v>0.50360202329642612</v>
          </cell>
          <cell r="AU26">
            <v>77.377891881250008</v>
          </cell>
          <cell r="AW26">
            <v>10</v>
          </cell>
          <cell r="AX26" t="str">
            <v>Others</v>
          </cell>
          <cell r="AY26">
            <v>1</v>
          </cell>
        </row>
        <row r="27">
          <cell r="F27" t="str">
            <v>2701-90</v>
          </cell>
          <cell r="G27">
            <v>270190</v>
          </cell>
          <cell r="H27" t="str">
            <v>6923589427010</v>
          </cell>
          <cell r="I27" t="str">
            <v>14016871</v>
          </cell>
          <cell r="J27" t="str">
            <v>270190舒洁小熊印花手帕纸3层10包FSC mix70%</v>
          </cell>
          <cell r="K27" t="str">
            <v>270190KS HK COCO 3ply 9'S10P FSCmix70%</v>
          </cell>
          <cell r="L27">
            <v>36</v>
          </cell>
          <cell r="M27" t="str">
            <v>9*10</v>
          </cell>
          <cell r="N27">
            <v>90</v>
          </cell>
          <cell r="O27">
            <v>3240</v>
          </cell>
          <cell r="P27" t="str">
            <v>460X270X325</v>
          </cell>
          <cell r="Q27">
            <v>0.04</v>
          </cell>
          <cell r="R27" t="str">
            <v>205*210</v>
          </cell>
          <cell r="S27">
            <v>208.46834000000001</v>
          </cell>
          <cell r="T27">
            <v>5.7907872222222228</v>
          </cell>
          <cell r="U27">
            <v>1</v>
          </cell>
          <cell r="W27">
            <v>0</v>
          </cell>
          <cell r="Z27">
            <v>1</v>
          </cell>
          <cell r="AC27">
            <v>1</v>
          </cell>
          <cell r="AE27">
            <v>5</v>
          </cell>
          <cell r="AF27" t="str">
            <v>手帕纸</v>
          </cell>
          <cell r="AG27" t="str">
            <v>2701-90</v>
          </cell>
          <cell r="AH27" t="str">
            <v>手帕纸</v>
          </cell>
          <cell r="AI27" t="str">
            <v>手帕纸</v>
          </cell>
          <cell r="AJ27">
            <v>360</v>
          </cell>
          <cell r="AK27">
            <v>6.1</v>
          </cell>
          <cell r="AL27">
            <v>16.944444444444443</v>
          </cell>
          <cell r="AM27">
            <v>266</v>
          </cell>
          <cell r="AN27">
            <v>78</v>
          </cell>
          <cell r="AO27">
            <v>32</v>
          </cell>
          <cell r="AP27" t="str">
            <v>6923589427010</v>
          </cell>
          <cell r="AQ27" t="str">
            <v>O2V</v>
          </cell>
          <cell r="AR27" t="str">
            <v>2701</v>
          </cell>
          <cell r="AS27" t="str">
            <v>2701-90</v>
          </cell>
          <cell r="AT27">
            <v>0.42452489428370754</v>
          </cell>
          <cell r="AU27">
            <v>88.5</v>
          </cell>
          <cell r="AW27">
            <v>10</v>
          </cell>
          <cell r="AX27" t="str">
            <v>Others</v>
          </cell>
          <cell r="AY27">
            <v>1</v>
          </cell>
          <cell r="AZ27">
            <v>1</v>
          </cell>
        </row>
        <row r="28">
          <cell r="F28" t="str">
            <v>2530-00</v>
          </cell>
          <cell r="G28">
            <v>253000</v>
          </cell>
          <cell r="H28" t="str">
            <v>6923589425306</v>
          </cell>
          <cell r="I28" t="str">
            <v>14015043</v>
          </cell>
          <cell r="J28" t="str">
            <v>253000舒洁蚕丝洗脸巾80抽3包装</v>
          </cell>
          <cell r="K28" t="str">
            <v>253000KS Facial Wipes 80S 3P</v>
          </cell>
          <cell r="L28">
            <v>6</v>
          </cell>
          <cell r="M28" t="str">
            <v>80*3</v>
          </cell>
          <cell r="N28">
            <v>240</v>
          </cell>
          <cell r="O28">
            <v>1440</v>
          </cell>
          <cell r="P28" t="str">
            <v>433*328*231</v>
          </cell>
          <cell r="Q28">
            <v>3.3000000000000002E-2</v>
          </cell>
          <cell r="R28" t="str">
            <v>200*200</v>
          </cell>
          <cell r="S28">
            <v>358.2</v>
          </cell>
          <cell r="T28">
            <v>59.699999999999996</v>
          </cell>
          <cell r="AE28">
            <v>0</v>
          </cell>
          <cell r="AF28" t="str">
            <v>洗脸巾</v>
          </cell>
          <cell r="AG28" t="str">
            <v>2530-00</v>
          </cell>
          <cell r="AH28" t="str">
            <v>舒洁棉柔巾</v>
          </cell>
          <cell r="AI28" t="str">
            <v>洗脸巾</v>
          </cell>
          <cell r="AJ28">
            <v>18</v>
          </cell>
          <cell r="AK28">
            <v>3.5</v>
          </cell>
          <cell r="AL28">
            <v>194.44444444444446</v>
          </cell>
          <cell r="AM28">
            <v>206</v>
          </cell>
          <cell r="AN28">
            <v>105</v>
          </cell>
          <cell r="AO28">
            <v>210</v>
          </cell>
          <cell r="AP28" t="str">
            <v>6923589425306</v>
          </cell>
          <cell r="AQ28" t="str">
            <v>M7N</v>
          </cell>
          <cell r="AR28" t="str">
            <v>2530</v>
          </cell>
          <cell r="AS28" t="str">
            <v>2530-00</v>
          </cell>
          <cell r="AT28">
            <v>0.2549422447156417</v>
          </cell>
          <cell r="AU28">
            <v>91.320312057142857</v>
          </cell>
          <cell r="AW28">
            <v>3</v>
          </cell>
          <cell r="AX28" t="str">
            <v>Others</v>
          </cell>
        </row>
        <row r="29">
          <cell r="F29" t="str">
            <v>2613-00</v>
          </cell>
          <cell r="G29">
            <v>261300</v>
          </cell>
          <cell r="H29" t="str">
            <v>6923589426136</v>
          </cell>
          <cell r="I29" t="str">
            <v>14004626</v>
          </cell>
          <cell r="J29" t="str">
            <v>261300舒洁无香湿巾单包装</v>
          </cell>
          <cell r="K29" t="str">
            <v>261300KS WW UNS 10'S 1P</v>
          </cell>
          <cell r="L29">
            <v>30</v>
          </cell>
          <cell r="M29" t="str">
            <v>10p</v>
          </cell>
          <cell r="N29">
            <v>10</v>
          </cell>
          <cell r="O29">
            <v>300</v>
          </cell>
          <cell r="P29" t="str">
            <v>261*163*240</v>
          </cell>
          <cell r="Q29">
            <v>0.01</v>
          </cell>
          <cell r="R29" t="str">
            <v>150*200</v>
          </cell>
          <cell r="S29">
            <v>91.362830000000002</v>
          </cell>
          <cell r="T29">
            <v>3.0454276666666669</v>
          </cell>
          <cell r="U29">
            <v>1</v>
          </cell>
          <cell r="AE29">
            <v>2</v>
          </cell>
          <cell r="AF29" t="str">
            <v>湿厕纸</v>
          </cell>
          <cell r="AG29" t="str">
            <v>2613-00</v>
          </cell>
          <cell r="AH29" t="str">
            <v>舒洁湿巾</v>
          </cell>
          <cell r="AI29" t="str">
            <v>湿厕纸</v>
          </cell>
          <cell r="AJ29">
            <v>30</v>
          </cell>
          <cell r="AK29">
            <v>2.5</v>
          </cell>
          <cell r="AL29">
            <v>83.333333333333329</v>
          </cell>
          <cell r="AP29" t="str">
            <v>6923589426136</v>
          </cell>
          <cell r="AQ29" t="str">
            <v>I2K</v>
          </cell>
          <cell r="AR29" t="str">
            <v>2613</v>
          </cell>
          <cell r="AS29" t="str">
            <v>2613-00</v>
          </cell>
          <cell r="AT29">
            <v>0.32843232903845521</v>
          </cell>
          <cell r="AU29">
            <v>30.006507044444447</v>
          </cell>
          <cell r="AW29">
            <v>1</v>
          </cell>
          <cell r="AX29" t="str">
            <v>湿厕纸</v>
          </cell>
          <cell r="AY29">
            <v>1</v>
          </cell>
        </row>
        <row r="30">
          <cell r="F30" t="str">
            <v>94430</v>
          </cell>
          <cell r="H30" t="str">
            <v>6923589494401</v>
          </cell>
          <cell r="I30" t="str">
            <v>14014170</v>
          </cell>
          <cell r="J30" t="str">
            <v>94430 舒洁懒人抹布</v>
          </cell>
          <cell r="K30" t="str">
            <v>94430 WP KLX QF 1P WT 30x36</v>
          </cell>
          <cell r="L30">
            <v>12</v>
          </cell>
          <cell r="M30" t="str">
            <v>30抽*3包</v>
          </cell>
          <cell r="N30">
            <v>90</v>
          </cell>
          <cell r="O30">
            <v>1080</v>
          </cell>
          <cell r="P30" t="str">
            <v>470*340*330</v>
          </cell>
          <cell r="Q30">
            <v>5.2999999999999999E-2</v>
          </cell>
          <cell r="R30" t="str">
            <v>300mm*305mm/张</v>
          </cell>
          <cell r="S30">
            <v>357.52212389380537</v>
          </cell>
          <cell r="T30">
            <v>29.79351032448378</v>
          </cell>
          <cell r="AE30">
            <v>0</v>
          </cell>
          <cell r="AF30" t="str">
            <v>懒人抹布</v>
          </cell>
          <cell r="AG30" t="str">
            <v>94430</v>
          </cell>
          <cell r="AH30" t="str">
            <v>懒人抹布</v>
          </cell>
          <cell r="AI30" t="str">
            <v>懒人抹布</v>
          </cell>
          <cell r="AJ30">
            <v>36</v>
          </cell>
          <cell r="AK30">
            <v>6.9</v>
          </cell>
          <cell r="AL30">
            <v>191.66666666666666</v>
          </cell>
          <cell r="AP30" t="str">
            <v>6923589494401</v>
          </cell>
          <cell r="AR30" t="str">
            <v>WEW60HYDQFD</v>
          </cell>
          <cell r="AS30" t="str">
            <v>94430</v>
          </cell>
          <cell r="AT30">
            <v>0.38600000000000001</v>
          </cell>
          <cell r="AU30">
            <v>138.50053369815237</v>
          </cell>
          <cell r="AW30">
            <v>3</v>
          </cell>
          <cell r="AX30" t="str">
            <v>Others</v>
          </cell>
        </row>
        <row r="31">
          <cell r="F31" t="str">
            <v>94430</v>
          </cell>
          <cell r="H31" t="str">
            <v>6923589494432</v>
          </cell>
          <cell r="I31" t="str">
            <v>14014170</v>
          </cell>
          <cell r="J31" t="str">
            <v>94430 舒洁懒人抹布</v>
          </cell>
          <cell r="K31" t="str">
            <v>94430 WP KLX QF 1P WT 30x36</v>
          </cell>
          <cell r="M31" t="str">
            <v>30抽</v>
          </cell>
          <cell r="R31" t="str">
            <v>300mm*305mm/张</v>
          </cell>
          <cell r="S31">
            <v>119.17404129793512</v>
          </cell>
          <cell r="T31">
            <v>9.9311701081612593</v>
          </cell>
          <cell r="AE31">
            <v>1</v>
          </cell>
          <cell r="AF31" t="str">
            <v>懒人抹布</v>
          </cell>
          <cell r="AG31" t="str">
            <v>94430</v>
          </cell>
          <cell r="AH31" t="str">
            <v>懒人抹布</v>
          </cell>
          <cell r="AI31" t="str">
            <v>懒人抹布</v>
          </cell>
          <cell r="AP31" t="str">
            <v>6923589494432</v>
          </cell>
          <cell r="AS31" t="str">
            <v>94430</v>
          </cell>
          <cell r="AU31">
            <v>138.50053369815237</v>
          </cell>
          <cell r="AX31" t="str">
            <v>Others</v>
          </cell>
          <cell r="AY31">
            <v>1</v>
          </cell>
        </row>
        <row r="32">
          <cell r="F32" t="str">
            <v>91345</v>
          </cell>
          <cell r="G32" t="str">
            <v>91345</v>
          </cell>
          <cell r="H32" t="str">
            <v>6923589493459</v>
          </cell>
          <cell r="I32" t="str">
            <v>14014158</v>
          </cell>
          <cell r="J32" t="str">
            <v>Kleenex®舒洁® 棉柔杀菌卫生湿巾</v>
          </cell>
          <cell r="K32" t="str">
            <v xml:space="preserve"> 91345 WP KLX SMP MF 1P SW WT 10x60</v>
          </cell>
          <cell r="L32">
            <v>6</v>
          </cell>
          <cell r="M32" t="str">
            <v>10片/包 *10</v>
          </cell>
          <cell r="N32">
            <v>100</v>
          </cell>
          <cell r="O32">
            <v>600</v>
          </cell>
          <cell r="AE32">
            <v>0</v>
          </cell>
          <cell r="AF32" t="str">
            <v>消毒湿巾</v>
          </cell>
          <cell r="AG32" t="str">
            <v>91345</v>
          </cell>
          <cell r="AH32" t="str">
            <v>消毒湿巾</v>
          </cell>
          <cell r="AI32" t="str">
            <v>消毒湿巾</v>
          </cell>
          <cell r="AJ32">
            <v>60</v>
          </cell>
          <cell r="AP32" t="str">
            <v>6923589493459</v>
          </cell>
          <cell r="AQ32" t="str">
            <v>BWKSWSWWG9C</v>
          </cell>
          <cell r="AS32" t="str">
            <v>91345</v>
          </cell>
          <cell r="AU32">
            <v>76.137902854428546</v>
          </cell>
          <cell r="AW32">
            <v>10</v>
          </cell>
          <cell r="AX32" t="str">
            <v>Others</v>
          </cell>
        </row>
        <row r="33">
          <cell r="F33" t="str">
            <v>0563-10</v>
          </cell>
          <cell r="G33" t="str">
            <v>0563-10</v>
          </cell>
          <cell r="H33" t="str">
            <v>6923589406305</v>
          </cell>
          <cell r="I33" t="str">
            <v>14014300</v>
          </cell>
          <cell r="J33" t="str">
            <v>Kleenex®舒洁® 丝柔纸面巾</v>
          </cell>
          <cell r="K33" t="str">
            <v>0563-10 FT KLX POLY 3P WT FSC MIX 70%</v>
          </cell>
          <cell r="L33">
            <v>4</v>
          </cell>
          <cell r="M33" t="str">
            <v>120抽*4包</v>
          </cell>
          <cell r="N33">
            <v>480</v>
          </cell>
          <cell r="O33">
            <v>1920</v>
          </cell>
          <cell r="AE33">
            <v>0</v>
          </cell>
          <cell r="AF33" t="str">
            <v>面巾纸</v>
          </cell>
          <cell r="AG33" t="str">
            <v>0563-10</v>
          </cell>
          <cell r="AH33" t="str">
            <v>面巾纸</v>
          </cell>
          <cell r="AI33" t="str">
            <v>面巾纸</v>
          </cell>
          <cell r="AJ33">
            <v>16</v>
          </cell>
          <cell r="AP33" t="str">
            <v>6923589406305</v>
          </cell>
          <cell r="AQ33" t="str">
            <v>FXKLEKLE</v>
          </cell>
          <cell r="AR33" t="str">
            <v>0563</v>
          </cell>
          <cell r="AS33" t="str">
            <v>0563-10</v>
          </cell>
          <cell r="AU33">
            <v>28.435218799607281</v>
          </cell>
          <cell r="AW33">
            <v>4</v>
          </cell>
          <cell r="AX33" t="str">
            <v>Others</v>
          </cell>
        </row>
        <row r="34">
          <cell r="F34" t="str">
            <v>0564-10</v>
          </cell>
          <cell r="G34" t="str">
            <v>0564-10</v>
          </cell>
          <cell r="I34" t="str">
            <v>14014178</v>
          </cell>
          <cell r="J34" t="str">
            <v>0564-10 舒洁擦手纸 FSC MIX 70%</v>
          </cell>
          <cell r="K34" t="str">
            <v>0564-10 TWL KLX ITF 1P WT FSC MIX 70%</v>
          </cell>
          <cell r="L34">
            <v>3</v>
          </cell>
          <cell r="M34" t="str">
            <v>150抽*6包</v>
          </cell>
          <cell r="N34">
            <v>900</v>
          </cell>
          <cell r="O34">
            <v>2700</v>
          </cell>
          <cell r="P34" t="str">
            <v>410*320*240</v>
          </cell>
          <cell r="Q34">
            <v>3.1E-2</v>
          </cell>
          <cell r="R34" t="str">
            <v>195mm*204mm/张</v>
          </cell>
          <cell r="AE34">
            <v>0</v>
          </cell>
          <cell r="AF34" t="str">
            <v>Towels</v>
          </cell>
          <cell r="AG34" t="str">
            <v>0564-10</v>
          </cell>
          <cell r="AH34" t="str">
            <v>Towels</v>
          </cell>
          <cell r="AI34" t="str">
            <v>Towels</v>
          </cell>
          <cell r="AJ34">
            <v>18</v>
          </cell>
          <cell r="AQ34" t="str">
            <v>TFKLEFLDSTD</v>
          </cell>
          <cell r="AR34" t="str">
            <v>0564</v>
          </cell>
          <cell r="AS34" t="str">
            <v>0564-10</v>
          </cell>
          <cell r="AU34">
            <v>58.645664573874647</v>
          </cell>
          <cell r="AW34">
            <v>6</v>
          </cell>
          <cell r="AX34" t="str">
            <v>Others</v>
          </cell>
        </row>
        <row r="35">
          <cell r="G35" t="str">
            <v>2148-10</v>
          </cell>
          <cell r="I35" t="str">
            <v>14014475</v>
          </cell>
          <cell r="J35" t="str">
            <v>214810舒洁小熊印花抽纸120抽16包FSC mix70%</v>
          </cell>
          <cell r="K35" t="str">
            <v>D214810KS IF FACIAL 120'S 16P FSC mix</v>
          </cell>
          <cell r="AE35">
            <v>0</v>
          </cell>
          <cell r="AF35" t="str">
            <v>抽纸</v>
          </cell>
          <cell r="AG35">
            <v>0</v>
          </cell>
          <cell r="AH35" t="str">
            <v>高端抽纸</v>
          </cell>
          <cell r="AI35" t="str">
            <v>抽纸</v>
          </cell>
          <cell r="AX35" t="str">
            <v>Others</v>
          </cell>
        </row>
        <row r="36">
          <cell r="G36" t="str">
            <v>2664-00</v>
          </cell>
          <cell r="I36" t="str">
            <v>14016484</v>
          </cell>
          <cell r="J36" t="str">
            <v>266400舒洁湿厕纸80片x8包(黄箱)</v>
          </cell>
          <cell r="K36" t="str">
            <v>D266400KS PW FAMILY PACK 80'S 8P</v>
          </cell>
          <cell r="AE36">
            <v>0</v>
          </cell>
          <cell r="AF36" t="str">
            <v>湿厕纸</v>
          </cell>
          <cell r="AG36">
            <v>0</v>
          </cell>
          <cell r="AH36" t="str">
            <v>舒洁湿厕纸巾</v>
          </cell>
          <cell r="AI36" t="str">
            <v>湿厕纸</v>
          </cell>
          <cell r="AX36" t="str">
            <v>湿厕纸</v>
          </cell>
        </row>
        <row r="37">
          <cell r="G37" t="str">
            <v>2665-00</v>
          </cell>
          <cell r="I37" t="str">
            <v>14016485</v>
          </cell>
          <cell r="J37" t="str">
            <v>266500舒洁湿厕纸80片x10包-京东</v>
          </cell>
          <cell r="K37" t="str">
            <v>D266500KS PW FAMILY PACK 80'S 10P-JD</v>
          </cell>
          <cell r="AE37">
            <v>0</v>
          </cell>
          <cell r="AF37" t="str">
            <v>湿厕纸</v>
          </cell>
          <cell r="AG37">
            <v>0</v>
          </cell>
          <cell r="AH37" t="str">
            <v>舒洁湿厕纸巾</v>
          </cell>
          <cell r="AI37" t="str">
            <v>湿厕纸</v>
          </cell>
          <cell r="AX37" t="str">
            <v>湿厕纸</v>
          </cell>
        </row>
        <row r="38">
          <cell r="G38" t="str">
            <v>2665-10</v>
          </cell>
          <cell r="I38" t="str">
            <v>14017870</v>
          </cell>
          <cell r="J38" t="str">
            <v>266510舒洁湿厕纸80片x10包-京东</v>
          </cell>
          <cell r="K38" t="str">
            <v>266510KS PW FAMILY PACK 80'S 10P-JD</v>
          </cell>
          <cell r="AE38">
            <v>0</v>
          </cell>
          <cell r="AF38" t="str">
            <v>湿厕纸</v>
          </cell>
          <cell r="AG38">
            <v>0</v>
          </cell>
          <cell r="AH38" t="str">
            <v>舒洁湿厕纸巾</v>
          </cell>
          <cell r="AI38" t="str">
            <v>湿厕纸</v>
          </cell>
          <cell r="AX38" t="str">
            <v>湿厕纸</v>
          </cell>
        </row>
        <row r="39">
          <cell r="F39" t="str">
            <v>2670-40</v>
          </cell>
          <cell r="G39">
            <v>267040</v>
          </cell>
          <cell r="H39" t="str">
            <v>6923589426709</v>
          </cell>
          <cell r="I39" t="str">
            <v>14017871</v>
          </cell>
          <cell r="J39" t="str">
            <v>267040舒洁湿厕纸旅行装10包装</v>
          </cell>
          <cell r="K39" t="str">
            <v>D267040舒洁湿厕纸旅行装10包装</v>
          </cell>
          <cell r="L39">
            <v>4</v>
          </cell>
          <cell r="M39" t="str">
            <v>10*10</v>
          </cell>
          <cell r="N39">
            <v>100</v>
          </cell>
          <cell r="O39">
            <v>400</v>
          </cell>
          <cell r="P39" t="str">
            <v>294X175X161</v>
          </cell>
          <cell r="Q39">
            <v>8.0000000000000002E-3</v>
          </cell>
          <cell r="R39" t="str">
            <v>200*133</v>
          </cell>
          <cell r="S39">
            <v>151.33000000000001</v>
          </cell>
          <cell r="T39">
            <v>37.832500000000003</v>
          </cell>
          <cell r="W39">
            <v>0</v>
          </cell>
          <cell r="AE39">
            <v>0</v>
          </cell>
          <cell r="AF39" t="str">
            <v>湿厕纸</v>
          </cell>
          <cell r="AG39" t="str">
            <v>2670-40</v>
          </cell>
          <cell r="AH39" t="str">
            <v>舒洁湿厕纸巾</v>
          </cell>
          <cell r="AI39" t="str">
            <v>湿厕纸</v>
          </cell>
          <cell r="AJ39">
            <v>40</v>
          </cell>
          <cell r="AK39">
            <v>2.1</v>
          </cell>
          <cell r="AL39">
            <v>52.5</v>
          </cell>
          <cell r="AM39">
            <v>160</v>
          </cell>
          <cell r="AN39">
            <v>66</v>
          </cell>
          <cell r="AO39">
            <v>135</v>
          </cell>
          <cell r="AP39" t="str">
            <v>6923589426709</v>
          </cell>
          <cell r="AQ39" t="str">
            <v>R5T</v>
          </cell>
          <cell r="AR39" t="str">
            <v>2670</v>
          </cell>
          <cell r="AS39" t="str">
            <v>2670-40</v>
          </cell>
          <cell r="AW39">
            <v>10</v>
          </cell>
          <cell r="AX39" t="str">
            <v>湿厕纸</v>
          </cell>
        </row>
        <row r="40">
          <cell r="F40" t="str">
            <v>2660-10</v>
          </cell>
          <cell r="G40">
            <v>266010</v>
          </cell>
          <cell r="H40" t="str">
            <v>6923589426600</v>
          </cell>
          <cell r="I40" t="str">
            <v>14017865</v>
          </cell>
          <cell r="J40" t="str">
            <v xml:space="preserve">266010舒洁湿厕纸80片 </v>
          </cell>
          <cell r="K40" t="str">
            <v>266010 KS PW FAMILY PACK 80'S</v>
          </cell>
          <cell r="L40">
            <v>24</v>
          </cell>
          <cell r="M40" t="str">
            <v>80p</v>
          </cell>
          <cell r="N40">
            <v>80</v>
          </cell>
          <cell r="O40">
            <v>1920</v>
          </cell>
          <cell r="P40" t="str">
            <v>334X314X277</v>
          </cell>
          <cell r="Q40">
            <v>2.9000000000000001E-2</v>
          </cell>
          <cell r="S40">
            <v>326.88</v>
          </cell>
          <cell r="T40">
            <v>13.62</v>
          </cell>
          <cell r="U40">
            <v>1</v>
          </cell>
          <cell r="W40">
            <v>0</v>
          </cell>
          <cell r="Y40">
            <v>1</v>
          </cell>
          <cell r="AC40">
            <v>1</v>
          </cell>
          <cell r="AE40">
            <v>4</v>
          </cell>
          <cell r="AF40" t="str">
            <v>湿厕纸</v>
          </cell>
          <cell r="AG40" t="str">
            <v>2660-10</v>
          </cell>
          <cell r="AH40" t="str">
            <v>舒洁湿厕纸巾</v>
          </cell>
          <cell r="AI40" t="str">
            <v>湿厕纸</v>
          </cell>
          <cell r="AJ40">
            <v>24</v>
          </cell>
          <cell r="AP40" t="str">
            <v>6923589426600</v>
          </cell>
          <cell r="AQ40" t="str">
            <v>R5O</v>
          </cell>
          <cell r="AR40" t="str">
            <v>2660</v>
          </cell>
          <cell r="AS40" t="str">
            <v>2660-10</v>
          </cell>
          <cell r="AW40">
            <v>1</v>
          </cell>
          <cell r="AX40" t="str">
            <v>湿厕纸</v>
          </cell>
          <cell r="AY40">
            <v>1</v>
          </cell>
        </row>
        <row r="41">
          <cell r="F41" t="str">
            <v>2694-50</v>
          </cell>
          <cell r="G41">
            <v>269450</v>
          </cell>
          <cell r="H41" t="str">
            <v>6923589426945</v>
          </cell>
          <cell r="I41" t="str">
            <v>14017864</v>
          </cell>
          <cell r="J41" t="str">
            <v xml:space="preserve">269450舒洁湿厕纸家庭装40抽 </v>
          </cell>
          <cell r="K41" t="str">
            <v xml:space="preserve">D269450舒洁湿厕纸家庭装40抽 </v>
          </cell>
          <cell r="L41">
            <v>40</v>
          </cell>
          <cell r="M41" t="str">
            <v>40p</v>
          </cell>
          <cell r="N41">
            <v>40</v>
          </cell>
          <cell r="O41">
            <v>1600</v>
          </cell>
          <cell r="P41" t="str">
            <v>334X314X252</v>
          </cell>
          <cell r="Q41">
            <v>2.5999999999999999E-2</v>
          </cell>
          <cell r="S41">
            <v>367.52</v>
          </cell>
          <cell r="T41">
            <v>9.1879999999999988</v>
          </cell>
          <cell r="U41">
            <v>1</v>
          </cell>
          <cell r="Y41">
            <v>1</v>
          </cell>
          <cell r="AC41">
            <v>1</v>
          </cell>
          <cell r="AE41">
            <v>3</v>
          </cell>
          <cell r="AF41" t="str">
            <v>湿厕纸</v>
          </cell>
          <cell r="AG41" t="str">
            <v>2694-50</v>
          </cell>
          <cell r="AH41" t="str">
            <v>舒洁湿厕纸巾</v>
          </cell>
          <cell r="AI41" t="str">
            <v>湿厕纸</v>
          </cell>
          <cell r="AJ41">
            <v>40</v>
          </cell>
          <cell r="AM41">
            <v>170</v>
          </cell>
          <cell r="AN41">
            <v>106</v>
          </cell>
          <cell r="AO41">
            <v>30</v>
          </cell>
          <cell r="AP41" t="str">
            <v>6923589426945</v>
          </cell>
          <cell r="AQ41" t="str">
            <v>R5M</v>
          </cell>
          <cell r="AR41" t="str">
            <v>2694</v>
          </cell>
          <cell r="AS41" t="str">
            <v>2694-50</v>
          </cell>
          <cell r="AW41">
            <v>1</v>
          </cell>
          <cell r="AX41" t="str">
            <v>湿厕纸</v>
          </cell>
        </row>
        <row r="42">
          <cell r="F42" t="str">
            <v>2662-10</v>
          </cell>
          <cell r="G42">
            <v>266210</v>
          </cell>
          <cell r="H42" t="str">
            <v>6923589426624</v>
          </cell>
          <cell r="I42" t="str">
            <v>14017868</v>
          </cell>
          <cell r="J42" t="str">
            <v xml:space="preserve">266210舒洁湿厕纸80片x6包 </v>
          </cell>
          <cell r="K42" t="str">
            <v>266210 KS PW FAMILY PACK 80'S 6P</v>
          </cell>
          <cell r="L42">
            <v>1</v>
          </cell>
          <cell r="M42" t="str">
            <v>80*6</v>
          </cell>
          <cell r="N42">
            <v>480</v>
          </cell>
          <cell r="O42">
            <v>480</v>
          </cell>
          <cell r="P42" t="str">
            <v>223X168X204</v>
          </cell>
          <cell r="Q42">
            <v>8.0000000000000002E-3</v>
          </cell>
          <cell r="S42">
            <v>69.44</v>
          </cell>
          <cell r="T42">
            <v>69.44</v>
          </cell>
          <cell r="U42">
            <v>1</v>
          </cell>
          <cell r="Z42">
            <v>1</v>
          </cell>
          <cell r="AC42">
            <v>1</v>
          </cell>
          <cell r="AD42">
            <v>1</v>
          </cell>
          <cell r="AE42">
            <v>5</v>
          </cell>
          <cell r="AF42" t="str">
            <v>湿厕纸</v>
          </cell>
          <cell r="AG42" t="str">
            <v>2662-10</v>
          </cell>
          <cell r="AH42" t="str">
            <v>舒洁湿厕纸巾</v>
          </cell>
          <cell r="AI42" t="str">
            <v>湿厕纸</v>
          </cell>
          <cell r="AJ42">
            <v>6</v>
          </cell>
          <cell r="AP42" t="str">
            <v>6923589426624</v>
          </cell>
          <cell r="AQ42" t="str">
            <v>R5Q</v>
          </cell>
          <cell r="AR42" t="str">
            <v>2662</v>
          </cell>
          <cell r="AS42" t="str">
            <v>2662-10</v>
          </cell>
          <cell r="AW42">
            <v>6</v>
          </cell>
          <cell r="AX42" t="str">
            <v>湿厕纸</v>
          </cell>
          <cell r="AZ42">
            <v>1</v>
          </cell>
        </row>
        <row r="43">
          <cell r="F43" t="str">
            <v>2694-60</v>
          </cell>
          <cell r="G43">
            <v>269460</v>
          </cell>
          <cell r="H43" t="str">
            <v>6923589420011</v>
          </cell>
          <cell r="I43" t="str">
            <v>14017872</v>
          </cell>
          <cell r="J43" t="str">
            <v>269460舒洁湿厕纸家庭装40抽10包装</v>
          </cell>
          <cell r="K43" t="str">
            <v>D269460舒洁湿厕纸家庭装40抽10包装</v>
          </cell>
          <cell r="L43">
            <v>4</v>
          </cell>
          <cell r="M43" t="str">
            <v>40*10</v>
          </cell>
          <cell r="N43">
            <v>400</v>
          </cell>
          <cell r="O43">
            <v>1600</v>
          </cell>
          <cell r="P43" t="str">
            <v>334X314X252</v>
          </cell>
          <cell r="Q43">
            <v>2.5999999999999999E-2</v>
          </cell>
          <cell r="S43">
            <v>330.25</v>
          </cell>
          <cell r="T43">
            <v>82.5625</v>
          </cell>
          <cell r="AE43">
            <v>1</v>
          </cell>
          <cell r="AF43" t="str">
            <v>湿厕纸</v>
          </cell>
          <cell r="AG43" t="str">
            <v>2694-60</v>
          </cell>
          <cell r="AH43" t="str">
            <v>舒洁湿厕纸巾</v>
          </cell>
          <cell r="AI43" t="str">
            <v>湿厕纸</v>
          </cell>
          <cell r="AJ43">
            <v>40</v>
          </cell>
          <cell r="AP43" t="str">
            <v>6923589420011</v>
          </cell>
          <cell r="AQ43" t="str">
            <v>R5N</v>
          </cell>
          <cell r="AR43" t="str">
            <v>2694</v>
          </cell>
          <cell r="AS43" t="str">
            <v>2694-60</v>
          </cell>
          <cell r="AW43">
            <v>10</v>
          </cell>
          <cell r="AX43" t="str">
            <v>湿厕纸</v>
          </cell>
          <cell r="AZ43">
            <v>1</v>
          </cell>
        </row>
        <row r="44">
          <cell r="F44" t="str">
            <v>2661-10</v>
          </cell>
          <cell r="G44">
            <v>266110</v>
          </cell>
          <cell r="H44" t="str">
            <v>6923589426617</v>
          </cell>
          <cell r="I44" t="str">
            <v>14017866</v>
          </cell>
          <cell r="J44" t="str">
            <v xml:space="preserve">266110舒洁湿厕纸80片x3包 </v>
          </cell>
          <cell r="K44" t="str">
            <v>266110 KS PW FAMILY PACK 80'S 3P</v>
          </cell>
          <cell r="L44">
            <v>8</v>
          </cell>
          <cell r="M44" t="str">
            <v>80*3</v>
          </cell>
          <cell r="N44">
            <v>240</v>
          </cell>
          <cell r="O44">
            <v>1920</v>
          </cell>
          <cell r="P44" t="str">
            <v>474X338X222</v>
          </cell>
          <cell r="Q44">
            <v>3.5999999999999997E-2</v>
          </cell>
          <cell r="S44">
            <v>310.48</v>
          </cell>
          <cell r="T44">
            <v>38.81</v>
          </cell>
          <cell r="U44">
            <v>1</v>
          </cell>
          <cell r="W44">
            <v>1</v>
          </cell>
          <cell r="AC44">
            <v>1</v>
          </cell>
          <cell r="AE44">
            <v>3</v>
          </cell>
          <cell r="AF44" t="str">
            <v>湿厕纸</v>
          </cell>
          <cell r="AG44" t="str">
            <v>2661-10</v>
          </cell>
          <cell r="AH44" t="str">
            <v>舒洁湿厕纸巾</v>
          </cell>
          <cell r="AI44" t="str">
            <v>湿厕纸</v>
          </cell>
          <cell r="AJ44">
            <v>24</v>
          </cell>
          <cell r="AP44" t="str">
            <v>6923589426617</v>
          </cell>
          <cell r="AQ44" t="str">
            <v>R5P</v>
          </cell>
          <cell r="AR44" t="str">
            <v>2661</v>
          </cell>
          <cell r="AS44" t="str">
            <v>2661-10</v>
          </cell>
          <cell r="AW44">
            <v>3</v>
          </cell>
          <cell r="AX44" t="str">
            <v>湿厕纸</v>
          </cell>
        </row>
        <row r="45">
          <cell r="F45" t="str">
            <v>2655-10</v>
          </cell>
          <cell r="G45">
            <v>265510</v>
          </cell>
          <cell r="H45" t="str">
            <v>6923589426556</v>
          </cell>
          <cell r="I45" t="str">
            <v>14017863</v>
          </cell>
          <cell r="J45" t="str">
            <v>265510舒洁湿厕纸7抽6包装</v>
          </cell>
          <cell r="K45" t="str">
            <v>265510 KS PW MINI PACK 7'S 6P</v>
          </cell>
          <cell r="L45">
            <v>16</v>
          </cell>
          <cell r="M45" t="str">
            <v>7*6</v>
          </cell>
          <cell r="N45">
            <v>42</v>
          </cell>
          <cell r="O45">
            <v>672</v>
          </cell>
          <cell r="P45" t="str">
            <v>310X215X175</v>
          </cell>
          <cell r="Q45">
            <v>1.2E-2</v>
          </cell>
          <cell r="S45">
            <v>179.2</v>
          </cell>
          <cell r="T45">
            <v>11.2</v>
          </cell>
          <cell r="U45">
            <v>1</v>
          </cell>
          <cell r="AC45">
            <v>1</v>
          </cell>
          <cell r="AE45">
            <v>2</v>
          </cell>
          <cell r="AF45" t="str">
            <v>湿厕纸</v>
          </cell>
          <cell r="AG45" t="str">
            <v>2655-10</v>
          </cell>
          <cell r="AH45" t="str">
            <v>舒洁湿厕纸巾</v>
          </cell>
          <cell r="AI45" t="str">
            <v>湿厕纸</v>
          </cell>
          <cell r="AJ45">
            <v>96</v>
          </cell>
          <cell r="AK45">
            <v>3.4</v>
          </cell>
          <cell r="AL45">
            <v>35.416666666666664</v>
          </cell>
          <cell r="AP45" t="str">
            <v>6923589426556</v>
          </cell>
          <cell r="AQ45" t="str">
            <v>R5L</v>
          </cell>
          <cell r="AR45" t="str">
            <v>2655</v>
          </cell>
          <cell r="AS45" t="str">
            <v>2655-10</v>
          </cell>
          <cell r="AW45">
            <v>6</v>
          </cell>
          <cell r="AX45" t="str">
            <v>湿厕纸</v>
          </cell>
        </row>
        <row r="46">
          <cell r="F46" t="str">
            <v>2664-10</v>
          </cell>
          <cell r="G46">
            <v>266410</v>
          </cell>
          <cell r="H46" t="str">
            <v>6923589426600</v>
          </cell>
          <cell r="I46" t="str">
            <v>14017869</v>
          </cell>
          <cell r="J46" t="str">
            <v>266410舒洁湿厕纸80片x8包(黄箱)</v>
          </cell>
          <cell r="K46" t="str">
            <v>266410KS PW FAMILY PACK 80'S 8P</v>
          </cell>
          <cell r="L46">
            <v>1</v>
          </cell>
          <cell r="M46" t="str">
            <v>80*8</v>
          </cell>
          <cell r="N46">
            <v>640</v>
          </cell>
          <cell r="O46">
            <v>640</v>
          </cell>
          <cell r="P46" t="str">
            <v>238X175X265</v>
          </cell>
          <cell r="Q46">
            <v>1.0999999999999999E-2</v>
          </cell>
          <cell r="S46">
            <v>92.6</v>
          </cell>
          <cell r="T46">
            <v>92.6</v>
          </cell>
          <cell r="AE46">
            <v>0</v>
          </cell>
          <cell r="AF46" t="str">
            <v>湿厕纸</v>
          </cell>
          <cell r="AG46" t="str">
            <v>2664-10</v>
          </cell>
          <cell r="AH46" t="str">
            <v>舒洁湿厕纸巾</v>
          </cell>
          <cell r="AI46" t="str">
            <v>湿厕纸</v>
          </cell>
          <cell r="AJ46">
            <v>8</v>
          </cell>
          <cell r="AK46">
            <v>3.2</v>
          </cell>
          <cell r="AL46">
            <v>400</v>
          </cell>
          <cell r="AP46" t="str">
            <v>6923589426600</v>
          </cell>
          <cell r="AQ46" t="str">
            <v>R5R</v>
          </cell>
          <cell r="AR46">
            <v>2664</v>
          </cell>
          <cell r="AS46" t="str">
            <v>2664-10</v>
          </cell>
          <cell r="AW46">
            <v>8</v>
          </cell>
          <cell r="AX46" t="str">
            <v>湿厕纸</v>
          </cell>
        </row>
        <row r="47">
          <cell r="F47" t="str">
            <v>2168-00</v>
          </cell>
          <cell r="G47">
            <v>216800</v>
          </cell>
          <cell r="H47" t="str">
            <v>6923589421681</v>
          </cell>
          <cell r="I47" t="str">
            <v>14018015</v>
          </cell>
          <cell r="J47" t="str">
            <v>216800舒洁®北海道牛乳系列乳霜纸面巾80抽5包装（山姆）</v>
          </cell>
          <cell r="K47" t="str">
            <v>216800KS SUPER PREMIUM LTN 6ply 80'S 5P</v>
          </cell>
          <cell r="L47">
            <v>6</v>
          </cell>
          <cell r="M47" t="str">
            <v>80p*5</v>
          </cell>
          <cell r="N47">
            <v>400</v>
          </cell>
          <cell r="O47">
            <v>2400</v>
          </cell>
          <cell r="P47" t="str">
            <v>318X340X360</v>
          </cell>
          <cell r="Q47">
            <v>3.9E-2</v>
          </cell>
          <cell r="R47" t="str">
            <v>137*190</v>
          </cell>
          <cell r="S47">
            <v>431.13600000000002</v>
          </cell>
          <cell r="T47">
            <v>71.856000000000009</v>
          </cell>
          <cell r="AE47">
            <v>0</v>
          </cell>
          <cell r="AF47" t="str">
            <v>乳霜纸</v>
          </cell>
          <cell r="AG47" t="str">
            <v>2168-00</v>
          </cell>
          <cell r="AH47" t="str">
            <v>高端抽纸</v>
          </cell>
          <cell r="AI47" t="str">
            <v>乳霜纸</v>
          </cell>
          <cell r="AJ47">
            <v>30</v>
          </cell>
          <cell r="AK47">
            <v>4</v>
          </cell>
          <cell r="AP47" t="str">
            <v>6923589421681</v>
          </cell>
          <cell r="AQ47" t="str">
            <v>R7P</v>
          </cell>
          <cell r="AR47" t="str">
            <v>2168</v>
          </cell>
          <cell r="AS47" t="str">
            <v>2168-00</v>
          </cell>
          <cell r="AW47">
            <v>5</v>
          </cell>
          <cell r="AX47" t="str">
            <v>乳霜纸</v>
          </cell>
        </row>
        <row r="48">
          <cell r="F48" t="str">
            <v>2169-00</v>
          </cell>
          <cell r="G48">
            <v>216900</v>
          </cell>
          <cell r="H48" t="str">
            <v>6923589421704</v>
          </cell>
          <cell r="I48" t="str">
            <v>14018125</v>
          </cell>
          <cell r="J48" t="str">
            <v>216900舒洁®北海道牛乳系列乳霜纸面巾80抽6包装</v>
          </cell>
          <cell r="K48" t="str">
            <v>216900KS SUPER PREMIUM LTN 6ply 80'S 6P</v>
          </cell>
          <cell r="L48">
            <v>6</v>
          </cell>
          <cell r="M48" t="str">
            <v>80p*6</v>
          </cell>
          <cell r="N48">
            <v>480</v>
          </cell>
          <cell r="O48">
            <v>2880</v>
          </cell>
          <cell r="P48" t="str">
            <v>358X311X388</v>
          </cell>
          <cell r="Q48">
            <v>4.2999999999999997E-2</v>
          </cell>
          <cell r="S48">
            <v>431.13600000000002</v>
          </cell>
          <cell r="T48">
            <v>71.856000000000009</v>
          </cell>
          <cell r="V48">
            <v>1</v>
          </cell>
          <cell r="AE48">
            <v>1</v>
          </cell>
          <cell r="AF48" t="str">
            <v>乳霜纸</v>
          </cell>
          <cell r="AG48" t="str">
            <v>2169-00</v>
          </cell>
          <cell r="AH48" t="str">
            <v>高端抽纸</v>
          </cell>
          <cell r="AI48" t="str">
            <v>乳霜纸</v>
          </cell>
          <cell r="AJ48">
            <v>36</v>
          </cell>
          <cell r="AK48">
            <v>9.5980000000000008</v>
          </cell>
          <cell r="AL48">
            <v>266.61111111111109</v>
          </cell>
          <cell r="AP48" t="str">
            <v>6923589421704</v>
          </cell>
          <cell r="AQ48" t="str">
            <v>R8V</v>
          </cell>
          <cell r="AR48" t="str">
            <v>2169</v>
          </cell>
          <cell r="AS48" t="str">
            <v>2169-00</v>
          </cell>
          <cell r="AW48">
            <v>6</v>
          </cell>
          <cell r="AX48" t="str">
            <v>乳霜纸</v>
          </cell>
        </row>
        <row r="49">
          <cell r="F49" t="str">
            <v>2610-00</v>
          </cell>
          <cell r="G49">
            <v>261000</v>
          </cell>
          <cell r="H49" t="str">
            <v>6923589426105</v>
          </cell>
          <cell r="I49" t="str">
            <v>14018369</v>
          </cell>
          <cell r="J49" t="str">
            <v>261000舒洁湿厕纸(65gsm)旅行装10片x10包装</v>
          </cell>
          <cell r="K49" t="str">
            <v>261000KS PW (65gsm) TRAVEL PACK 10'S10P</v>
          </cell>
          <cell r="L49">
            <v>4</v>
          </cell>
          <cell r="M49" t="str">
            <v>10*10</v>
          </cell>
          <cell r="N49">
            <v>100</v>
          </cell>
          <cell r="O49">
            <v>400</v>
          </cell>
          <cell r="P49" t="str">
            <v>293X173X176</v>
          </cell>
          <cell r="Q49">
            <v>8.9999999999999993E-3</v>
          </cell>
          <cell r="S49">
            <v>151.33000000000001</v>
          </cell>
          <cell r="T49">
            <v>37.832500000000003</v>
          </cell>
          <cell r="W49">
            <v>1</v>
          </cell>
          <cell r="AE49">
            <v>1</v>
          </cell>
          <cell r="AF49" t="str">
            <v>湿厕纸</v>
          </cell>
          <cell r="AG49" t="str">
            <v>2610-00</v>
          </cell>
          <cell r="AH49" t="str">
            <v>舒洁湿厕纸巾</v>
          </cell>
          <cell r="AI49" t="str">
            <v>湿厕纸</v>
          </cell>
          <cell r="AJ49">
            <v>40</v>
          </cell>
          <cell r="AK49">
            <v>2.6</v>
          </cell>
          <cell r="AL49">
            <v>65</v>
          </cell>
          <cell r="AP49" t="str">
            <v>6923589426105</v>
          </cell>
          <cell r="AQ49" t="str">
            <v>U1L</v>
          </cell>
          <cell r="AR49" t="str">
            <v>2610</v>
          </cell>
          <cell r="AS49" t="str">
            <v>2610-00</v>
          </cell>
          <cell r="AW49">
            <v>10</v>
          </cell>
          <cell r="AX49" t="str">
            <v>湿厕纸</v>
          </cell>
        </row>
        <row r="50">
          <cell r="F50" t="str">
            <v>2609-00</v>
          </cell>
          <cell r="G50">
            <v>260900</v>
          </cell>
          <cell r="H50" t="str">
            <v>6923589426099</v>
          </cell>
          <cell r="I50" t="str">
            <v>14018377</v>
          </cell>
          <cell r="J50" t="str">
            <v xml:space="preserve">260900舒洁湿厕纸(65gsm)8片x48包 </v>
          </cell>
          <cell r="K50" t="str">
            <v>260900KS PW (65gsm) MINI PACK 8'S 48P</v>
          </cell>
          <cell r="L50">
            <v>1</v>
          </cell>
          <cell r="M50" t="str">
            <v>8*48</v>
          </cell>
          <cell r="N50">
            <v>384</v>
          </cell>
          <cell r="O50">
            <v>384</v>
          </cell>
          <cell r="P50" t="str">
            <v>243X218X166</v>
          </cell>
          <cell r="Q50">
            <v>8.9999999999999993E-3</v>
          </cell>
          <cell r="S50">
            <v>102.4</v>
          </cell>
          <cell r="T50">
            <v>102.4</v>
          </cell>
          <cell r="V50">
            <v>1</v>
          </cell>
          <cell r="AE50">
            <v>1</v>
          </cell>
          <cell r="AF50" t="str">
            <v>湿厕纸</v>
          </cell>
          <cell r="AG50" t="str">
            <v>2609-00</v>
          </cell>
          <cell r="AH50" t="str">
            <v>舒洁湿厕纸巾</v>
          </cell>
          <cell r="AI50" t="str">
            <v>湿厕纸</v>
          </cell>
          <cell r="AJ50">
            <v>48</v>
          </cell>
          <cell r="AK50">
            <v>2.4</v>
          </cell>
          <cell r="AL50">
            <v>50</v>
          </cell>
          <cell r="AP50" t="str">
            <v>6923589426099</v>
          </cell>
          <cell r="AQ50" t="str">
            <v>U1T</v>
          </cell>
          <cell r="AR50" t="str">
            <v>2609</v>
          </cell>
          <cell r="AS50" t="str">
            <v>2609-00</v>
          </cell>
          <cell r="AW50">
            <v>48</v>
          </cell>
          <cell r="AX50" t="str">
            <v>湿厕纸</v>
          </cell>
        </row>
        <row r="51">
          <cell r="F51" t="str">
            <v>2636-00</v>
          </cell>
          <cell r="G51">
            <v>263600</v>
          </cell>
          <cell r="H51" t="str">
            <v>6923589426365</v>
          </cell>
          <cell r="I51" t="str">
            <v>14018374</v>
          </cell>
          <cell r="J51" t="str">
            <v>263600舒洁湿厕纸(65gsm)80片x6包</v>
          </cell>
          <cell r="K51" t="str">
            <v>263600KS PW (65gsm) FAMILY PACK 80'S 6P</v>
          </cell>
          <cell r="L51">
            <v>1</v>
          </cell>
          <cell r="M51" t="str">
            <v>80*6</v>
          </cell>
          <cell r="N51">
            <v>480</v>
          </cell>
          <cell r="O51">
            <v>480</v>
          </cell>
          <cell r="P51" t="str">
            <v>238X173X231</v>
          </cell>
          <cell r="Q51">
            <v>0.01</v>
          </cell>
          <cell r="S51">
            <v>69.44</v>
          </cell>
          <cell r="T51">
            <v>69.44</v>
          </cell>
          <cell r="AE51">
            <v>0</v>
          </cell>
          <cell r="AF51" t="str">
            <v>湿厕纸</v>
          </cell>
          <cell r="AG51" t="str">
            <v>2636-00</v>
          </cell>
          <cell r="AH51" t="str">
            <v>舒洁湿厕纸巾</v>
          </cell>
          <cell r="AI51" t="str">
            <v>湿厕纸</v>
          </cell>
          <cell r="AJ51">
            <v>6</v>
          </cell>
          <cell r="AP51" t="str">
            <v>6923589426365</v>
          </cell>
          <cell r="AQ51" t="str">
            <v>U1Q</v>
          </cell>
          <cell r="AR51" t="str">
            <v>2636</v>
          </cell>
          <cell r="AS51" t="str">
            <v>2636-00</v>
          </cell>
          <cell r="AW51">
            <v>6</v>
          </cell>
          <cell r="AX51" t="str">
            <v>湿厕纸</v>
          </cell>
        </row>
        <row r="52">
          <cell r="F52" t="str">
            <v>2620-00</v>
          </cell>
          <cell r="G52">
            <v>262000</v>
          </cell>
          <cell r="H52" t="str">
            <v>6923589426204</v>
          </cell>
          <cell r="I52" t="str">
            <v>14018370</v>
          </cell>
          <cell r="J52" t="str">
            <v xml:space="preserve">262000舒洁湿厕纸(65gsm)家庭装40抽 </v>
          </cell>
          <cell r="K52" t="str">
            <v>262000KS PW (65gsm) FAMILY PACK 40'S</v>
          </cell>
          <cell r="L52">
            <v>40</v>
          </cell>
          <cell r="M52" t="str">
            <v>40p</v>
          </cell>
          <cell r="N52">
            <v>40</v>
          </cell>
          <cell r="O52">
            <v>1600</v>
          </cell>
          <cell r="P52" t="str">
            <v>385X335X240</v>
          </cell>
          <cell r="Q52">
            <v>3.1E-2</v>
          </cell>
          <cell r="S52">
            <v>367.52</v>
          </cell>
          <cell r="T52">
            <v>9.1879999999999988</v>
          </cell>
          <cell r="AE52">
            <v>0</v>
          </cell>
          <cell r="AF52" t="str">
            <v>湿厕纸</v>
          </cell>
          <cell r="AG52" t="str">
            <v>2620-00</v>
          </cell>
          <cell r="AH52" t="str">
            <v>舒洁湿厕纸巾</v>
          </cell>
          <cell r="AI52" t="str">
            <v>湿厕纸</v>
          </cell>
          <cell r="AJ52">
            <v>40</v>
          </cell>
          <cell r="AP52" t="str">
            <v>6923589426204</v>
          </cell>
          <cell r="AQ52" t="str">
            <v>U1M</v>
          </cell>
          <cell r="AR52" t="str">
            <v>2620</v>
          </cell>
          <cell r="AS52" t="str">
            <v>2620-00</v>
          </cell>
          <cell r="AW52">
            <v>1</v>
          </cell>
          <cell r="AX52" t="str">
            <v>湿厕纸</v>
          </cell>
        </row>
        <row r="53">
          <cell r="F53" t="str">
            <v>2624-00</v>
          </cell>
          <cell r="G53">
            <v>262400</v>
          </cell>
          <cell r="H53" t="str">
            <v>6923589426242</v>
          </cell>
          <cell r="I53" t="str">
            <v>14018371</v>
          </cell>
          <cell r="J53" t="str">
            <v>262400舒洁湿厕纸(65gsm)家庭装40抽10包装</v>
          </cell>
          <cell r="K53" t="str">
            <v>262400KS PW (65gsm) FAMILY PACK 40'S10P</v>
          </cell>
          <cell r="L53">
            <v>4</v>
          </cell>
          <cell r="M53" t="str">
            <v>40*10</v>
          </cell>
          <cell r="N53">
            <v>400</v>
          </cell>
          <cell r="O53">
            <v>1600</v>
          </cell>
          <cell r="P53" t="str">
            <v>385X335X240</v>
          </cell>
          <cell r="Q53">
            <v>3.1E-2</v>
          </cell>
          <cell r="S53">
            <v>330.25</v>
          </cell>
          <cell r="T53">
            <v>82.5625</v>
          </cell>
          <cell r="AE53">
            <v>0</v>
          </cell>
          <cell r="AF53" t="str">
            <v>湿厕纸</v>
          </cell>
          <cell r="AG53" t="str">
            <v>2624-00</v>
          </cell>
          <cell r="AH53" t="str">
            <v>舒洁湿厕纸巾</v>
          </cell>
          <cell r="AI53" t="str">
            <v>湿厕纸</v>
          </cell>
          <cell r="AJ53">
            <v>40</v>
          </cell>
          <cell r="AP53" t="str">
            <v>6923589426242</v>
          </cell>
          <cell r="AQ53" t="str">
            <v>U1N</v>
          </cell>
          <cell r="AR53" t="str">
            <v>2624</v>
          </cell>
          <cell r="AS53" t="str">
            <v>2624-00</v>
          </cell>
          <cell r="AW53">
            <v>10</v>
          </cell>
          <cell r="AX53" t="str">
            <v>湿厕纸</v>
          </cell>
        </row>
        <row r="54">
          <cell r="F54" t="str">
            <v>2634-00</v>
          </cell>
          <cell r="G54">
            <v>263400</v>
          </cell>
          <cell r="H54" t="str">
            <v>6923589426341</v>
          </cell>
          <cell r="I54" t="str">
            <v>14018372</v>
          </cell>
          <cell r="J54" t="str">
            <v xml:space="preserve">263400舒洁湿厕纸(65gsm)80片 </v>
          </cell>
          <cell r="K54" t="str">
            <v>263400KS PW (65gsm) FAMILY PACK 80'S</v>
          </cell>
          <cell r="L54">
            <v>24</v>
          </cell>
          <cell r="M54" t="str">
            <v>80p</v>
          </cell>
          <cell r="N54">
            <v>80</v>
          </cell>
          <cell r="O54">
            <v>1920</v>
          </cell>
          <cell r="P54" t="str">
            <v>345X335X320</v>
          </cell>
          <cell r="Q54">
            <v>3.6999999999999998E-2</v>
          </cell>
          <cell r="S54">
            <v>326.88</v>
          </cell>
          <cell r="T54">
            <v>13.62</v>
          </cell>
          <cell r="W54">
            <v>0</v>
          </cell>
          <cell r="Y54">
            <v>1</v>
          </cell>
          <cell r="AE54">
            <v>1</v>
          </cell>
          <cell r="AF54" t="str">
            <v>湿厕纸</v>
          </cell>
          <cell r="AG54" t="str">
            <v>2634-00</v>
          </cell>
          <cell r="AH54" t="str">
            <v>舒洁湿厕纸巾</v>
          </cell>
          <cell r="AI54" t="str">
            <v>湿厕纸</v>
          </cell>
          <cell r="AJ54">
            <v>24</v>
          </cell>
          <cell r="AP54" t="str">
            <v>6923589426341</v>
          </cell>
          <cell r="AQ54" t="str">
            <v>U1O</v>
          </cell>
          <cell r="AR54" t="str">
            <v>2634</v>
          </cell>
          <cell r="AS54" t="str">
            <v>2634-00</v>
          </cell>
          <cell r="AW54">
            <v>1</v>
          </cell>
          <cell r="AX54" t="str">
            <v>湿厕纸</v>
          </cell>
        </row>
        <row r="55">
          <cell r="F55" t="str">
            <v>2608-00</v>
          </cell>
          <cell r="G55">
            <v>260800</v>
          </cell>
          <cell r="H55" t="str">
            <v>6923589426082</v>
          </cell>
          <cell r="I55" t="str">
            <v>14018368</v>
          </cell>
          <cell r="J55" t="str">
            <v>260800舒洁湿厕纸(65gsm)7抽6包装</v>
          </cell>
          <cell r="K55" t="str">
            <v>260800KS PW (65gsm) MINI PACK 7'S 6P</v>
          </cell>
          <cell r="L55">
            <v>16</v>
          </cell>
          <cell r="M55" t="str">
            <v>7*6</v>
          </cell>
          <cell r="N55">
            <v>42</v>
          </cell>
          <cell r="O55">
            <v>672</v>
          </cell>
          <cell r="P55" t="str">
            <v>313X218X201</v>
          </cell>
          <cell r="Q55">
            <v>1.4E-2</v>
          </cell>
          <cell r="S55">
            <v>179.2</v>
          </cell>
          <cell r="T55">
            <v>11.2</v>
          </cell>
          <cell r="AD55">
            <v>1</v>
          </cell>
          <cell r="AE55">
            <v>2</v>
          </cell>
          <cell r="AF55" t="str">
            <v>湿厕纸</v>
          </cell>
          <cell r="AG55" t="str">
            <v>2608-00</v>
          </cell>
          <cell r="AH55" t="str">
            <v>舒洁湿厕纸巾</v>
          </cell>
          <cell r="AI55" t="str">
            <v>湿厕纸</v>
          </cell>
          <cell r="AJ55">
            <v>96</v>
          </cell>
          <cell r="AP55" t="str">
            <v>6923589426082</v>
          </cell>
          <cell r="AQ55" t="str">
            <v>U1K</v>
          </cell>
          <cell r="AR55" t="str">
            <v>2608</v>
          </cell>
          <cell r="AS55" t="str">
            <v>2608-00</v>
          </cell>
          <cell r="AW55">
            <v>6</v>
          </cell>
          <cell r="AX55" t="str">
            <v>湿厕纸</v>
          </cell>
          <cell r="AZ55">
            <v>1</v>
          </cell>
        </row>
        <row r="56">
          <cell r="F56" t="str">
            <v>2653-00</v>
          </cell>
          <cell r="G56">
            <v>265300</v>
          </cell>
          <cell r="H56" t="str">
            <v>6923589426532</v>
          </cell>
          <cell r="I56" t="str">
            <v>14018677</v>
          </cell>
          <cell r="J56" t="str">
            <v>2653-00舒洁小熊湿厕纸40片</v>
          </cell>
          <cell r="K56" t="str">
            <v>2653-00 KS PW Teddy FAMILY PACK 40'S</v>
          </cell>
          <cell r="L56">
            <v>40</v>
          </cell>
          <cell r="M56" t="str">
            <v>40p</v>
          </cell>
          <cell r="N56">
            <v>40</v>
          </cell>
          <cell r="O56">
            <v>1600</v>
          </cell>
          <cell r="P56" t="str">
            <v>385X335X240</v>
          </cell>
          <cell r="Q56">
            <v>3.1E-2</v>
          </cell>
          <cell r="S56">
            <v>367.52</v>
          </cell>
          <cell r="T56">
            <v>9.1879999999999988</v>
          </cell>
          <cell r="U56">
            <v>1</v>
          </cell>
          <cell r="Y56">
            <v>1</v>
          </cell>
          <cell r="AE56">
            <v>3</v>
          </cell>
          <cell r="AF56" t="str">
            <v>湿厕纸</v>
          </cell>
          <cell r="AG56" t="str">
            <v>2653-00</v>
          </cell>
          <cell r="AH56" t="str">
            <v>舒洁湿厕纸巾</v>
          </cell>
          <cell r="AI56" t="str">
            <v>湿厕纸</v>
          </cell>
          <cell r="AJ56">
            <v>40</v>
          </cell>
          <cell r="AP56" t="str">
            <v>6923589426532</v>
          </cell>
          <cell r="AQ56" t="str">
            <v>U3R</v>
          </cell>
          <cell r="AR56" t="str">
            <v>2653</v>
          </cell>
          <cell r="AS56" t="str">
            <v>2653-00</v>
          </cell>
          <cell r="AW56">
            <v>1</v>
          </cell>
          <cell r="AX56" t="str">
            <v>湿厕纸</v>
          </cell>
          <cell r="AZ56">
            <v>1</v>
          </cell>
        </row>
        <row r="57">
          <cell r="F57" t="str">
            <v>2657-00</v>
          </cell>
          <cell r="G57">
            <v>265700</v>
          </cell>
          <cell r="H57" t="str">
            <v>6923589426570</v>
          </cell>
          <cell r="I57" t="str">
            <v>14018689</v>
          </cell>
          <cell r="J57" t="str">
            <v>2657-00舒洁小熊湿厕纸80片</v>
          </cell>
          <cell r="K57" t="str">
            <v>2657-00 KS PW Teddy FAMILY PACK 80'S</v>
          </cell>
          <cell r="L57">
            <v>24</v>
          </cell>
          <cell r="M57" t="str">
            <v>80p</v>
          </cell>
          <cell r="N57">
            <v>80</v>
          </cell>
          <cell r="O57">
            <v>1920</v>
          </cell>
          <cell r="P57" t="str">
            <v>345X335X320</v>
          </cell>
          <cell r="Q57">
            <v>3.6999999999999998E-2</v>
          </cell>
          <cell r="S57">
            <v>326.88</v>
          </cell>
          <cell r="T57">
            <v>13.62</v>
          </cell>
          <cell r="W57">
            <v>1</v>
          </cell>
          <cell r="AD57">
            <v>1</v>
          </cell>
          <cell r="AE57">
            <v>3</v>
          </cell>
          <cell r="AF57" t="str">
            <v>湿厕纸</v>
          </cell>
          <cell r="AG57" t="str">
            <v>2657-00</v>
          </cell>
          <cell r="AH57" t="str">
            <v>舒洁湿厕纸巾</v>
          </cell>
          <cell r="AI57" t="str">
            <v>湿厕纸</v>
          </cell>
          <cell r="AJ57">
            <v>24</v>
          </cell>
          <cell r="AP57" t="str">
            <v>6923589426570</v>
          </cell>
          <cell r="AQ57" t="str">
            <v>U3O</v>
          </cell>
          <cell r="AR57" t="str">
            <v>2657</v>
          </cell>
          <cell r="AS57" t="str">
            <v>2657-00</v>
          </cell>
          <cell r="AW57">
            <v>1</v>
          </cell>
          <cell r="AX57" t="str">
            <v>湿厕纸</v>
          </cell>
          <cell r="AZ57">
            <v>1</v>
          </cell>
        </row>
        <row r="58">
          <cell r="F58" t="str">
            <v>2658-00</v>
          </cell>
          <cell r="G58">
            <v>265800</v>
          </cell>
          <cell r="H58" t="str">
            <v>6923589426587</v>
          </cell>
          <cell r="I58" t="str">
            <v>14018693</v>
          </cell>
          <cell r="J58" t="str">
            <v>2658-00舒洁小熊湿厕纸80片x8包</v>
          </cell>
          <cell r="K58" t="str">
            <v>2658-00 KS PW Teddy FAMILY PACK 80'S 8P</v>
          </cell>
          <cell r="L58">
            <v>1</v>
          </cell>
          <cell r="M58" t="str">
            <v>80*8</v>
          </cell>
          <cell r="N58">
            <v>640</v>
          </cell>
          <cell r="O58">
            <v>640</v>
          </cell>
          <cell r="P58" t="str">
            <v>308X173X231</v>
          </cell>
          <cell r="Q58">
            <v>1.2E-2</v>
          </cell>
          <cell r="S58">
            <v>92.533333333333346</v>
          </cell>
          <cell r="T58">
            <v>92.533333333333346</v>
          </cell>
          <cell r="AE58">
            <v>0</v>
          </cell>
          <cell r="AF58" t="str">
            <v>湿厕纸</v>
          </cell>
          <cell r="AG58" t="str">
            <v>2658-00</v>
          </cell>
          <cell r="AH58" t="str">
            <v>舒洁湿厕纸巾</v>
          </cell>
          <cell r="AI58" t="str">
            <v>湿厕纸</v>
          </cell>
          <cell r="AJ58">
            <v>8</v>
          </cell>
          <cell r="AP58" t="str">
            <v>6923589426587</v>
          </cell>
          <cell r="AQ58" t="str">
            <v>U3P</v>
          </cell>
          <cell r="AR58" t="str">
            <v>2658</v>
          </cell>
          <cell r="AS58" t="str">
            <v>2658-00</v>
          </cell>
          <cell r="AW58">
            <v>8</v>
          </cell>
          <cell r="AX58" t="str">
            <v>湿厕纸</v>
          </cell>
        </row>
        <row r="59">
          <cell r="F59" t="str">
            <v>2659-00</v>
          </cell>
          <cell r="G59">
            <v>265900</v>
          </cell>
          <cell r="H59" t="str">
            <v>6923589426594</v>
          </cell>
          <cell r="I59" t="str">
            <v>14018675</v>
          </cell>
          <cell r="J59" t="str">
            <v>2659-00舒洁小熊湿厕纸80片×10包</v>
          </cell>
          <cell r="K59" t="str">
            <v>2659-00 KS PW Teddy FAMILY PACK 80'S 10P</v>
          </cell>
          <cell r="L59">
            <v>1</v>
          </cell>
          <cell r="N59">
            <v>800</v>
          </cell>
          <cell r="O59">
            <v>800</v>
          </cell>
          <cell r="P59" t="str">
            <v>378X173X231</v>
          </cell>
          <cell r="Q59">
            <v>1.4999999999999999E-2</v>
          </cell>
          <cell r="S59">
            <v>115.66666666666669</v>
          </cell>
          <cell r="T59">
            <v>115.66666666666669</v>
          </cell>
          <cell r="AE59">
            <v>0</v>
          </cell>
          <cell r="AF59" t="str">
            <v>湿厕纸</v>
          </cell>
          <cell r="AG59" t="str">
            <v>2659-00</v>
          </cell>
          <cell r="AH59" t="str">
            <v>舒洁湿厕纸巾</v>
          </cell>
          <cell r="AI59" t="str">
            <v>湿厕纸</v>
          </cell>
          <cell r="AJ59">
            <v>10</v>
          </cell>
          <cell r="AP59" t="str">
            <v>6923589426594</v>
          </cell>
          <cell r="AQ59" t="str">
            <v>U3Q</v>
          </cell>
          <cell r="AR59" t="str">
            <v>2659</v>
          </cell>
          <cell r="AS59" t="str">
            <v>2659-00</v>
          </cell>
          <cell r="AW59">
            <v>10</v>
          </cell>
          <cell r="AX59" t="str">
            <v>湿厕纸</v>
          </cell>
        </row>
        <row r="60">
          <cell r="F60" t="str">
            <v>2663-00</v>
          </cell>
          <cell r="I60" t="str">
            <v>14015394</v>
          </cell>
          <cell r="J60" t="str">
            <v xml:space="preserve">266300舒洁湿厕纸80片x8包 </v>
          </cell>
          <cell r="K60" t="str">
            <v>D266300KS PW FAMILY PACK 80'S 8P-Sams</v>
          </cell>
          <cell r="AE60">
            <v>0</v>
          </cell>
        </row>
        <row r="61">
          <cell r="F61" t="str">
            <v>2666-11</v>
          </cell>
          <cell r="I61" t="str">
            <v>14016746</v>
          </cell>
          <cell r="J61" t="str">
            <v>266611舒洁湿厕纸100片x6包（点断式）</v>
          </cell>
          <cell r="K61" t="str">
            <v>D266611KS PW FAMILY PACK 100'S 6P(pop-up</v>
          </cell>
          <cell r="AE61">
            <v>0</v>
          </cell>
        </row>
        <row r="62">
          <cell r="J62" t="str">
            <v>263500舒洁湿厕纸(65gsm)80片x3包</v>
          </cell>
          <cell r="U62">
            <v>16</v>
          </cell>
          <cell r="V62">
            <v>2</v>
          </cell>
          <cell r="W62">
            <v>4</v>
          </cell>
          <cell r="X62">
            <v>1</v>
          </cell>
          <cell r="Y62">
            <v>6</v>
          </cell>
          <cell r="Z62">
            <v>2</v>
          </cell>
          <cell r="AA62">
            <v>4</v>
          </cell>
          <cell r="AB62">
            <v>1</v>
          </cell>
          <cell r="AC62">
            <v>10</v>
          </cell>
          <cell r="AD62">
            <v>5</v>
          </cell>
          <cell r="AY62">
            <v>12</v>
          </cell>
          <cell r="AZ62">
            <v>15</v>
          </cell>
          <cell r="BA62">
            <v>1</v>
          </cell>
        </row>
        <row r="66">
          <cell r="T66">
            <v>40.800000000000004</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KCP"/>
      <sheetName val="FMC"/>
      <sheetName val="FC"/>
      <sheetName val="AC"/>
      <sheetName val="BCC"/>
      <sheetName val="Sample-CH16"/>
      <sheetName val="Sample-CH15"/>
      <sheetName val="Packing Material"/>
      <sheetName val="下线产品-All"/>
    </sheetNames>
    <sheetDataSet>
      <sheetData sheetId="0"/>
      <sheetData sheetId="1">
        <row r="1">
          <cell r="A1" t="str">
            <v>Product Code</v>
          </cell>
          <cell r="B1" t="str">
            <v>Material Number</v>
          </cell>
          <cell r="C1" t="str">
            <v>Material Type</v>
          </cell>
          <cell r="D1" t="str">
            <v>Chinese Description</v>
          </cell>
        </row>
        <row r="2">
          <cell r="A2" t="str">
            <v>2655-00</v>
          </cell>
          <cell r="B2" t="str">
            <v>14014856</v>
          </cell>
          <cell r="C2" t="str">
            <v>CH06</v>
          </cell>
          <cell r="D2" t="str">
            <v>D265500舒洁湿厕纸7抽6包装</v>
          </cell>
        </row>
        <row r="3">
          <cell r="A3" t="str">
            <v>2152-04</v>
          </cell>
          <cell r="B3" t="str">
            <v>14014940</v>
          </cell>
          <cell r="C3" t="str">
            <v>CH06</v>
          </cell>
          <cell r="D3" t="str">
            <v xml:space="preserve">215204舒洁鎏金系列乳霜纸巾40抽8包 </v>
          </cell>
        </row>
        <row r="4">
          <cell r="A4" t="str">
            <v>2530-00</v>
          </cell>
          <cell r="B4" t="str">
            <v>14015043</v>
          </cell>
          <cell r="C4" t="str">
            <v>CH06</v>
          </cell>
          <cell r="D4" t="str">
            <v>253000舒洁蚕丝洗脸巾80抽3包装</v>
          </cell>
        </row>
        <row r="5">
          <cell r="A5" t="str">
            <v>2162-08</v>
          </cell>
          <cell r="B5" t="str">
            <v>14015110</v>
          </cell>
          <cell r="C5" t="str">
            <v>CH06</v>
          </cell>
          <cell r="D5" t="str">
            <v>216208舒洁®北海道牛乳系列乳霜纸面巾20抽8包装</v>
          </cell>
        </row>
        <row r="6">
          <cell r="A6" t="str">
            <v>2168-05</v>
          </cell>
          <cell r="B6" t="str">
            <v>14015111</v>
          </cell>
          <cell r="C6" t="str">
            <v>CH06</v>
          </cell>
          <cell r="D6" t="str">
            <v>216805舒洁®北海道牛乳系列乳霜纸面巾80抽5包装</v>
          </cell>
        </row>
        <row r="7">
          <cell r="A7" t="str">
            <v/>
          </cell>
          <cell r="B7" t="str">
            <v>14015129</v>
          </cell>
          <cell r="C7" t="str">
            <v>CH06</v>
          </cell>
          <cell r="D7" t="str">
            <v>健力氏綿柔消毒濕紙巾10片裝x20x6</v>
          </cell>
        </row>
        <row r="8">
          <cell r="A8" t="str">
            <v/>
          </cell>
          <cell r="B8" t="str">
            <v>14015359</v>
          </cell>
          <cell r="C8" t="str">
            <v>CH06</v>
          </cell>
          <cell r="D8" t="str">
            <v>皇冠迷你濕廁紙7片裝6包裝X8X2</v>
          </cell>
        </row>
        <row r="9">
          <cell r="A9" t="str">
            <v>2216-35</v>
          </cell>
          <cell r="B9" t="str">
            <v>14015861</v>
          </cell>
          <cell r="C9" t="str">
            <v>CH06</v>
          </cell>
          <cell r="D9" t="str">
            <v xml:space="preserve">221635舒洁卷纸3层纯白10粒（蓝色） </v>
          </cell>
        </row>
        <row r="10">
          <cell r="A10" t="str">
            <v/>
          </cell>
          <cell r="B10" t="str">
            <v>14015970</v>
          </cell>
          <cell r="C10" t="str">
            <v>CH00</v>
          </cell>
          <cell r="D10" t="str">
            <v>健力氏三眼仔迷你消毒濕紙巾7片裝x12X4X2</v>
          </cell>
        </row>
        <row r="11">
          <cell r="A11" t="str">
            <v>2167-10</v>
          </cell>
          <cell r="B11" t="str">
            <v>14016042</v>
          </cell>
          <cell r="C11" t="str">
            <v>CH06</v>
          </cell>
          <cell r="D11" t="str">
            <v>216710舒洁®牛乳系列乳霜纸面巾口袋包7抽10包装</v>
          </cell>
        </row>
        <row r="12">
          <cell r="A12" t="str">
            <v/>
          </cell>
          <cell r="B12" t="str">
            <v>14015971</v>
          </cell>
          <cell r="C12" t="str">
            <v>CH00</v>
          </cell>
          <cell r="D12" t="str">
            <v>健力氏三眼仔迷你消毒濕紙巾7片裝6包裝X8X2</v>
          </cell>
        </row>
        <row r="13">
          <cell r="A13" t="str">
            <v>2613-00</v>
          </cell>
          <cell r="B13" t="str">
            <v>14004626</v>
          </cell>
          <cell r="C13" t="str">
            <v>CH06</v>
          </cell>
          <cell r="D13" t="str">
            <v xml:space="preserve">261300舒洁无香湿巾单包装 </v>
          </cell>
        </row>
        <row r="14">
          <cell r="A14" t="str">
            <v>48990534-00</v>
          </cell>
          <cell r="B14" t="str">
            <v>14011660</v>
          </cell>
          <cell r="C14" t="str">
            <v>CH06</v>
          </cell>
          <cell r="D14" t="str">
            <v>健力氏綿柔消毒濕手巾(10片) x 20 x 6</v>
          </cell>
        </row>
        <row r="15">
          <cell r="A15" t="str">
            <v>2694-30</v>
          </cell>
          <cell r="B15" t="str">
            <v>14014247</v>
          </cell>
          <cell r="C15" t="str">
            <v>CH06</v>
          </cell>
          <cell r="D15" t="str">
            <v xml:space="preserve">D269430舒洁湿厕纸家庭装40抽 </v>
          </cell>
        </row>
        <row r="16">
          <cell r="A16" t="str">
            <v>2682-20</v>
          </cell>
          <cell r="B16" t="str">
            <v>14014250</v>
          </cell>
          <cell r="C16" t="str">
            <v>CH06</v>
          </cell>
          <cell r="D16" t="str">
            <v>268220舒洁女性湿厕纸10包装</v>
          </cell>
        </row>
        <row r="17">
          <cell r="A17" t="str">
            <v>2660-00</v>
          </cell>
          <cell r="B17" t="str">
            <v>14014255</v>
          </cell>
          <cell r="C17" t="str">
            <v>CH06</v>
          </cell>
          <cell r="D17" t="str">
            <v xml:space="preserve">D266000舒洁湿厕纸80片 </v>
          </cell>
        </row>
        <row r="18">
          <cell r="A18" t="str">
            <v>2661-00</v>
          </cell>
          <cell r="B18" t="str">
            <v>14014256</v>
          </cell>
          <cell r="C18" t="str">
            <v>CH06</v>
          </cell>
          <cell r="D18" t="str">
            <v xml:space="preserve">D266100舒洁湿厕纸80片x3包 </v>
          </cell>
        </row>
        <row r="19">
          <cell r="A19" t="str">
            <v/>
          </cell>
          <cell r="B19" t="str">
            <v>14200291</v>
          </cell>
          <cell r="C19" t="str">
            <v>CH02</v>
          </cell>
          <cell r="D19" t="str">
            <v>TMS407 1166单层抽纸(OEMDG)白 AH FSCmix70%</v>
          </cell>
        </row>
        <row r="20">
          <cell r="A20" t="str">
            <v/>
          </cell>
          <cell r="B20" t="str">
            <v>14200506</v>
          </cell>
          <cell r="C20" t="str">
            <v>CH02</v>
          </cell>
          <cell r="D20" t="str">
            <v>TMS408 1270&amp;1058双层擦手纸(OEMDG)白AHFSCmix70%</v>
          </cell>
        </row>
        <row r="21">
          <cell r="A21" t="str">
            <v/>
          </cell>
          <cell r="B21" t="str">
            <v>14200306</v>
          </cell>
          <cell r="C21" t="str">
            <v>CH02</v>
          </cell>
          <cell r="D21" t="str">
            <v>TMS417 2830三层卷纸(OEMDG)白 AH/YQ FSCmix70%</v>
          </cell>
        </row>
        <row r="22">
          <cell r="A22" t="str">
            <v/>
          </cell>
          <cell r="B22" t="str">
            <v>14200503</v>
          </cell>
          <cell r="C22" t="str">
            <v>CH02</v>
          </cell>
          <cell r="D22" t="str">
            <v>TMS420 1050&amp;1260双层面纸(OEMDG)白AHFSCmix70%</v>
          </cell>
        </row>
        <row r="23">
          <cell r="A23" t="str">
            <v/>
          </cell>
          <cell r="B23" t="str">
            <v>14200562</v>
          </cell>
          <cell r="C23" t="str">
            <v>CH02</v>
          </cell>
          <cell r="D23" t="str">
            <v>TMS402 2800三层面纸(OEM DG)白YQ FSCmix70%</v>
          </cell>
        </row>
        <row r="24">
          <cell r="A24" t="str">
            <v/>
          </cell>
          <cell r="B24" t="str">
            <v>14200567</v>
          </cell>
          <cell r="C24" t="str">
            <v>CH02</v>
          </cell>
          <cell r="D24" t="str">
            <v>TMS401 2800两层卫生纸(OEM DG)白YQ FSCmix70%</v>
          </cell>
        </row>
        <row r="25">
          <cell r="A25" t="str">
            <v/>
          </cell>
          <cell r="B25" t="str">
            <v>14200568</v>
          </cell>
          <cell r="C25" t="str">
            <v>CH02</v>
          </cell>
          <cell r="D25" t="str">
            <v>TMS407 2800单层卫生纸(OEM DG)白YQ FSCmix70%</v>
          </cell>
        </row>
        <row r="26">
          <cell r="A26" t="str">
            <v/>
          </cell>
          <cell r="B26" t="str">
            <v>14200504</v>
          </cell>
          <cell r="C26" t="str">
            <v>CH02</v>
          </cell>
          <cell r="D26" t="str">
            <v>TMS408 300单层餐巾纸(OEMDG)白AHFSCmix70%</v>
          </cell>
        </row>
        <row r="27">
          <cell r="A27" t="str">
            <v/>
          </cell>
          <cell r="B27" t="str">
            <v>14200505</v>
          </cell>
          <cell r="C27" t="str">
            <v>CH02</v>
          </cell>
          <cell r="D27" t="str">
            <v>TMS408 230单层餐巾纸(OEMDG)白AHFSCmix70%</v>
          </cell>
        </row>
        <row r="28">
          <cell r="A28" t="str">
            <v/>
          </cell>
          <cell r="B28" t="str">
            <v>14200561</v>
          </cell>
          <cell r="C28" t="str">
            <v>CH02</v>
          </cell>
          <cell r="D28" t="str">
            <v>TMS419 2800三层卫生纸(OEM DG)白YQ FSCmix70%</v>
          </cell>
        </row>
        <row r="29">
          <cell r="A29" t="str">
            <v/>
          </cell>
          <cell r="B29" t="str">
            <v>14200569</v>
          </cell>
          <cell r="C29" t="str">
            <v>CH02</v>
          </cell>
          <cell r="D29" t="str">
            <v>TMS413 2800两层卫生纸(OEM DG)白YQ FSCmix70%</v>
          </cell>
        </row>
        <row r="30">
          <cell r="A30" t="str">
            <v/>
          </cell>
          <cell r="B30" t="str">
            <v>14200570</v>
          </cell>
          <cell r="C30" t="str">
            <v>CH02</v>
          </cell>
          <cell r="D30" t="str">
            <v>TMS414 2800两层卫生纸(OEM DG)白YQ FSCmix70%</v>
          </cell>
        </row>
        <row r="31">
          <cell r="A31" t="str">
            <v/>
          </cell>
          <cell r="B31" t="str">
            <v>14200571</v>
          </cell>
          <cell r="C31" t="str">
            <v>CH02</v>
          </cell>
          <cell r="D31" t="str">
            <v>TMS434 2800单层卫生纸(OEM DG)白YQ FSCmix70%</v>
          </cell>
        </row>
        <row r="32">
          <cell r="A32" t="str">
            <v/>
          </cell>
          <cell r="B32" t="str">
            <v>14200572</v>
          </cell>
          <cell r="C32" t="str">
            <v>CH02</v>
          </cell>
          <cell r="D32" t="str">
            <v>TMS420 1400两层面纸(OEM DG)白YQ FSCmix70%</v>
          </cell>
        </row>
        <row r="33">
          <cell r="A33" t="str">
            <v/>
          </cell>
          <cell r="B33" t="str">
            <v>14200189</v>
          </cell>
          <cell r="C33" t="str">
            <v>CH02</v>
          </cell>
          <cell r="D33" t="str">
            <v>TMS433 270两层擦手纸(马来)黄 AH</v>
          </cell>
        </row>
        <row r="34">
          <cell r="A34" t="str">
            <v/>
          </cell>
          <cell r="B34" t="str">
            <v>14200190</v>
          </cell>
          <cell r="C34" t="str">
            <v>CH02</v>
          </cell>
          <cell r="D34" t="str">
            <v>TMS433 2220三层擦手纸(马来)黄 AH</v>
          </cell>
        </row>
        <row r="35">
          <cell r="A35" t="str">
            <v/>
          </cell>
          <cell r="B35" t="str">
            <v>14200191</v>
          </cell>
          <cell r="C35" t="str">
            <v>CH02</v>
          </cell>
          <cell r="D35" t="str">
            <v>TMS433 2220两层擦手纸(马来)黄 AH</v>
          </cell>
        </row>
        <row r="36">
          <cell r="A36" t="str">
            <v/>
          </cell>
          <cell r="B36" t="str">
            <v>14200192</v>
          </cell>
          <cell r="C36" t="str">
            <v>CH02</v>
          </cell>
          <cell r="D36" t="str">
            <v>TMS433 270三层擦手纸(马来)黄 AH</v>
          </cell>
        </row>
        <row r="37">
          <cell r="A37" t="str">
            <v/>
          </cell>
          <cell r="B37" t="str">
            <v>14200573</v>
          </cell>
          <cell r="C37" t="str">
            <v>CH02</v>
          </cell>
          <cell r="D37" t="str">
            <v>TMS458 1170mm 单层马桶垫纸（OEM DG）白XR</v>
          </cell>
        </row>
        <row r="38">
          <cell r="A38" t="str">
            <v>2107-61</v>
          </cell>
          <cell r="B38" t="str">
            <v>14014470</v>
          </cell>
          <cell r="C38" t="str">
            <v>CH06</v>
          </cell>
          <cell r="D38" t="str">
            <v>210761舒洁卡通系列抽纸200抽3包 FSC mix70%</v>
          </cell>
        </row>
        <row r="39">
          <cell r="A39" t="str">
            <v>2291-60</v>
          </cell>
          <cell r="B39" t="str">
            <v>14014479</v>
          </cell>
          <cell r="C39" t="str">
            <v>CH06</v>
          </cell>
          <cell r="D39" t="str">
            <v xml:space="preserve">229160舒洁绿茶洋甘菊印花清香卷纸10粒 </v>
          </cell>
        </row>
        <row r="40">
          <cell r="A40" t="str">
            <v>2312-16</v>
          </cell>
          <cell r="B40" t="str">
            <v>14014482</v>
          </cell>
          <cell r="C40" t="str">
            <v>CH06</v>
          </cell>
          <cell r="D40" t="str">
            <v>231216 舒洁马蹄莲盒面纸200抽3盒 FSC mix70%</v>
          </cell>
        </row>
        <row r="41">
          <cell r="A41" t="str">
            <v/>
          </cell>
          <cell r="B41" t="str">
            <v>14200593</v>
          </cell>
          <cell r="C41" t="str">
            <v>CH02</v>
          </cell>
          <cell r="D41" t="str">
            <v>TMS417 2800两层卫生纸(OEM DG)白YQ FSCmix70%</v>
          </cell>
        </row>
        <row r="42">
          <cell r="A42" t="str">
            <v/>
          </cell>
          <cell r="B42" t="str">
            <v>14200595</v>
          </cell>
          <cell r="C42" t="str">
            <v>CH02</v>
          </cell>
          <cell r="D42" t="str">
            <v>TMS417 2800三层卫生纸(OEM DG)白YQ FSCmix70%</v>
          </cell>
        </row>
        <row r="43">
          <cell r="A43" t="str">
            <v>2155-03</v>
          </cell>
          <cell r="B43" t="str">
            <v>14016306</v>
          </cell>
          <cell r="C43" t="str">
            <v>CH06</v>
          </cell>
          <cell r="D43" t="str">
            <v>215503舒洁®北海道轻牛乳系列乳霜纸面巾40抽3包装</v>
          </cell>
        </row>
        <row r="44">
          <cell r="A44" t="str">
            <v>2156-10</v>
          </cell>
          <cell r="B44" t="str">
            <v>14016307</v>
          </cell>
          <cell r="C44" t="str">
            <v>CH06</v>
          </cell>
          <cell r="D44" t="str">
            <v>215610舒洁®北海道轻牛乳系列乳霜纸面巾100抽3包装</v>
          </cell>
        </row>
        <row r="45">
          <cell r="A45" t="str">
            <v>48990514</v>
          </cell>
          <cell r="B45" t="str">
            <v>14016316</v>
          </cell>
          <cell r="C45" t="str">
            <v>CH06</v>
          </cell>
          <cell r="D45" t="str">
            <v>皇冠濕廁紙(L)40片裝3包優惠裝x12</v>
          </cell>
        </row>
        <row r="46">
          <cell r="A46" t="str">
            <v>48990477</v>
          </cell>
          <cell r="B46" t="str">
            <v>14016317</v>
          </cell>
          <cell r="C46" t="str">
            <v>CH06</v>
          </cell>
          <cell r="D46" t="str">
            <v>皇冠濕廁紙(L)40片裝x15</v>
          </cell>
        </row>
        <row r="47">
          <cell r="A47" t="str">
            <v>2666-00</v>
          </cell>
          <cell r="B47" t="str">
            <v>14016486</v>
          </cell>
          <cell r="C47" t="str">
            <v>CH06</v>
          </cell>
          <cell r="D47" t="str">
            <v xml:space="preserve">266600舒洁湿厕纸100片x6包 </v>
          </cell>
        </row>
        <row r="48">
          <cell r="A48" t="str">
            <v>2306-20</v>
          </cell>
          <cell r="B48" t="str">
            <v>14016487</v>
          </cell>
          <cell r="C48" t="str">
            <v>CH06</v>
          </cell>
          <cell r="D48" t="str">
            <v>230620舒洁环保系列盒抽面纸180抽6盒FSC MIX 70%</v>
          </cell>
        </row>
        <row r="49">
          <cell r="A49" t="str">
            <v>2673-00</v>
          </cell>
          <cell r="B49" t="str">
            <v>14016683</v>
          </cell>
          <cell r="C49" t="str">
            <v>CH06</v>
          </cell>
          <cell r="D49" t="str">
            <v xml:space="preserve">267300舒洁®山茶花系列湿巾（湿厕纸）60片 </v>
          </cell>
        </row>
        <row r="50">
          <cell r="A50" t="str">
            <v>2674-00</v>
          </cell>
          <cell r="B50" t="str">
            <v>14016684</v>
          </cell>
          <cell r="C50" t="str">
            <v>CH06</v>
          </cell>
          <cell r="D50" t="str">
            <v xml:space="preserve">267400舒洁®山茶花系列湿巾（湿厕纸）60片x4包 </v>
          </cell>
        </row>
        <row r="51">
          <cell r="A51" t="str">
            <v/>
          </cell>
          <cell r="B51" t="str">
            <v>14016702</v>
          </cell>
          <cell r="C51" t="str">
            <v>CH06</v>
          </cell>
          <cell r="D51" t="str">
            <v>皇冠濕廁紙80片珍寶裝3包x8</v>
          </cell>
        </row>
        <row r="52">
          <cell r="A52" t="str">
            <v/>
          </cell>
          <cell r="B52" t="str">
            <v>14016745</v>
          </cell>
          <cell r="C52" t="str">
            <v>CH06</v>
          </cell>
          <cell r="D52" t="str">
            <v>健力氏小熊印花迷你紙手巾36包裝 - FSC MIX 70%</v>
          </cell>
        </row>
        <row r="53">
          <cell r="A53" t="str">
            <v/>
          </cell>
          <cell r="B53" t="str">
            <v>14016781</v>
          </cell>
          <cell r="C53" t="str">
            <v>CH06</v>
          </cell>
          <cell r="D53" t="str">
            <v>健力氏北海道輕牛乳面巾紙3X6</v>
          </cell>
        </row>
        <row r="54">
          <cell r="A54" t="str">
            <v>2103-90</v>
          </cell>
          <cell r="B54" t="str">
            <v>14016868</v>
          </cell>
          <cell r="C54" t="str">
            <v>CH06</v>
          </cell>
          <cell r="D54" t="str">
            <v>210390舒洁小熊印花抽纸3层80抽4包FSC mix70%</v>
          </cell>
        </row>
        <row r="55">
          <cell r="A55" t="str">
            <v>2148-90</v>
          </cell>
          <cell r="B55" t="str">
            <v>14016869</v>
          </cell>
          <cell r="C55" t="str">
            <v>CH06</v>
          </cell>
          <cell r="D55" t="str">
            <v>214890舒洁小熊印花抽纸3层80抽16包FSC mix70%</v>
          </cell>
        </row>
        <row r="56">
          <cell r="A56" t="str">
            <v>2144-00</v>
          </cell>
          <cell r="B56" t="str">
            <v>14016870</v>
          </cell>
          <cell r="C56" t="str">
            <v>CH06</v>
          </cell>
          <cell r="D56" t="str">
            <v>214400舒洁小熊印花抽纸4层80抽4包FSC mix70%</v>
          </cell>
        </row>
        <row r="57">
          <cell r="A57" t="str">
            <v>2701-90</v>
          </cell>
          <cell r="B57" t="str">
            <v>14016871</v>
          </cell>
          <cell r="C57" t="str">
            <v>CH06</v>
          </cell>
          <cell r="D57" t="str">
            <v>270190舒洁小熊印花手帕纸3层10包FSC mix70%</v>
          </cell>
        </row>
        <row r="58">
          <cell r="A58" t="str">
            <v/>
          </cell>
          <cell r="B58" t="str">
            <v>14017206</v>
          </cell>
          <cell r="C58" t="str">
            <v>CH06</v>
          </cell>
          <cell r="D58" t="str">
            <v>健力氏迷你消毒濕紙巾7片裝6包裝X8x4</v>
          </cell>
        </row>
        <row r="59">
          <cell r="A59" t="str">
            <v/>
          </cell>
          <cell r="B59" t="str">
            <v>14017209</v>
          </cell>
          <cell r="C59" t="str">
            <v>CH06</v>
          </cell>
          <cell r="D59" t="str">
            <v>健力氏迷你消毒濕紙巾7片裝X24x4</v>
          </cell>
        </row>
        <row r="60">
          <cell r="A60" t="str">
            <v/>
          </cell>
          <cell r="B60" t="str">
            <v>14017268</v>
          </cell>
          <cell r="C60" t="str">
            <v>CH06</v>
          </cell>
          <cell r="D60" t="str">
            <v>健力氏迪士尼彼思達摩迷你紙手巾36包裝 - FSC MIX 70%</v>
          </cell>
        </row>
        <row r="61">
          <cell r="A61" t="str">
            <v/>
          </cell>
          <cell r="B61" t="str">
            <v>14017439</v>
          </cell>
          <cell r="C61" t="str">
            <v>CH06</v>
          </cell>
          <cell r="D61" t="str">
            <v>健力氏迪士尼彼思達摩迷你紙手巾15包裝 - FSC MIX 70%</v>
          </cell>
        </row>
        <row r="62">
          <cell r="A62" t="str">
            <v/>
          </cell>
          <cell r="B62" t="str">
            <v>14017725</v>
          </cell>
          <cell r="C62" t="str">
            <v>CH06</v>
          </cell>
          <cell r="D62" t="str">
            <v>健力氏反斗奇兵迷你紙手巾36包裝 - FSC MIX 70%</v>
          </cell>
        </row>
        <row r="63">
          <cell r="A63" t="str">
            <v>2655-10</v>
          </cell>
          <cell r="B63" t="str">
            <v>14017863</v>
          </cell>
          <cell r="C63" t="str">
            <v>CH06</v>
          </cell>
          <cell r="D63" t="str">
            <v>265510舒洁湿厕纸7抽6包装</v>
          </cell>
        </row>
        <row r="64">
          <cell r="A64" t="str">
            <v>2694-50</v>
          </cell>
          <cell r="B64" t="str">
            <v>14017864</v>
          </cell>
          <cell r="C64" t="str">
            <v>CH06</v>
          </cell>
          <cell r="D64" t="str">
            <v xml:space="preserve">D269450舒洁湿厕纸家庭装40抽 </v>
          </cell>
        </row>
        <row r="65">
          <cell r="A65" t="str">
            <v>2660-10</v>
          </cell>
          <cell r="B65" t="str">
            <v>14017865</v>
          </cell>
          <cell r="C65" t="str">
            <v>CH06</v>
          </cell>
          <cell r="D65" t="str">
            <v xml:space="preserve">266010舒洁湿厕纸80片 </v>
          </cell>
        </row>
        <row r="66">
          <cell r="A66" t="str">
            <v>2661-10</v>
          </cell>
          <cell r="B66" t="str">
            <v>14017866</v>
          </cell>
          <cell r="C66" t="str">
            <v>CH06</v>
          </cell>
          <cell r="D66" t="str">
            <v xml:space="preserve">266110舒洁湿厕纸80片x3包 </v>
          </cell>
        </row>
        <row r="67">
          <cell r="A67" t="str">
            <v>RMS347A</v>
          </cell>
          <cell r="B67" t="str">
            <v>14200867</v>
          </cell>
          <cell r="C67" t="str">
            <v>CH02</v>
          </cell>
          <cell r="D67" t="str">
            <v>RMS347A 可冲散皇冠水刺布55gsm1192.5mm 白色</v>
          </cell>
        </row>
        <row r="68">
          <cell r="A68" t="str">
            <v>RMS347B</v>
          </cell>
          <cell r="B68" t="str">
            <v>14200868</v>
          </cell>
          <cell r="C68" t="str">
            <v>CH02</v>
          </cell>
          <cell r="D68" t="str">
            <v>RMS347B 可冲散皇冠水刺布55gsm530mm白色</v>
          </cell>
        </row>
        <row r="69">
          <cell r="A69" t="str">
            <v>2662-10</v>
          </cell>
          <cell r="B69" t="str">
            <v>14017868</v>
          </cell>
          <cell r="C69" t="str">
            <v>CH06</v>
          </cell>
          <cell r="D69" t="str">
            <v xml:space="preserve">266210舒洁湿厕纸80片x6包 </v>
          </cell>
        </row>
        <row r="70">
          <cell r="A70" t="str">
            <v>2664-10</v>
          </cell>
          <cell r="B70" t="str">
            <v>14017869</v>
          </cell>
          <cell r="C70" t="str">
            <v>CH06</v>
          </cell>
          <cell r="D70" t="str">
            <v>266410舒洁湿厕纸80片x8包(黄箱)</v>
          </cell>
        </row>
        <row r="71">
          <cell r="A71" t="str">
            <v>2665-10</v>
          </cell>
          <cell r="B71" t="str">
            <v>14017870</v>
          </cell>
          <cell r="C71" t="str">
            <v>CH06</v>
          </cell>
          <cell r="D71" t="str">
            <v>D266510舒洁湿厕纸80片x10包-京东</v>
          </cell>
        </row>
        <row r="72">
          <cell r="A72" t="str">
            <v>2670-40</v>
          </cell>
          <cell r="B72" t="str">
            <v>14017871</v>
          </cell>
          <cell r="C72" t="str">
            <v>CH06</v>
          </cell>
          <cell r="D72" t="str">
            <v>D267040舒洁湿厕纸旅行装10包装</v>
          </cell>
        </row>
        <row r="73">
          <cell r="A73" t="str">
            <v>2694-60</v>
          </cell>
          <cell r="B73" t="str">
            <v>14017872</v>
          </cell>
          <cell r="C73" t="str">
            <v>CH06</v>
          </cell>
          <cell r="D73" t="str">
            <v>D269460舒洁湿厕纸家庭装40抽10包装</v>
          </cell>
        </row>
        <row r="74">
          <cell r="A74" t="str">
            <v/>
          </cell>
          <cell r="B74" t="str">
            <v>14018079</v>
          </cell>
          <cell r="C74" t="str">
            <v>CH06</v>
          </cell>
          <cell r="D74" t="str">
            <v>健力氏迪士尼新年迷你紙手巾36包裝 - FSC MIX 70%</v>
          </cell>
        </row>
        <row r="75">
          <cell r="A75" t="str">
            <v/>
          </cell>
          <cell r="B75" t="str">
            <v>14200870</v>
          </cell>
          <cell r="C75" t="str">
            <v>CH02</v>
          </cell>
          <cell r="D75" t="str">
            <v>TMS452 出口卫生纸原纸(OEM JX)白 Ex FSCmix70%</v>
          </cell>
        </row>
        <row r="76">
          <cell r="A76" t="str">
            <v>2169-00</v>
          </cell>
          <cell r="B76" t="str">
            <v>14018125</v>
          </cell>
          <cell r="C76" t="str">
            <v>CH06</v>
          </cell>
          <cell r="D76" t="str">
            <v>216900舒洁®北海道牛乳系列乳霜纸面巾80抽6包装</v>
          </cell>
        </row>
        <row r="77">
          <cell r="A77" t="str">
            <v/>
          </cell>
          <cell r="B77" t="str">
            <v>14018096</v>
          </cell>
          <cell r="C77" t="str">
            <v>CH06</v>
          </cell>
          <cell r="D77" t="str">
            <v>Kleenex Teddy小熊印花抽取面紙4包裝-FSC MIX 70%</v>
          </cell>
        </row>
        <row r="78">
          <cell r="A78" t="str">
            <v/>
          </cell>
          <cell r="B78" t="str">
            <v>14018095</v>
          </cell>
          <cell r="C78" t="str">
            <v>CH06</v>
          </cell>
          <cell r="D78" t="str">
            <v>Kleenex Teddy小熊印花紙手帕36包裝-FSC MIX 70%</v>
          </cell>
        </row>
        <row r="79">
          <cell r="A79" t="str">
            <v>87127</v>
          </cell>
          <cell r="B79" t="str">
            <v>14018097</v>
          </cell>
          <cell r="C79" t="str">
            <v>CH06</v>
          </cell>
          <cell r="D79" t="str">
            <v>Kleenex Teddy小熊印花紙手帕15包裝-FSC MIX 70%</v>
          </cell>
        </row>
        <row r="80">
          <cell r="A80" t="str">
            <v/>
          </cell>
          <cell r="B80" t="str">
            <v>14018171</v>
          </cell>
          <cell r="C80" t="str">
            <v>CH06</v>
          </cell>
          <cell r="D80" t="str">
            <v>Kleenex Teddy小熊印花面紙100sx48包- FSC MIX 70%</v>
          </cell>
        </row>
        <row r="81">
          <cell r="A81" t="str">
            <v>2608-00</v>
          </cell>
          <cell r="B81" t="str">
            <v>14018368</v>
          </cell>
          <cell r="C81" t="str">
            <v>CH06</v>
          </cell>
          <cell r="D81" t="str">
            <v>260800舒洁湿厕纸(65gsm)7抽6包装</v>
          </cell>
        </row>
        <row r="82">
          <cell r="A82" t="str">
            <v>2610-00</v>
          </cell>
          <cell r="B82" t="str">
            <v>14018369</v>
          </cell>
          <cell r="C82" t="str">
            <v>CH06</v>
          </cell>
          <cell r="D82" t="str">
            <v>261000舒洁湿厕纸(65gsm)旅行装10片x10包装</v>
          </cell>
        </row>
        <row r="83">
          <cell r="A83" t="str">
            <v>2620-00</v>
          </cell>
          <cell r="B83" t="str">
            <v>14018370</v>
          </cell>
          <cell r="C83" t="str">
            <v>CH06</v>
          </cell>
          <cell r="D83" t="str">
            <v xml:space="preserve">262000舒洁湿厕纸(65gsm)家庭装40抽 </v>
          </cell>
        </row>
        <row r="84">
          <cell r="A84" t="str">
            <v>2624-00</v>
          </cell>
          <cell r="B84" t="str">
            <v>14018371</v>
          </cell>
          <cell r="C84" t="str">
            <v>CH06</v>
          </cell>
          <cell r="D84" t="str">
            <v>262400舒洁湿厕纸(65gsm)家庭装40抽10包装</v>
          </cell>
        </row>
        <row r="85">
          <cell r="A85" t="str">
            <v>2634-00</v>
          </cell>
          <cell r="B85" t="str">
            <v>14018372</v>
          </cell>
          <cell r="C85" t="str">
            <v>CH06</v>
          </cell>
          <cell r="D85" t="str">
            <v xml:space="preserve">263400舒洁湿厕纸(65gsm)80片 </v>
          </cell>
        </row>
        <row r="86">
          <cell r="A86" t="str">
            <v>2635-00</v>
          </cell>
          <cell r="B86" t="str">
            <v>14018373</v>
          </cell>
          <cell r="C86" t="str">
            <v>CH06</v>
          </cell>
          <cell r="D86" t="str">
            <v xml:space="preserve">263500舒洁湿厕纸(65gsm)80片x3包 </v>
          </cell>
        </row>
        <row r="87">
          <cell r="A87" t="str">
            <v>2636-00</v>
          </cell>
          <cell r="B87" t="str">
            <v>14018374</v>
          </cell>
          <cell r="C87" t="str">
            <v>CH06</v>
          </cell>
          <cell r="D87" t="str">
            <v xml:space="preserve">263600舒洁湿厕纸(65gsm)80片x6包 </v>
          </cell>
        </row>
        <row r="88">
          <cell r="A88" t="str">
            <v>2637-00</v>
          </cell>
          <cell r="B88" t="str">
            <v>14018375</v>
          </cell>
          <cell r="C88" t="str">
            <v>CH06</v>
          </cell>
          <cell r="D88" t="str">
            <v xml:space="preserve">263700舒洁湿厕纸(65gsm)80片x8包 </v>
          </cell>
        </row>
        <row r="89">
          <cell r="A89" t="str">
            <v>2638-00</v>
          </cell>
          <cell r="B89" t="str">
            <v>14018376</v>
          </cell>
          <cell r="C89" t="str">
            <v>CH06</v>
          </cell>
          <cell r="D89" t="str">
            <v xml:space="preserve">263800舒洁湿厕纸(65gsm)80片x10包 </v>
          </cell>
        </row>
        <row r="90">
          <cell r="A90" t="str">
            <v>2609-00</v>
          </cell>
          <cell r="B90" t="str">
            <v>14018377</v>
          </cell>
          <cell r="C90" t="str">
            <v>CH06</v>
          </cell>
          <cell r="D90" t="str">
            <v xml:space="preserve">260900舒洁湿厕纸(65gsm)8片x48包 </v>
          </cell>
        </row>
        <row r="91">
          <cell r="A91" t="str">
            <v/>
          </cell>
          <cell r="B91" t="str">
            <v>14018353</v>
          </cell>
          <cell r="C91" t="str">
            <v>CH06</v>
          </cell>
          <cell r="D91" t="str">
            <v xml:space="preserve">Kleenex® 舒潔® 健力氏® 珍珠雲感卸妝洗臉巾 </v>
          </cell>
        </row>
        <row r="92">
          <cell r="A92" t="str">
            <v>270200</v>
          </cell>
          <cell r="B92" t="str">
            <v>14018657</v>
          </cell>
          <cell r="C92" t="str">
            <v>CH06</v>
          </cell>
          <cell r="D92" t="str">
            <v>270200舒洁小熊印花手帕纸3层10包×3 FSC mix70%</v>
          </cell>
        </row>
        <row r="93">
          <cell r="A93" t="str">
            <v>262500</v>
          </cell>
          <cell r="B93" t="str">
            <v>14018658</v>
          </cell>
          <cell r="C93" t="str">
            <v>CH06</v>
          </cell>
          <cell r="D93" t="str">
            <v>262500舒洁湿厕纸(65gsm)家庭装40抽 ×5</v>
          </cell>
        </row>
        <row r="94">
          <cell r="A94" t="str">
            <v>2659-00</v>
          </cell>
          <cell r="B94" t="str">
            <v>14018675</v>
          </cell>
          <cell r="C94" t="str">
            <v>CH06</v>
          </cell>
          <cell r="D94" t="str">
            <v xml:space="preserve">2659-00舒洁小熊湿厕纸80片×10包 </v>
          </cell>
        </row>
        <row r="95">
          <cell r="A95" t="str">
            <v>2653-00</v>
          </cell>
          <cell r="B95" t="str">
            <v>14018677</v>
          </cell>
          <cell r="C95" t="str">
            <v>CH06</v>
          </cell>
          <cell r="D95" t="str">
            <v xml:space="preserve">2653-00舒洁小熊湿厕纸40片 </v>
          </cell>
        </row>
        <row r="96">
          <cell r="A96" t="str">
            <v>2657-00</v>
          </cell>
          <cell r="B96" t="str">
            <v>14018689</v>
          </cell>
          <cell r="C96" t="str">
            <v>CH06</v>
          </cell>
          <cell r="D96" t="str">
            <v xml:space="preserve">2657-00舒洁小熊湿厕纸80片 </v>
          </cell>
        </row>
        <row r="97">
          <cell r="A97" t="str">
            <v>2658-00</v>
          </cell>
          <cell r="B97" t="str">
            <v>14018693</v>
          </cell>
          <cell r="C97" t="str">
            <v>CH06</v>
          </cell>
          <cell r="D97" t="str">
            <v xml:space="preserve">2658-00舒洁小熊湿厕纸80片x8包 </v>
          </cell>
        </row>
        <row r="98">
          <cell r="A98"/>
          <cell r="B98"/>
          <cell r="C98"/>
          <cell r="D98"/>
        </row>
        <row r="99">
          <cell r="A99"/>
          <cell r="B99"/>
          <cell r="C99"/>
          <cell r="D99"/>
        </row>
        <row r="100">
          <cell r="A100"/>
          <cell r="B100"/>
          <cell r="C100"/>
          <cell r="D100"/>
        </row>
        <row r="101">
          <cell r="A101"/>
          <cell r="B101"/>
          <cell r="C101"/>
          <cell r="D101"/>
        </row>
        <row r="102">
          <cell r="A102"/>
          <cell r="B102"/>
          <cell r="C102"/>
          <cell r="D102"/>
        </row>
        <row r="103">
          <cell r="A103"/>
          <cell r="B103"/>
          <cell r="C103"/>
          <cell r="D103"/>
        </row>
        <row r="104">
          <cell r="A104"/>
          <cell r="B104"/>
          <cell r="C104"/>
          <cell r="D104"/>
        </row>
        <row r="105">
          <cell r="A105"/>
          <cell r="B105"/>
          <cell r="C105"/>
          <cell r="D105"/>
        </row>
        <row r="106">
          <cell r="A106"/>
          <cell r="B106"/>
          <cell r="C106"/>
          <cell r="D106"/>
        </row>
        <row r="107">
          <cell r="A107"/>
          <cell r="B107"/>
          <cell r="C107"/>
          <cell r="D107"/>
        </row>
        <row r="108">
          <cell r="A108"/>
          <cell r="B108"/>
          <cell r="C108"/>
          <cell r="D108"/>
        </row>
        <row r="109">
          <cell r="A109"/>
          <cell r="B109"/>
          <cell r="C109"/>
          <cell r="D109"/>
        </row>
        <row r="110">
          <cell r="A110"/>
          <cell r="B110"/>
          <cell r="C110"/>
          <cell r="D110"/>
        </row>
        <row r="111">
          <cell r="A111"/>
          <cell r="B111"/>
          <cell r="C111"/>
          <cell r="D111"/>
        </row>
        <row r="112">
          <cell r="A112"/>
          <cell r="B112"/>
          <cell r="C112"/>
          <cell r="D112"/>
        </row>
        <row r="113">
          <cell r="A113"/>
          <cell r="B113"/>
          <cell r="C113"/>
          <cell r="D113"/>
        </row>
        <row r="114">
          <cell r="A114"/>
          <cell r="B114"/>
          <cell r="C114"/>
          <cell r="D114"/>
        </row>
        <row r="115">
          <cell r="A115"/>
          <cell r="B115"/>
          <cell r="C115"/>
          <cell r="D115"/>
        </row>
        <row r="116">
          <cell r="A116"/>
          <cell r="B116"/>
          <cell r="C116"/>
          <cell r="D116"/>
        </row>
        <row r="117">
          <cell r="A117"/>
          <cell r="B117"/>
          <cell r="C117"/>
          <cell r="D117"/>
        </row>
        <row r="118">
          <cell r="A118"/>
          <cell r="B118"/>
          <cell r="C118"/>
          <cell r="D118"/>
        </row>
        <row r="119">
          <cell r="A119"/>
          <cell r="B119"/>
          <cell r="C119"/>
          <cell r="D119"/>
        </row>
        <row r="120">
          <cell r="A120"/>
          <cell r="B120"/>
          <cell r="C120"/>
          <cell r="D120"/>
        </row>
        <row r="121">
          <cell r="A121"/>
          <cell r="B121"/>
          <cell r="C121"/>
          <cell r="D121"/>
        </row>
        <row r="122">
          <cell r="A122"/>
          <cell r="B122"/>
          <cell r="C122"/>
          <cell r="D122"/>
        </row>
        <row r="123">
          <cell r="A123"/>
          <cell r="B123"/>
          <cell r="C123"/>
          <cell r="D123"/>
        </row>
        <row r="124">
          <cell r="A124"/>
          <cell r="B124"/>
          <cell r="C124"/>
          <cell r="D124"/>
        </row>
        <row r="125">
          <cell r="A125"/>
          <cell r="B125"/>
          <cell r="C125"/>
          <cell r="D125"/>
        </row>
        <row r="126">
          <cell r="A126"/>
          <cell r="B126"/>
          <cell r="C126"/>
          <cell r="D126"/>
        </row>
        <row r="127">
          <cell r="A127"/>
          <cell r="B127"/>
          <cell r="C127"/>
          <cell r="D127"/>
        </row>
        <row r="128">
          <cell r="A128"/>
          <cell r="B128"/>
          <cell r="C128"/>
          <cell r="D128"/>
        </row>
        <row r="129">
          <cell r="A129"/>
          <cell r="B129"/>
          <cell r="C129"/>
          <cell r="D129"/>
        </row>
        <row r="130">
          <cell r="A130"/>
          <cell r="B130"/>
          <cell r="C130"/>
          <cell r="D130"/>
        </row>
        <row r="131">
          <cell r="A131"/>
          <cell r="B131"/>
          <cell r="C131"/>
          <cell r="D131"/>
        </row>
        <row r="132">
          <cell r="A132"/>
          <cell r="B132"/>
          <cell r="C132"/>
          <cell r="D132"/>
        </row>
        <row r="133">
          <cell r="A133"/>
          <cell r="B133"/>
          <cell r="C133"/>
          <cell r="D133"/>
        </row>
        <row r="134">
          <cell r="A134"/>
          <cell r="B134"/>
          <cell r="C134"/>
          <cell r="D134"/>
        </row>
        <row r="135">
          <cell r="A135"/>
          <cell r="B135"/>
          <cell r="C135"/>
          <cell r="D135"/>
        </row>
        <row r="136">
          <cell r="A136"/>
          <cell r="B136"/>
          <cell r="C136"/>
          <cell r="D136"/>
        </row>
        <row r="137">
          <cell r="A137"/>
          <cell r="B137"/>
          <cell r="C137"/>
          <cell r="D137"/>
        </row>
        <row r="138">
          <cell r="A138"/>
          <cell r="B138"/>
          <cell r="C138"/>
          <cell r="D138"/>
        </row>
        <row r="139">
          <cell r="A139"/>
          <cell r="B139"/>
          <cell r="C139"/>
          <cell r="D139"/>
        </row>
        <row r="140">
          <cell r="A140"/>
          <cell r="B140"/>
          <cell r="C140"/>
          <cell r="D140"/>
        </row>
        <row r="141">
          <cell r="A141"/>
          <cell r="B141"/>
          <cell r="C141"/>
          <cell r="D141"/>
        </row>
        <row r="142">
          <cell r="A142"/>
          <cell r="B142"/>
          <cell r="C142"/>
          <cell r="D142"/>
        </row>
        <row r="143">
          <cell r="A143"/>
          <cell r="B143"/>
          <cell r="C143"/>
          <cell r="D143"/>
        </row>
        <row r="144">
          <cell r="A144"/>
          <cell r="B144"/>
          <cell r="C144"/>
          <cell r="D144"/>
        </row>
        <row r="145">
          <cell r="A145"/>
          <cell r="B145"/>
          <cell r="C145"/>
          <cell r="D145"/>
        </row>
        <row r="146">
          <cell r="A146"/>
          <cell r="B146"/>
          <cell r="C146"/>
          <cell r="D146"/>
        </row>
        <row r="147">
          <cell r="A147"/>
          <cell r="B147"/>
          <cell r="C147"/>
          <cell r="D147"/>
        </row>
        <row r="148">
          <cell r="A148"/>
          <cell r="B148"/>
          <cell r="C148"/>
          <cell r="D148"/>
        </row>
        <row r="149">
          <cell r="A149"/>
          <cell r="B149"/>
          <cell r="C149"/>
          <cell r="D149"/>
        </row>
        <row r="150">
          <cell r="A150"/>
          <cell r="B150"/>
          <cell r="C150"/>
          <cell r="D150"/>
        </row>
        <row r="151">
          <cell r="A151"/>
          <cell r="B151"/>
          <cell r="C151"/>
          <cell r="D151"/>
        </row>
        <row r="152">
          <cell r="A152"/>
          <cell r="B152"/>
          <cell r="C152"/>
          <cell r="D152"/>
        </row>
        <row r="153">
          <cell r="A153"/>
          <cell r="B153"/>
          <cell r="C153"/>
          <cell r="D153"/>
        </row>
        <row r="154">
          <cell r="A154"/>
          <cell r="B154"/>
          <cell r="C154"/>
          <cell r="D154"/>
        </row>
        <row r="155">
          <cell r="A155"/>
          <cell r="B155"/>
          <cell r="C155"/>
          <cell r="D155"/>
        </row>
        <row r="156">
          <cell r="A156"/>
          <cell r="B156"/>
          <cell r="C156"/>
          <cell r="D156"/>
        </row>
        <row r="157">
          <cell r="A157"/>
          <cell r="B157"/>
          <cell r="C157"/>
          <cell r="D157"/>
        </row>
        <row r="158">
          <cell r="A158"/>
          <cell r="B158"/>
          <cell r="C158"/>
          <cell r="D158"/>
        </row>
        <row r="159">
          <cell r="A159"/>
          <cell r="B159"/>
          <cell r="C159"/>
          <cell r="D159"/>
        </row>
        <row r="160">
          <cell r="A160"/>
          <cell r="B160"/>
          <cell r="C160"/>
          <cell r="D160"/>
        </row>
        <row r="161">
          <cell r="A161"/>
          <cell r="B161"/>
          <cell r="C161"/>
          <cell r="D161"/>
        </row>
        <row r="162">
          <cell r="A162"/>
          <cell r="B162"/>
          <cell r="C162"/>
          <cell r="D162"/>
        </row>
        <row r="163">
          <cell r="A163"/>
          <cell r="B163"/>
          <cell r="C163"/>
          <cell r="D163"/>
        </row>
        <row r="164">
          <cell r="A164"/>
          <cell r="B164"/>
          <cell r="C164"/>
          <cell r="D164"/>
        </row>
        <row r="165">
          <cell r="A165"/>
          <cell r="B165"/>
          <cell r="C165"/>
          <cell r="D165"/>
        </row>
        <row r="166">
          <cell r="A166"/>
          <cell r="B166"/>
          <cell r="C166"/>
          <cell r="D166"/>
        </row>
        <row r="167">
          <cell r="A167"/>
          <cell r="B167"/>
          <cell r="C167"/>
          <cell r="D167"/>
        </row>
        <row r="168">
          <cell r="A168"/>
          <cell r="B168"/>
          <cell r="C168"/>
          <cell r="D168"/>
        </row>
        <row r="169">
          <cell r="A169"/>
          <cell r="B169"/>
          <cell r="C169"/>
          <cell r="D169"/>
        </row>
        <row r="170">
          <cell r="A170"/>
          <cell r="B170"/>
          <cell r="C170"/>
          <cell r="D170"/>
        </row>
        <row r="171">
          <cell r="A171"/>
          <cell r="B171"/>
          <cell r="C171"/>
          <cell r="D171"/>
        </row>
        <row r="172">
          <cell r="A172"/>
          <cell r="B172"/>
          <cell r="C172"/>
          <cell r="D172"/>
        </row>
        <row r="173">
          <cell r="A173"/>
          <cell r="B173"/>
          <cell r="C173"/>
          <cell r="D173"/>
        </row>
        <row r="174">
          <cell r="A174"/>
          <cell r="B174"/>
          <cell r="C174"/>
          <cell r="D174"/>
        </row>
        <row r="175">
          <cell r="A175"/>
          <cell r="B175"/>
          <cell r="C175"/>
          <cell r="D175"/>
        </row>
        <row r="176">
          <cell r="A176"/>
          <cell r="B176"/>
          <cell r="C176"/>
          <cell r="D176"/>
        </row>
        <row r="177">
          <cell r="A177"/>
          <cell r="B177"/>
          <cell r="C177"/>
          <cell r="D177"/>
        </row>
        <row r="178">
          <cell r="A178"/>
          <cell r="B178"/>
          <cell r="C178"/>
          <cell r="D178"/>
        </row>
        <row r="179">
          <cell r="A179"/>
          <cell r="B179"/>
          <cell r="C179"/>
          <cell r="D179"/>
        </row>
        <row r="180">
          <cell r="A180"/>
          <cell r="B180"/>
          <cell r="C180"/>
          <cell r="D180"/>
        </row>
        <row r="181">
          <cell r="A181"/>
          <cell r="B181"/>
          <cell r="C181"/>
          <cell r="D181"/>
        </row>
        <row r="182">
          <cell r="A182"/>
          <cell r="B182"/>
          <cell r="C182"/>
          <cell r="D182"/>
        </row>
        <row r="183">
          <cell r="A183"/>
          <cell r="B183"/>
          <cell r="C183"/>
          <cell r="D183"/>
        </row>
        <row r="184">
          <cell r="A184"/>
          <cell r="B184"/>
          <cell r="C184"/>
          <cell r="D184"/>
        </row>
        <row r="185">
          <cell r="A185"/>
          <cell r="B185"/>
          <cell r="C185"/>
          <cell r="D185"/>
        </row>
        <row r="186">
          <cell r="A186"/>
          <cell r="B186"/>
          <cell r="C186"/>
          <cell r="D186"/>
        </row>
        <row r="187">
          <cell r="A187"/>
          <cell r="B187"/>
          <cell r="C187"/>
          <cell r="D187"/>
        </row>
        <row r="188">
          <cell r="A188"/>
          <cell r="B188"/>
          <cell r="C188"/>
          <cell r="D188"/>
        </row>
        <row r="189">
          <cell r="A189"/>
          <cell r="B189"/>
          <cell r="C189"/>
          <cell r="D189"/>
        </row>
        <row r="190">
          <cell r="A190"/>
          <cell r="B190"/>
          <cell r="C190"/>
          <cell r="D190"/>
        </row>
        <row r="191">
          <cell r="A191"/>
          <cell r="B191"/>
          <cell r="C191"/>
          <cell r="D191"/>
        </row>
        <row r="192">
          <cell r="A192"/>
          <cell r="B192"/>
          <cell r="C192"/>
          <cell r="D192"/>
        </row>
        <row r="193">
          <cell r="A193"/>
          <cell r="B193"/>
          <cell r="C193"/>
          <cell r="D193"/>
        </row>
        <row r="194">
          <cell r="A194"/>
          <cell r="B194"/>
          <cell r="C194"/>
          <cell r="D194"/>
        </row>
        <row r="195">
          <cell r="A195"/>
          <cell r="B195"/>
          <cell r="C195"/>
          <cell r="D195"/>
        </row>
        <row r="196">
          <cell r="A196"/>
          <cell r="B196"/>
          <cell r="C196"/>
          <cell r="D196"/>
        </row>
        <row r="197">
          <cell r="A197"/>
          <cell r="B197"/>
          <cell r="C197"/>
          <cell r="D197"/>
        </row>
        <row r="198">
          <cell r="A198"/>
          <cell r="B198"/>
          <cell r="C198"/>
          <cell r="D198"/>
        </row>
        <row r="199">
          <cell r="A199"/>
          <cell r="B199"/>
          <cell r="C199"/>
          <cell r="D199"/>
        </row>
        <row r="200">
          <cell r="A200"/>
          <cell r="B200"/>
          <cell r="C200"/>
          <cell r="D200"/>
        </row>
        <row r="201">
          <cell r="A201"/>
          <cell r="B201"/>
          <cell r="C201"/>
          <cell r="D201"/>
        </row>
        <row r="202">
          <cell r="A202"/>
          <cell r="B202"/>
          <cell r="C202"/>
          <cell r="D202"/>
        </row>
        <row r="203">
          <cell r="A203"/>
          <cell r="B203"/>
          <cell r="C203"/>
          <cell r="D203"/>
        </row>
        <row r="204">
          <cell r="A204"/>
          <cell r="B204"/>
          <cell r="C204"/>
          <cell r="D204"/>
        </row>
        <row r="205">
          <cell r="A205"/>
          <cell r="B205"/>
          <cell r="C205"/>
          <cell r="D205"/>
        </row>
        <row r="206">
          <cell r="A206"/>
          <cell r="B206"/>
          <cell r="C206"/>
          <cell r="D206"/>
        </row>
        <row r="207">
          <cell r="A207"/>
          <cell r="B207"/>
          <cell r="C207"/>
          <cell r="D207"/>
        </row>
        <row r="208">
          <cell r="A208"/>
          <cell r="B208"/>
          <cell r="C208"/>
          <cell r="D208"/>
        </row>
        <row r="209">
          <cell r="A209"/>
          <cell r="B209"/>
          <cell r="C209"/>
          <cell r="D209"/>
        </row>
        <row r="210">
          <cell r="A210"/>
          <cell r="B210"/>
          <cell r="C210"/>
          <cell r="D210"/>
        </row>
        <row r="211">
          <cell r="A211"/>
          <cell r="B211"/>
          <cell r="C211"/>
          <cell r="D211"/>
        </row>
        <row r="212">
          <cell r="A212"/>
          <cell r="B212"/>
          <cell r="C212"/>
          <cell r="D212"/>
        </row>
        <row r="213">
          <cell r="A213"/>
          <cell r="B213"/>
          <cell r="C213"/>
          <cell r="D213"/>
        </row>
        <row r="214">
          <cell r="A214"/>
          <cell r="B214"/>
          <cell r="C214"/>
          <cell r="D214"/>
        </row>
        <row r="215">
          <cell r="A215"/>
          <cell r="B215"/>
          <cell r="C215"/>
          <cell r="D215"/>
        </row>
        <row r="216">
          <cell r="A216"/>
          <cell r="B216"/>
          <cell r="C216"/>
          <cell r="D216"/>
        </row>
        <row r="217">
          <cell r="A217"/>
          <cell r="B217"/>
          <cell r="C217"/>
          <cell r="D217"/>
        </row>
        <row r="218">
          <cell r="A218"/>
          <cell r="B218"/>
          <cell r="C218"/>
          <cell r="D218"/>
        </row>
        <row r="219">
          <cell r="A219"/>
          <cell r="B219"/>
          <cell r="C219"/>
          <cell r="D219"/>
        </row>
        <row r="220">
          <cell r="A220"/>
          <cell r="B220"/>
          <cell r="C220"/>
          <cell r="D220"/>
        </row>
        <row r="221">
          <cell r="A221"/>
          <cell r="B221"/>
          <cell r="C221"/>
          <cell r="D221"/>
        </row>
        <row r="222">
          <cell r="A222"/>
          <cell r="B222"/>
          <cell r="C222"/>
          <cell r="D222"/>
        </row>
        <row r="223">
          <cell r="A223"/>
          <cell r="B223"/>
          <cell r="C223"/>
          <cell r="D223"/>
        </row>
        <row r="224">
          <cell r="A224"/>
          <cell r="B224"/>
          <cell r="C224"/>
          <cell r="D224"/>
        </row>
        <row r="225">
          <cell r="A225"/>
          <cell r="B225"/>
          <cell r="C225"/>
          <cell r="D225"/>
        </row>
        <row r="226">
          <cell r="A226"/>
          <cell r="B226"/>
          <cell r="C226"/>
          <cell r="D226"/>
        </row>
        <row r="227">
          <cell r="A227"/>
          <cell r="B227"/>
          <cell r="C227"/>
          <cell r="D227"/>
        </row>
        <row r="228">
          <cell r="A228"/>
          <cell r="B228"/>
          <cell r="C228"/>
          <cell r="D228"/>
        </row>
        <row r="229">
          <cell r="A229"/>
          <cell r="B229"/>
          <cell r="C229"/>
          <cell r="D229"/>
        </row>
        <row r="230">
          <cell r="A230"/>
          <cell r="B230"/>
          <cell r="C230"/>
          <cell r="D230"/>
        </row>
        <row r="231">
          <cell r="A231"/>
          <cell r="B231"/>
          <cell r="C231"/>
          <cell r="D231"/>
        </row>
        <row r="232">
          <cell r="A232"/>
          <cell r="B232"/>
          <cell r="C232"/>
          <cell r="D232"/>
        </row>
        <row r="233">
          <cell r="A233"/>
          <cell r="B233"/>
          <cell r="C233"/>
          <cell r="D233"/>
        </row>
        <row r="234">
          <cell r="A234"/>
          <cell r="B234"/>
          <cell r="C234"/>
          <cell r="D234"/>
        </row>
        <row r="235">
          <cell r="A235"/>
          <cell r="B235"/>
          <cell r="C235"/>
          <cell r="D235"/>
        </row>
        <row r="236">
          <cell r="A236"/>
          <cell r="B236"/>
          <cell r="C236"/>
          <cell r="D236"/>
        </row>
        <row r="237">
          <cell r="A237"/>
          <cell r="B237"/>
          <cell r="C237"/>
          <cell r="D237"/>
        </row>
        <row r="238">
          <cell r="A238"/>
          <cell r="B238"/>
          <cell r="C238"/>
          <cell r="D238"/>
        </row>
        <row r="239">
          <cell r="A239"/>
          <cell r="B239"/>
          <cell r="C239"/>
          <cell r="D239"/>
        </row>
        <row r="240">
          <cell r="A240"/>
          <cell r="B240"/>
          <cell r="C240"/>
          <cell r="D240"/>
        </row>
        <row r="241">
          <cell r="A241"/>
          <cell r="B241"/>
          <cell r="C241"/>
          <cell r="D241"/>
        </row>
        <row r="242">
          <cell r="A242"/>
          <cell r="B242"/>
          <cell r="C242"/>
          <cell r="D242"/>
        </row>
        <row r="243">
          <cell r="A243"/>
          <cell r="B243"/>
          <cell r="C243"/>
          <cell r="D243"/>
        </row>
        <row r="244">
          <cell r="A244"/>
          <cell r="B244"/>
          <cell r="C244"/>
          <cell r="D244"/>
        </row>
        <row r="245">
          <cell r="A245"/>
          <cell r="B245"/>
          <cell r="C245"/>
          <cell r="D245"/>
        </row>
        <row r="246">
          <cell r="A246"/>
          <cell r="B246"/>
          <cell r="C246"/>
          <cell r="D246"/>
        </row>
        <row r="247">
          <cell r="A247"/>
          <cell r="B247"/>
          <cell r="C247"/>
          <cell r="D247"/>
        </row>
        <row r="248">
          <cell r="A248"/>
          <cell r="B248"/>
          <cell r="C248"/>
          <cell r="D248"/>
        </row>
        <row r="249">
          <cell r="A249"/>
          <cell r="B249"/>
          <cell r="C249"/>
          <cell r="D249"/>
        </row>
        <row r="250">
          <cell r="A250"/>
          <cell r="B250"/>
          <cell r="C250"/>
          <cell r="D250"/>
        </row>
        <row r="251">
          <cell r="A251"/>
          <cell r="B251"/>
          <cell r="C251"/>
          <cell r="D251"/>
        </row>
        <row r="252">
          <cell r="A252"/>
          <cell r="B252"/>
          <cell r="C252"/>
          <cell r="D252"/>
        </row>
        <row r="253">
          <cell r="A253"/>
          <cell r="B253"/>
          <cell r="C253"/>
          <cell r="D253"/>
        </row>
        <row r="254">
          <cell r="A254"/>
          <cell r="B254"/>
          <cell r="C254"/>
          <cell r="D254"/>
        </row>
        <row r="255">
          <cell r="A255"/>
          <cell r="B255"/>
          <cell r="C255"/>
          <cell r="D255"/>
        </row>
        <row r="256">
          <cell r="A256"/>
          <cell r="B256"/>
          <cell r="C256"/>
          <cell r="D256"/>
        </row>
        <row r="257">
          <cell r="A257"/>
          <cell r="B257"/>
          <cell r="C257"/>
          <cell r="D257"/>
        </row>
        <row r="258">
          <cell r="A258"/>
          <cell r="B258"/>
          <cell r="C258"/>
          <cell r="D258"/>
        </row>
        <row r="259">
          <cell r="A259"/>
          <cell r="B259"/>
          <cell r="C259"/>
          <cell r="D259"/>
        </row>
        <row r="260">
          <cell r="A260"/>
          <cell r="B260"/>
          <cell r="C260"/>
          <cell r="D260"/>
        </row>
        <row r="261">
          <cell r="A261"/>
          <cell r="B261"/>
          <cell r="C261"/>
          <cell r="D261"/>
        </row>
        <row r="262">
          <cell r="A262"/>
          <cell r="B262"/>
          <cell r="C262"/>
          <cell r="D262"/>
        </row>
        <row r="263">
          <cell r="A263"/>
          <cell r="B263"/>
          <cell r="C263"/>
          <cell r="D263"/>
        </row>
        <row r="264">
          <cell r="A264"/>
          <cell r="B264"/>
          <cell r="C264"/>
          <cell r="D264"/>
        </row>
        <row r="265">
          <cell r="A265"/>
          <cell r="B265"/>
          <cell r="C265"/>
          <cell r="D265"/>
        </row>
        <row r="266">
          <cell r="A266"/>
          <cell r="B266"/>
          <cell r="C266"/>
          <cell r="D266"/>
        </row>
        <row r="267">
          <cell r="A267"/>
          <cell r="B267"/>
          <cell r="C267"/>
          <cell r="D267"/>
        </row>
        <row r="268">
          <cell r="A268"/>
          <cell r="B268"/>
          <cell r="C268"/>
          <cell r="D268"/>
        </row>
        <row r="269">
          <cell r="A269"/>
          <cell r="B269"/>
          <cell r="C269"/>
          <cell r="D269"/>
        </row>
        <row r="270">
          <cell r="A270"/>
          <cell r="B270"/>
          <cell r="C270"/>
          <cell r="D270"/>
        </row>
        <row r="271">
          <cell r="A271"/>
          <cell r="B271"/>
          <cell r="C271"/>
          <cell r="D271"/>
        </row>
        <row r="272">
          <cell r="A272"/>
          <cell r="B272"/>
          <cell r="C272"/>
          <cell r="D272"/>
        </row>
        <row r="273">
          <cell r="A273"/>
          <cell r="B273"/>
          <cell r="C273"/>
          <cell r="D273"/>
        </row>
        <row r="274">
          <cell r="A274"/>
          <cell r="B274"/>
          <cell r="C274"/>
          <cell r="D274"/>
        </row>
        <row r="275">
          <cell r="A275"/>
          <cell r="B275"/>
          <cell r="C275"/>
          <cell r="D275"/>
        </row>
        <row r="276">
          <cell r="A276"/>
          <cell r="B276"/>
          <cell r="C276"/>
          <cell r="D276"/>
        </row>
        <row r="277">
          <cell r="A277"/>
          <cell r="B277"/>
          <cell r="C277"/>
          <cell r="D277"/>
        </row>
        <row r="278">
          <cell r="A278"/>
          <cell r="B278"/>
          <cell r="C278"/>
          <cell r="D278"/>
        </row>
        <row r="279">
          <cell r="A279"/>
          <cell r="B279"/>
          <cell r="C279"/>
          <cell r="D279"/>
        </row>
        <row r="280">
          <cell r="A280"/>
          <cell r="B280"/>
          <cell r="C280"/>
          <cell r="D280"/>
        </row>
        <row r="281">
          <cell r="A281"/>
          <cell r="B281"/>
          <cell r="C281"/>
          <cell r="D281"/>
        </row>
        <row r="282">
          <cell r="A282"/>
          <cell r="B282"/>
          <cell r="C282"/>
          <cell r="D282"/>
        </row>
        <row r="283">
          <cell r="A283"/>
          <cell r="B283"/>
          <cell r="C283"/>
          <cell r="D283"/>
        </row>
        <row r="284">
          <cell r="A284"/>
          <cell r="B284"/>
          <cell r="C284"/>
          <cell r="D284"/>
        </row>
        <row r="285">
          <cell r="A285"/>
          <cell r="B285"/>
          <cell r="C285"/>
          <cell r="D285"/>
        </row>
        <row r="286">
          <cell r="A286"/>
          <cell r="B286"/>
          <cell r="C286"/>
          <cell r="D286"/>
        </row>
        <row r="287">
          <cell r="A287"/>
          <cell r="B287"/>
          <cell r="C287"/>
          <cell r="D287"/>
        </row>
        <row r="288">
          <cell r="A288"/>
          <cell r="B288"/>
          <cell r="C288"/>
          <cell r="D288"/>
        </row>
        <row r="289">
          <cell r="A289"/>
          <cell r="B289"/>
          <cell r="C289"/>
          <cell r="D289"/>
        </row>
        <row r="290">
          <cell r="A290"/>
          <cell r="B290"/>
          <cell r="C290"/>
          <cell r="D290"/>
        </row>
        <row r="291">
          <cell r="A291"/>
          <cell r="B291"/>
          <cell r="C291"/>
          <cell r="D291"/>
        </row>
        <row r="292">
          <cell r="A292"/>
          <cell r="B292"/>
          <cell r="C292"/>
          <cell r="D292"/>
        </row>
        <row r="293">
          <cell r="A293"/>
          <cell r="B293"/>
          <cell r="C293"/>
          <cell r="D293"/>
        </row>
        <row r="294">
          <cell r="A294"/>
          <cell r="B294"/>
          <cell r="C294"/>
          <cell r="D294"/>
        </row>
        <row r="295">
          <cell r="A295"/>
          <cell r="B295"/>
          <cell r="C295"/>
          <cell r="D295"/>
        </row>
        <row r="296">
          <cell r="A296"/>
          <cell r="B296"/>
          <cell r="C296"/>
          <cell r="D296"/>
        </row>
        <row r="297">
          <cell r="A297"/>
          <cell r="B297"/>
          <cell r="C297"/>
          <cell r="D297"/>
        </row>
        <row r="298">
          <cell r="A298"/>
          <cell r="B298"/>
          <cell r="C298"/>
          <cell r="D298"/>
        </row>
        <row r="299">
          <cell r="A299"/>
          <cell r="B299"/>
          <cell r="C299"/>
          <cell r="D299"/>
        </row>
        <row r="300">
          <cell r="A300"/>
          <cell r="B300"/>
          <cell r="C300"/>
          <cell r="D300"/>
        </row>
        <row r="301">
          <cell r="A301"/>
          <cell r="B301"/>
          <cell r="C301"/>
          <cell r="D301"/>
        </row>
        <row r="302">
          <cell r="A302"/>
          <cell r="B302"/>
          <cell r="C302"/>
          <cell r="D302"/>
        </row>
        <row r="303">
          <cell r="A303"/>
          <cell r="B303"/>
          <cell r="C303"/>
          <cell r="D303"/>
        </row>
        <row r="304">
          <cell r="A304"/>
          <cell r="B304"/>
          <cell r="C304"/>
          <cell r="D304"/>
        </row>
        <row r="305">
          <cell r="A305"/>
          <cell r="B305"/>
          <cell r="C305"/>
          <cell r="D305"/>
        </row>
        <row r="306">
          <cell r="A306"/>
          <cell r="B306"/>
          <cell r="C306"/>
          <cell r="D306"/>
        </row>
        <row r="307">
          <cell r="A307"/>
          <cell r="B307"/>
          <cell r="C307"/>
          <cell r="D307"/>
        </row>
        <row r="308">
          <cell r="A308"/>
          <cell r="B308"/>
          <cell r="C308"/>
          <cell r="D308"/>
        </row>
        <row r="309">
          <cell r="A309"/>
          <cell r="B309"/>
          <cell r="C309"/>
          <cell r="D309"/>
        </row>
        <row r="310">
          <cell r="A310"/>
          <cell r="B310"/>
          <cell r="C310"/>
          <cell r="D310"/>
        </row>
        <row r="311">
          <cell r="A311"/>
          <cell r="B311"/>
          <cell r="C311"/>
          <cell r="D311"/>
        </row>
        <row r="312">
          <cell r="A312"/>
          <cell r="B312"/>
          <cell r="C312"/>
          <cell r="D312"/>
        </row>
        <row r="313">
          <cell r="A313"/>
          <cell r="B313"/>
          <cell r="C313"/>
          <cell r="D313"/>
        </row>
        <row r="314">
          <cell r="A314"/>
          <cell r="B314"/>
          <cell r="C314"/>
          <cell r="D314"/>
        </row>
        <row r="315">
          <cell r="A315"/>
          <cell r="B315"/>
          <cell r="C315"/>
          <cell r="D315"/>
        </row>
        <row r="316">
          <cell r="A316"/>
          <cell r="B316"/>
          <cell r="C316"/>
          <cell r="D316"/>
        </row>
        <row r="317">
          <cell r="A317"/>
          <cell r="B317"/>
          <cell r="C317"/>
          <cell r="D317"/>
        </row>
        <row r="318">
          <cell r="A318"/>
          <cell r="B318"/>
          <cell r="C318"/>
          <cell r="D318"/>
        </row>
        <row r="319">
          <cell r="A319"/>
          <cell r="B319"/>
          <cell r="C319"/>
          <cell r="D319"/>
        </row>
        <row r="320">
          <cell r="A320"/>
          <cell r="B320"/>
          <cell r="C320"/>
          <cell r="D320"/>
        </row>
        <row r="321">
          <cell r="A321"/>
          <cell r="B321"/>
          <cell r="C321"/>
          <cell r="D321"/>
        </row>
        <row r="322">
          <cell r="A322"/>
          <cell r="B322"/>
          <cell r="C322"/>
          <cell r="D322"/>
        </row>
        <row r="323">
          <cell r="A323"/>
          <cell r="B323"/>
          <cell r="C323"/>
          <cell r="D323"/>
        </row>
        <row r="324">
          <cell r="A324"/>
          <cell r="B324"/>
          <cell r="C324"/>
          <cell r="D324"/>
        </row>
        <row r="325">
          <cell r="A325"/>
          <cell r="B325"/>
          <cell r="C325"/>
          <cell r="D325"/>
        </row>
        <row r="326">
          <cell r="A326"/>
          <cell r="B326"/>
          <cell r="C326"/>
          <cell r="D326"/>
        </row>
        <row r="327">
          <cell r="A327"/>
          <cell r="B327"/>
          <cell r="C327"/>
          <cell r="D327"/>
        </row>
        <row r="328">
          <cell r="A328"/>
          <cell r="B328"/>
          <cell r="C328"/>
          <cell r="D328"/>
        </row>
        <row r="329">
          <cell r="A329"/>
          <cell r="B329"/>
          <cell r="C329"/>
          <cell r="D329"/>
        </row>
        <row r="330">
          <cell r="A330"/>
          <cell r="B330"/>
          <cell r="C330"/>
          <cell r="D330"/>
        </row>
        <row r="331">
          <cell r="A331"/>
          <cell r="B331"/>
          <cell r="C331"/>
          <cell r="D331"/>
        </row>
        <row r="332">
          <cell r="A332"/>
          <cell r="B332"/>
          <cell r="C332"/>
          <cell r="D332"/>
        </row>
        <row r="333">
          <cell r="A333"/>
          <cell r="B333"/>
          <cell r="C333"/>
          <cell r="D333"/>
        </row>
        <row r="334">
          <cell r="A334"/>
          <cell r="B334"/>
          <cell r="C334"/>
          <cell r="D334"/>
        </row>
        <row r="335">
          <cell r="A335"/>
          <cell r="B335"/>
          <cell r="C335"/>
          <cell r="D335"/>
        </row>
        <row r="336">
          <cell r="A336"/>
          <cell r="B336"/>
          <cell r="C336"/>
          <cell r="D336"/>
        </row>
        <row r="337">
          <cell r="A337"/>
          <cell r="B337"/>
          <cell r="C337"/>
          <cell r="D337"/>
        </row>
        <row r="338">
          <cell r="A338"/>
          <cell r="B338"/>
          <cell r="C338"/>
          <cell r="D338"/>
        </row>
        <row r="339">
          <cell r="A339"/>
          <cell r="B339"/>
          <cell r="C339"/>
          <cell r="D339"/>
        </row>
        <row r="340">
          <cell r="A340"/>
          <cell r="B340"/>
          <cell r="C340"/>
          <cell r="D340"/>
        </row>
        <row r="341">
          <cell r="A341"/>
          <cell r="B341"/>
          <cell r="C341"/>
          <cell r="D341"/>
        </row>
        <row r="342">
          <cell r="A342"/>
          <cell r="B342"/>
          <cell r="C342"/>
          <cell r="D342"/>
        </row>
        <row r="343">
          <cell r="A343"/>
          <cell r="B343"/>
          <cell r="C343"/>
          <cell r="D343"/>
        </row>
        <row r="344">
          <cell r="A344"/>
          <cell r="B344"/>
          <cell r="C344"/>
          <cell r="D344"/>
        </row>
        <row r="345">
          <cell r="A345"/>
          <cell r="B345"/>
          <cell r="C345"/>
          <cell r="D345"/>
        </row>
        <row r="346">
          <cell r="A346"/>
          <cell r="B346"/>
          <cell r="C346"/>
          <cell r="D346"/>
        </row>
        <row r="347">
          <cell r="A347"/>
          <cell r="B347"/>
          <cell r="C347"/>
          <cell r="D347"/>
        </row>
        <row r="348">
          <cell r="A348"/>
          <cell r="B348"/>
          <cell r="C348"/>
          <cell r="D348"/>
        </row>
        <row r="349">
          <cell r="A349"/>
          <cell r="B349"/>
          <cell r="C349"/>
          <cell r="D349"/>
        </row>
        <row r="350">
          <cell r="A350"/>
          <cell r="B350"/>
          <cell r="C350"/>
          <cell r="D350"/>
        </row>
        <row r="351">
          <cell r="A351"/>
          <cell r="B351"/>
          <cell r="C351"/>
          <cell r="D351"/>
        </row>
        <row r="352">
          <cell r="A352"/>
          <cell r="B352"/>
          <cell r="C352"/>
          <cell r="D352"/>
        </row>
        <row r="353">
          <cell r="A353"/>
          <cell r="B353"/>
          <cell r="C353"/>
          <cell r="D353"/>
        </row>
        <row r="354">
          <cell r="A354"/>
          <cell r="B354"/>
          <cell r="C354"/>
          <cell r="D354"/>
        </row>
        <row r="355">
          <cell r="A355"/>
          <cell r="B355"/>
          <cell r="C355"/>
          <cell r="D355"/>
        </row>
        <row r="356">
          <cell r="A356"/>
          <cell r="B356"/>
          <cell r="C356"/>
          <cell r="D356"/>
        </row>
        <row r="357">
          <cell r="A357"/>
          <cell r="B357"/>
          <cell r="C357"/>
          <cell r="D357"/>
        </row>
        <row r="358">
          <cell r="A358"/>
          <cell r="B358"/>
          <cell r="C358"/>
          <cell r="D358"/>
        </row>
        <row r="359">
          <cell r="A359"/>
          <cell r="B359"/>
          <cell r="C359"/>
          <cell r="D359"/>
        </row>
        <row r="360">
          <cell r="A360"/>
          <cell r="B360"/>
          <cell r="C360"/>
          <cell r="D360"/>
        </row>
        <row r="361">
          <cell r="A361"/>
          <cell r="B361"/>
          <cell r="C361"/>
          <cell r="D361"/>
        </row>
        <row r="362">
          <cell r="A362"/>
          <cell r="B362"/>
          <cell r="C362"/>
          <cell r="D362"/>
        </row>
        <row r="363">
          <cell r="A363"/>
          <cell r="B363"/>
          <cell r="C363"/>
          <cell r="D363"/>
        </row>
        <row r="364">
          <cell r="A364"/>
          <cell r="B364"/>
          <cell r="C364"/>
          <cell r="D364"/>
        </row>
        <row r="365">
          <cell r="A365"/>
          <cell r="B365"/>
          <cell r="C365"/>
          <cell r="D365"/>
        </row>
        <row r="366">
          <cell r="A366"/>
          <cell r="B366"/>
          <cell r="C366"/>
          <cell r="D366"/>
        </row>
        <row r="367">
          <cell r="A367"/>
          <cell r="B367"/>
          <cell r="C367"/>
          <cell r="D367"/>
        </row>
        <row r="368">
          <cell r="A368"/>
          <cell r="B368"/>
          <cell r="C368"/>
          <cell r="D368"/>
        </row>
        <row r="369">
          <cell r="A369"/>
          <cell r="B369"/>
          <cell r="C369"/>
          <cell r="D369"/>
        </row>
        <row r="370">
          <cell r="A370"/>
          <cell r="B370"/>
          <cell r="C370"/>
          <cell r="D370"/>
        </row>
        <row r="371">
          <cell r="A371"/>
          <cell r="B371"/>
          <cell r="C371"/>
          <cell r="D371"/>
        </row>
        <row r="372">
          <cell r="A372"/>
          <cell r="B372"/>
          <cell r="C372"/>
          <cell r="D372"/>
        </row>
        <row r="373">
          <cell r="A373"/>
          <cell r="B373"/>
          <cell r="C373"/>
          <cell r="D373"/>
        </row>
        <row r="374">
          <cell r="A374"/>
          <cell r="B374"/>
          <cell r="C374"/>
          <cell r="D374"/>
        </row>
        <row r="375">
          <cell r="A375"/>
          <cell r="B375"/>
          <cell r="C375"/>
          <cell r="D375"/>
        </row>
        <row r="376">
          <cell r="A376"/>
          <cell r="B376"/>
          <cell r="C376"/>
          <cell r="D376"/>
        </row>
        <row r="377">
          <cell r="A377"/>
          <cell r="B377"/>
          <cell r="C377"/>
          <cell r="D377"/>
        </row>
        <row r="378">
          <cell r="A378"/>
          <cell r="B378"/>
          <cell r="C378"/>
          <cell r="D378"/>
        </row>
        <row r="379">
          <cell r="A379"/>
          <cell r="B379"/>
          <cell r="C379"/>
          <cell r="D379"/>
        </row>
        <row r="380">
          <cell r="A380"/>
          <cell r="B380"/>
          <cell r="C380"/>
          <cell r="D380"/>
        </row>
        <row r="381">
          <cell r="A381"/>
          <cell r="B381"/>
          <cell r="C381"/>
          <cell r="D381"/>
        </row>
        <row r="382">
          <cell r="A382"/>
          <cell r="B382"/>
          <cell r="C382"/>
          <cell r="D382"/>
        </row>
        <row r="383">
          <cell r="A383"/>
          <cell r="B383"/>
          <cell r="C383"/>
          <cell r="D383"/>
        </row>
        <row r="384">
          <cell r="A384"/>
          <cell r="B384"/>
          <cell r="C384"/>
          <cell r="D384"/>
        </row>
        <row r="385">
          <cell r="A385"/>
          <cell r="B385"/>
          <cell r="C385"/>
          <cell r="D385"/>
        </row>
        <row r="386">
          <cell r="A386"/>
          <cell r="B386"/>
          <cell r="C386"/>
          <cell r="D386"/>
        </row>
        <row r="387">
          <cell r="A387"/>
          <cell r="B387"/>
          <cell r="C387"/>
          <cell r="D387"/>
        </row>
        <row r="388">
          <cell r="A388"/>
          <cell r="B388"/>
          <cell r="C388"/>
          <cell r="D388"/>
        </row>
        <row r="389">
          <cell r="A389"/>
          <cell r="B389"/>
          <cell r="C389"/>
          <cell r="D389"/>
        </row>
        <row r="390">
          <cell r="A390"/>
          <cell r="B390"/>
          <cell r="C390"/>
          <cell r="D390"/>
        </row>
        <row r="391">
          <cell r="A391"/>
          <cell r="B391"/>
          <cell r="C391"/>
          <cell r="D391"/>
        </row>
        <row r="392">
          <cell r="A392"/>
          <cell r="B392"/>
          <cell r="C392"/>
          <cell r="D392"/>
        </row>
        <row r="393">
          <cell r="A393"/>
          <cell r="B393"/>
          <cell r="C393"/>
          <cell r="D393"/>
        </row>
        <row r="394">
          <cell r="A394"/>
          <cell r="B394"/>
          <cell r="C394"/>
          <cell r="D394"/>
        </row>
        <row r="395">
          <cell r="A395"/>
          <cell r="B395"/>
          <cell r="C395"/>
          <cell r="D395"/>
        </row>
        <row r="396">
          <cell r="A396"/>
          <cell r="B396"/>
          <cell r="C396"/>
          <cell r="D396"/>
        </row>
        <row r="397">
          <cell r="A397"/>
          <cell r="B397"/>
          <cell r="C397"/>
          <cell r="D397"/>
        </row>
        <row r="398">
          <cell r="A398"/>
          <cell r="B398"/>
          <cell r="C398"/>
          <cell r="D398"/>
        </row>
        <row r="399">
          <cell r="A399"/>
          <cell r="B399"/>
          <cell r="C399"/>
          <cell r="D399"/>
        </row>
        <row r="400">
          <cell r="A400"/>
          <cell r="B400"/>
          <cell r="C400"/>
          <cell r="D400"/>
        </row>
        <row r="401">
          <cell r="A401"/>
          <cell r="B401"/>
          <cell r="C401"/>
          <cell r="D401"/>
        </row>
        <row r="402">
          <cell r="A402"/>
          <cell r="B402"/>
          <cell r="C402"/>
          <cell r="D402"/>
        </row>
        <row r="403">
          <cell r="A403"/>
          <cell r="B403"/>
          <cell r="C403"/>
          <cell r="D403"/>
        </row>
        <row r="404">
          <cell r="A404"/>
          <cell r="B404"/>
          <cell r="C404"/>
          <cell r="D404"/>
        </row>
        <row r="405">
          <cell r="A405"/>
          <cell r="B405"/>
          <cell r="C405"/>
          <cell r="D405"/>
        </row>
        <row r="406">
          <cell r="A406"/>
          <cell r="B406"/>
          <cell r="C406"/>
          <cell r="D406"/>
        </row>
        <row r="407">
          <cell r="A407"/>
          <cell r="B407"/>
          <cell r="C407"/>
          <cell r="D407"/>
        </row>
        <row r="408">
          <cell r="A408"/>
          <cell r="B408"/>
          <cell r="C408"/>
          <cell r="D408"/>
        </row>
        <row r="409">
          <cell r="A409"/>
          <cell r="B409"/>
          <cell r="C409"/>
          <cell r="D409"/>
        </row>
        <row r="410">
          <cell r="A410"/>
          <cell r="B410"/>
          <cell r="C410"/>
          <cell r="D410"/>
        </row>
        <row r="411">
          <cell r="A411"/>
          <cell r="B411"/>
          <cell r="C411"/>
          <cell r="D411"/>
        </row>
        <row r="412">
          <cell r="A412"/>
          <cell r="B412"/>
          <cell r="C412"/>
          <cell r="D412"/>
        </row>
        <row r="413">
          <cell r="A413"/>
          <cell r="B413"/>
          <cell r="C413"/>
          <cell r="D413"/>
        </row>
        <row r="414">
          <cell r="A414"/>
          <cell r="B414"/>
          <cell r="C414"/>
          <cell r="D414"/>
        </row>
        <row r="415">
          <cell r="A415"/>
          <cell r="B415"/>
          <cell r="C415"/>
          <cell r="D415"/>
        </row>
        <row r="416">
          <cell r="A416"/>
          <cell r="B416"/>
          <cell r="C416"/>
          <cell r="D416"/>
        </row>
        <row r="417">
          <cell r="A417"/>
          <cell r="B417"/>
          <cell r="C417"/>
          <cell r="D417"/>
        </row>
        <row r="418">
          <cell r="A418"/>
          <cell r="B418"/>
          <cell r="C418"/>
          <cell r="D418"/>
        </row>
        <row r="419">
          <cell r="A419"/>
          <cell r="B419"/>
          <cell r="C419"/>
          <cell r="D419"/>
        </row>
        <row r="420">
          <cell r="A420"/>
          <cell r="B420"/>
          <cell r="C420"/>
          <cell r="D420"/>
        </row>
        <row r="421">
          <cell r="A421"/>
          <cell r="B421"/>
          <cell r="C421"/>
          <cell r="D421"/>
        </row>
        <row r="422">
          <cell r="A422"/>
          <cell r="B422"/>
          <cell r="C422"/>
          <cell r="D422"/>
        </row>
        <row r="423">
          <cell r="A423"/>
          <cell r="B423"/>
          <cell r="C423"/>
          <cell r="D423"/>
        </row>
        <row r="424">
          <cell r="A424"/>
          <cell r="B424"/>
          <cell r="C424"/>
          <cell r="D424"/>
        </row>
        <row r="425">
          <cell r="A425"/>
          <cell r="B425"/>
          <cell r="C425"/>
          <cell r="D425"/>
        </row>
        <row r="426">
          <cell r="A426"/>
          <cell r="B426"/>
          <cell r="C426"/>
          <cell r="D426"/>
        </row>
        <row r="427">
          <cell r="A427"/>
          <cell r="B427"/>
          <cell r="C427"/>
          <cell r="D427"/>
        </row>
        <row r="428">
          <cell r="A428"/>
          <cell r="B428"/>
          <cell r="C428"/>
          <cell r="D428"/>
        </row>
        <row r="429">
          <cell r="A429"/>
          <cell r="B429"/>
          <cell r="C429"/>
          <cell r="D429"/>
        </row>
        <row r="430">
          <cell r="A430"/>
          <cell r="B430"/>
          <cell r="C430"/>
          <cell r="D430"/>
        </row>
        <row r="431">
          <cell r="A431"/>
          <cell r="B431"/>
          <cell r="C431"/>
          <cell r="D431"/>
        </row>
        <row r="432">
          <cell r="A432"/>
          <cell r="B432"/>
          <cell r="C432"/>
          <cell r="D432"/>
        </row>
        <row r="433">
          <cell r="A433"/>
          <cell r="B433"/>
          <cell r="C433"/>
          <cell r="D433"/>
        </row>
        <row r="434">
          <cell r="A434"/>
          <cell r="B434"/>
          <cell r="C434"/>
          <cell r="D434"/>
        </row>
        <row r="435">
          <cell r="A435"/>
          <cell r="B435"/>
          <cell r="C435"/>
          <cell r="D435"/>
        </row>
        <row r="436">
          <cell r="A436"/>
          <cell r="B436"/>
          <cell r="C436"/>
          <cell r="D436"/>
        </row>
        <row r="437">
          <cell r="A437"/>
          <cell r="B437"/>
          <cell r="C437"/>
          <cell r="D437"/>
        </row>
        <row r="438">
          <cell r="A438"/>
          <cell r="B438"/>
          <cell r="C438"/>
          <cell r="D438"/>
        </row>
        <row r="439">
          <cell r="A439"/>
          <cell r="B439"/>
          <cell r="C439"/>
          <cell r="D439"/>
        </row>
        <row r="440">
          <cell r="A440"/>
          <cell r="B440"/>
          <cell r="C440"/>
          <cell r="D440"/>
        </row>
        <row r="441">
          <cell r="A441"/>
          <cell r="B441"/>
          <cell r="C441"/>
          <cell r="D441"/>
        </row>
        <row r="442">
          <cell r="A442"/>
          <cell r="B442"/>
          <cell r="C442"/>
          <cell r="D442"/>
        </row>
        <row r="443">
          <cell r="A443"/>
          <cell r="B443"/>
          <cell r="C443"/>
          <cell r="D443"/>
        </row>
        <row r="444">
          <cell r="A444"/>
          <cell r="B444"/>
          <cell r="C444"/>
          <cell r="D444"/>
        </row>
        <row r="445">
          <cell r="A445"/>
          <cell r="B445"/>
          <cell r="C445"/>
          <cell r="D445"/>
        </row>
        <row r="446">
          <cell r="A446"/>
          <cell r="B446"/>
          <cell r="C446"/>
          <cell r="D446"/>
        </row>
        <row r="447">
          <cell r="A447"/>
          <cell r="B447"/>
          <cell r="C447"/>
          <cell r="D447"/>
        </row>
        <row r="448">
          <cell r="A448"/>
          <cell r="B448"/>
          <cell r="C448"/>
          <cell r="D448"/>
        </row>
        <row r="449">
          <cell r="A449"/>
          <cell r="B449"/>
          <cell r="C449"/>
          <cell r="D449"/>
        </row>
        <row r="450">
          <cell r="A450"/>
          <cell r="B450"/>
          <cell r="C450"/>
          <cell r="D450"/>
        </row>
        <row r="451">
          <cell r="A451"/>
          <cell r="B451"/>
          <cell r="C451"/>
          <cell r="D451"/>
        </row>
        <row r="452">
          <cell r="A452"/>
          <cell r="B452"/>
          <cell r="C452"/>
          <cell r="D452"/>
        </row>
        <row r="453">
          <cell r="A453"/>
          <cell r="B453"/>
          <cell r="C453"/>
          <cell r="D453"/>
        </row>
        <row r="454">
          <cell r="A454"/>
          <cell r="B454"/>
          <cell r="C454"/>
          <cell r="D454"/>
        </row>
        <row r="455">
          <cell r="A455"/>
          <cell r="B455"/>
          <cell r="C455"/>
          <cell r="D455"/>
        </row>
        <row r="456">
          <cell r="A456"/>
          <cell r="B456"/>
          <cell r="C456"/>
          <cell r="D456"/>
        </row>
        <row r="457">
          <cell r="A457"/>
          <cell r="B457"/>
          <cell r="C457"/>
          <cell r="D457"/>
        </row>
        <row r="458">
          <cell r="A458"/>
          <cell r="B458"/>
          <cell r="C458"/>
          <cell r="D458"/>
        </row>
        <row r="459">
          <cell r="A459"/>
          <cell r="B459"/>
          <cell r="C459"/>
          <cell r="D459"/>
        </row>
        <row r="460">
          <cell r="A460"/>
          <cell r="B460"/>
          <cell r="C460"/>
          <cell r="D460"/>
        </row>
        <row r="461">
          <cell r="A461"/>
          <cell r="B461"/>
          <cell r="C461"/>
          <cell r="D461"/>
        </row>
        <row r="462">
          <cell r="A462"/>
          <cell r="B462"/>
          <cell r="C462"/>
          <cell r="D462"/>
        </row>
        <row r="463">
          <cell r="A463"/>
          <cell r="B463"/>
          <cell r="C463"/>
          <cell r="D463"/>
        </row>
        <row r="464">
          <cell r="A464"/>
          <cell r="B464"/>
          <cell r="C464"/>
          <cell r="D464"/>
        </row>
        <row r="465">
          <cell r="A465"/>
          <cell r="B465"/>
          <cell r="C465"/>
          <cell r="D465"/>
        </row>
        <row r="466">
          <cell r="A466"/>
          <cell r="B466"/>
          <cell r="C466"/>
          <cell r="D466"/>
        </row>
        <row r="467">
          <cell r="A467"/>
          <cell r="B467"/>
          <cell r="C467"/>
          <cell r="D467"/>
        </row>
        <row r="468">
          <cell r="A468"/>
          <cell r="B468"/>
          <cell r="C468"/>
          <cell r="D468"/>
        </row>
        <row r="469">
          <cell r="A469"/>
          <cell r="B469"/>
          <cell r="C469"/>
          <cell r="D469"/>
        </row>
        <row r="470">
          <cell r="A470"/>
          <cell r="B470"/>
          <cell r="C470"/>
          <cell r="D470"/>
        </row>
        <row r="471">
          <cell r="A471"/>
          <cell r="B471"/>
          <cell r="C471"/>
          <cell r="D471"/>
        </row>
        <row r="472">
          <cell r="A472"/>
          <cell r="B472"/>
          <cell r="C472"/>
          <cell r="D472"/>
        </row>
        <row r="473">
          <cell r="A473"/>
          <cell r="B473"/>
          <cell r="C473"/>
          <cell r="D473"/>
        </row>
        <row r="474">
          <cell r="A474"/>
          <cell r="B474"/>
          <cell r="C474"/>
          <cell r="D474"/>
        </row>
        <row r="475">
          <cell r="A475"/>
          <cell r="B475"/>
          <cell r="C475"/>
          <cell r="D475"/>
        </row>
        <row r="476">
          <cell r="A476"/>
          <cell r="B476"/>
          <cell r="C476"/>
          <cell r="D476"/>
        </row>
        <row r="477">
          <cell r="A477"/>
          <cell r="B477"/>
          <cell r="C477"/>
          <cell r="D477"/>
        </row>
        <row r="478">
          <cell r="A478"/>
          <cell r="B478"/>
          <cell r="C478"/>
          <cell r="D478"/>
        </row>
        <row r="479">
          <cell r="A479"/>
          <cell r="B479"/>
          <cell r="C479"/>
          <cell r="D479"/>
        </row>
        <row r="480">
          <cell r="A480"/>
          <cell r="B480"/>
          <cell r="C480"/>
          <cell r="D480"/>
        </row>
        <row r="481">
          <cell r="A481"/>
          <cell r="B481"/>
          <cell r="C481"/>
          <cell r="D481"/>
        </row>
        <row r="482">
          <cell r="A482"/>
          <cell r="B482"/>
          <cell r="C482"/>
          <cell r="D482"/>
        </row>
        <row r="483">
          <cell r="A483"/>
          <cell r="B483"/>
          <cell r="C483"/>
          <cell r="D483"/>
        </row>
        <row r="484">
          <cell r="A484"/>
          <cell r="B484"/>
          <cell r="C484"/>
          <cell r="D484"/>
        </row>
        <row r="485">
          <cell r="A485"/>
          <cell r="B485"/>
          <cell r="C485"/>
          <cell r="D485"/>
        </row>
        <row r="486">
          <cell r="A486"/>
          <cell r="B486"/>
          <cell r="C486"/>
          <cell r="D486"/>
        </row>
        <row r="487">
          <cell r="A487"/>
          <cell r="B487"/>
          <cell r="C487"/>
          <cell r="D487"/>
        </row>
        <row r="488">
          <cell r="A488"/>
          <cell r="B488"/>
          <cell r="C488"/>
          <cell r="D488"/>
        </row>
        <row r="489">
          <cell r="A489"/>
          <cell r="B489"/>
          <cell r="C489"/>
          <cell r="D489"/>
        </row>
        <row r="490">
          <cell r="A490"/>
          <cell r="B490"/>
          <cell r="C490"/>
          <cell r="D490"/>
        </row>
        <row r="491">
          <cell r="A491"/>
          <cell r="B491"/>
          <cell r="C491"/>
          <cell r="D491"/>
        </row>
        <row r="492">
          <cell r="A492"/>
          <cell r="B492"/>
          <cell r="C492"/>
          <cell r="D492"/>
        </row>
        <row r="493">
          <cell r="A493"/>
          <cell r="B493"/>
          <cell r="C493"/>
          <cell r="D493"/>
        </row>
        <row r="494">
          <cell r="A494"/>
          <cell r="B494"/>
          <cell r="C494"/>
          <cell r="D494"/>
        </row>
        <row r="495">
          <cell r="A495"/>
          <cell r="B495"/>
          <cell r="C495"/>
          <cell r="D495"/>
        </row>
        <row r="496">
          <cell r="A496"/>
          <cell r="B496"/>
          <cell r="C496"/>
          <cell r="D496"/>
        </row>
        <row r="497">
          <cell r="A497"/>
          <cell r="B497"/>
          <cell r="C497"/>
          <cell r="D497"/>
        </row>
        <row r="498">
          <cell r="A498"/>
          <cell r="B498"/>
          <cell r="C498"/>
          <cell r="D498"/>
        </row>
        <row r="499">
          <cell r="A499"/>
          <cell r="B499"/>
          <cell r="C499"/>
          <cell r="D499"/>
        </row>
        <row r="500">
          <cell r="A500"/>
          <cell r="B500"/>
          <cell r="C500"/>
          <cell r="D500"/>
        </row>
        <row r="501">
          <cell r="A501"/>
          <cell r="B501"/>
          <cell r="C501"/>
          <cell r="D501"/>
        </row>
        <row r="502">
          <cell r="A502"/>
          <cell r="B502"/>
          <cell r="C502"/>
          <cell r="D502"/>
        </row>
        <row r="503">
          <cell r="A503"/>
          <cell r="B503"/>
          <cell r="C503"/>
          <cell r="D503"/>
        </row>
        <row r="504">
          <cell r="A504"/>
          <cell r="B504"/>
          <cell r="C504"/>
          <cell r="D504"/>
        </row>
        <row r="505">
          <cell r="A505"/>
          <cell r="B505"/>
          <cell r="C505"/>
          <cell r="D505"/>
        </row>
        <row r="506">
          <cell r="A506"/>
          <cell r="B506"/>
          <cell r="C506"/>
          <cell r="D506"/>
        </row>
        <row r="507">
          <cell r="A507"/>
          <cell r="B507"/>
          <cell r="C507"/>
          <cell r="D507"/>
        </row>
        <row r="508">
          <cell r="A508"/>
          <cell r="B508"/>
          <cell r="C508"/>
          <cell r="D508"/>
        </row>
        <row r="509">
          <cell r="A509"/>
          <cell r="B509"/>
          <cell r="C509"/>
          <cell r="D509"/>
        </row>
        <row r="510">
          <cell r="A510"/>
          <cell r="B510"/>
          <cell r="C510"/>
          <cell r="D510"/>
        </row>
        <row r="511">
          <cell r="A511"/>
          <cell r="B511"/>
          <cell r="C511"/>
          <cell r="D511"/>
        </row>
        <row r="512">
          <cell r="A512"/>
          <cell r="B512"/>
          <cell r="C512"/>
          <cell r="D512"/>
        </row>
        <row r="513">
          <cell r="A513"/>
          <cell r="B513"/>
          <cell r="C513"/>
          <cell r="D513"/>
        </row>
        <row r="514">
          <cell r="A514"/>
          <cell r="B514"/>
          <cell r="C514"/>
          <cell r="D514"/>
        </row>
        <row r="515">
          <cell r="A515"/>
          <cell r="B515"/>
          <cell r="C515"/>
          <cell r="D515"/>
        </row>
        <row r="516">
          <cell r="A516"/>
          <cell r="B516"/>
          <cell r="C516"/>
          <cell r="D516"/>
        </row>
        <row r="517">
          <cell r="A517"/>
          <cell r="B517"/>
          <cell r="C517"/>
          <cell r="D517"/>
        </row>
        <row r="518">
          <cell r="A518"/>
          <cell r="B518"/>
          <cell r="C518"/>
          <cell r="D518"/>
        </row>
        <row r="519">
          <cell r="A519"/>
          <cell r="B519"/>
          <cell r="C519"/>
          <cell r="D519"/>
        </row>
        <row r="520">
          <cell r="A520"/>
          <cell r="B520"/>
          <cell r="C520"/>
          <cell r="D520"/>
        </row>
        <row r="521">
          <cell r="A521"/>
          <cell r="B521"/>
          <cell r="C521"/>
          <cell r="D521"/>
        </row>
        <row r="522">
          <cell r="A522"/>
          <cell r="B522"/>
          <cell r="C522"/>
          <cell r="D522"/>
        </row>
        <row r="523">
          <cell r="A523"/>
          <cell r="B523"/>
          <cell r="C523"/>
          <cell r="D523"/>
        </row>
        <row r="524">
          <cell r="A524"/>
          <cell r="B524"/>
          <cell r="C524"/>
          <cell r="D524"/>
        </row>
        <row r="525">
          <cell r="A525"/>
          <cell r="B525"/>
          <cell r="C525"/>
          <cell r="D525"/>
        </row>
        <row r="526">
          <cell r="A526"/>
          <cell r="B526"/>
          <cell r="C526"/>
          <cell r="D526"/>
        </row>
        <row r="527">
          <cell r="A527"/>
          <cell r="B527"/>
          <cell r="C527"/>
          <cell r="D527"/>
        </row>
        <row r="528">
          <cell r="A528"/>
          <cell r="B528"/>
          <cell r="C528"/>
          <cell r="D528"/>
        </row>
        <row r="529">
          <cell r="A529"/>
          <cell r="B529"/>
          <cell r="C529"/>
          <cell r="D529"/>
        </row>
        <row r="530">
          <cell r="A530"/>
          <cell r="B530"/>
          <cell r="C530"/>
          <cell r="D530"/>
        </row>
        <row r="531">
          <cell r="A531"/>
          <cell r="B531"/>
          <cell r="C531"/>
          <cell r="D531"/>
        </row>
        <row r="532">
          <cell r="A532"/>
          <cell r="B532"/>
          <cell r="C532"/>
          <cell r="D532"/>
        </row>
        <row r="533">
          <cell r="A533"/>
          <cell r="B533"/>
          <cell r="C533"/>
          <cell r="D533"/>
        </row>
        <row r="534">
          <cell r="A534"/>
          <cell r="B534"/>
          <cell r="C534"/>
          <cell r="D534"/>
        </row>
        <row r="535">
          <cell r="A535"/>
          <cell r="B535"/>
          <cell r="C535"/>
          <cell r="D535"/>
        </row>
        <row r="536">
          <cell r="A536"/>
          <cell r="B536"/>
          <cell r="C536"/>
          <cell r="D536"/>
        </row>
        <row r="537">
          <cell r="A537"/>
          <cell r="B537"/>
          <cell r="C537"/>
          <cell r="D537"/>
        </row>
        <row r="538">
          <cell r="A538"/>
          <cell r="B538"/>
          <cell r="C538"/>
          <cell r="D538"/>
        </row>
        <row r="539">
          <cell r="A539"/>
          <cell r="B539"/>
          <cell r="C539"/>
          <cell r="D539"/>
        </row>
        <row r="540">
          <cell r="A540"/>
          <cell r="B540"/>
          <cell r="C540"/>
          <cell r="D540"/>
        </row>
        <row r="541">
          <cell r="A541"/>
          <cell r="B541"/>
          <cell r="C541"/>
          <cell r="D541"/>
        </row>
        <row r="542">
          <cell r="A542"/>
          <cell r="B542"/>
          <cell r="C542"/>
          <cell r="D542"/>
        </row>
        <row r="543">
          <cell r="A543"/>
          <cell r="B543"/>
          <cell r="C543"/>
          <cell r="D543"/>
        </row>
        <row r="544">
          <cell r="A544"/>
          <cell r="B544"/>
          <cell r="C544"/>
          <cell r="D544"/>
        </row>
        <row r="545">
          <cell r="A545"/>
          <cell r="B545"/>
          <cell r="C545"/>
          <cell r="D545"/>
        </row>
        <row r="546">
          <cell r="A546"/>
          <cell r="B546"/>
          <cell r="C546"/>
          <cell r="D546"/>
        </row>
        <row r="547">
          <cell r="A547"/>
          <cell r="B547"/>
          <cell r="C547"/>
          <cell r="D547"/>
        </row>
        <row r="548">
          <cell r="A548"/>
          <cell r="B548"/>
          <cell r="C548"/>
          <cell r="D548"/>
        </row>
        <row r="549">
          <cell r="A549"/>
          <cell r="B549"/>
          <cell r="C549"/>
          <cell r="D549"/>
        </row>
        <row r="550">
          <cell r="A550"/>
          <cell r="B550"/>
          <cell r="C550"/>
          <cell r="D550"/>
        </row>
        <row r="551">
          <cell r="A551"/>
          <cell r="B551"/>
          <cell r="C551"/>
          <cell r="D551"/>
        </row>
        <row r="552">
          <cell r="A552"/>
          <cell r="B552"/>
          <cell r="C552"/>
          <cell r="D552"/>
        </row>
        <row r="553">
          <cell r="A553"/>
          <cell r="B553"/>
          <cell r="C553"/>
          <cell r="D553"/>
        </row>
        <row r="554">
          <cell r="A554"/>
          <cell r="B554"/>
          <cell r="C554"/>
          <cell r="D554"/>
        </row>
        <row r="555">
          <cell r="A555"/>
          <cell r="B555"/>
          <cell r="C555"/>
          <cell r="D555"/>
        </row>
        <row r="556">
          <cell r="A556"/>
          <cell r="B556"/>
          <cell r="C556"/>
          <cell r="D556"/>
        </row>
        <row r="557">
          <cell r="A557"/>
          <cell r="B557"/>
          <cell r="C557"/>
          <cell r="D557"/>
        </row>
        <row r="558">
          <cell r="A558"/>
          <cell r="B558"/>
          <cell r="C558"/>
          <cell r="D558"/>
        </row>
        <row r="559">
          <cell r="A559"/>
          <cell r="B559"/>
          <cell r="C559"/>
          <cell r="D559"/>
        </row>
        <row r="560">
          <cell r="A560"/>
          <cell r="B560"/>
          <cell r="C560"/>
          <cell r="D560"/>
        </row>
        <row r="561">
          <cell r="A561"/>
          <cell r="B561"/>
          <cell r="C561"/>
          <cell r="D561"/>
        </row>
        <row r="562">
          <cell r="A562"/>
          <cell r="B562"/>
          <cell r="C562"/>
          <cell r="D562"/>
        </row>
        <row r="563">
          <cell r="A563"/>
          <cell r="B563"/>
          <cell r="C563"/>
          <cell r="D563"/>
        </row>
        <row r="564">
          <cell r="A564"/>
          <cell r="B564"/>
          <cell r="C564"/>
          <cell r="D564"/>
        </row>
        <row r="565">
          <cell r="A565"/>
          <cell r="B565"/>
          <cell r="C565"/>
          <cell r="D565"/>
        </row>
        <row r="566">
          <cell r="A566"/>
          <cell r="B566"/>
          <cell r="C566"/>
          <cell r="D566"/>
        </row>
        <row r="567">
          <cell r="A567"/>
          <cell r="B567"/>
          <cell r="C567"/>
          <cell r="D567"/>
        </row>
        <row r="568">
          <cell r="A568"/>
          <cell r="B568"/>
          <cell r="C568"/>
          <cell r="D568"/>
        </row>
        <row r="569">
          <cell r="A569"/>
          <cell r="B569"/>
          <cell r="C569"/>
          <cell r="D569"/>
        </row>
        <row r="570">
          <cell r="A570"/>
          <cell r="B570"/>
          <cell r="C570"/>
          <cell r="D570"/>
        </row>
        <row r="571">
          <cell r="A571"/>
          <cell r="B571"/>
          <cell r="C571"/>
          <cell r="D571"/>
        </row>
        <row r="572">
          <cell r="A572"/>
          <cell r="B572"/>
          <cell r="C572"/>
          <cell r="D572"/>
        </row>
        <row r="573">
          <cell r="A573"/>
          <cell r="B573"/>
          <cell r="C573"/>
          <cell r="D573"/>
        </row>
        <row r="574">
          <cell r="A574"/>
          <cell r="B574"/>
          <cell r="C574"/>
          <cell r="D574"/>
        </row>
        <row r="575">
          <cell r="A575"/>
          <cell r="B575"/>
          <cell r="C575"/>
          <cell r="D575"/>
        </row>
        <row r="576">
          <cell r="A576"/>
          <cell r="B576"/>
          <cell r="C576"/>
          <cell r="D576"/>
        </row>
        <row r="577">
          <cell r="A577"/>
          <cell r="B577"/>
          <cell r="C577"/>
          <cell r="D577"/>
        </row>
        <row r="578">
          <cell r="A578"/>
          <cell r="B578"/>
          <cell r="C578"/>
          <cell r="D578"/>
        </row>
        <row r="579">
          <cell r="A579"/>
          <cell r="B579"/>
          <cell r="C579"/>
          <cell r="D579"/>
        </row>
        <row r="580">
          <cell r="A580"/>
          <cell r="B580"/>
          <cell r="C580"/>
          <cell r="D580"/>
        </row>
        <row r="581">
          <cell r="A581"/>
          <cell r="B581"/>
          <cell r="C581"/>
          <cell r="D581"/>
        </row>
        <row r="582">
          <cell r="A582"/>
          <cell r="B582"/>
          <cell r="C582"/>
          <cell r="D582"/>
        </row>
        <row r="583">
          <cell r="A583"/>
          <cell r="B583"/>
          <cell r="C583"/>
          <cell r="D583"/>
        </row>
        <row r="584">
          <cell r="A584"/>
          <cell r="B584"/>
          <cell r="C584"/>
          <cell r="D584"/>
        </row>
        <row r="585">
          <cell r="A585"/>
          <cell r="B585"/>
          <cell r="C585"/>
          <cell r="D585"/>
        </row>
        <row r="586">
          <cell r="A586"/>
          <cell r="B586"/>
          <cell r="C586"/>
          <cell r="D586"/>
        </row>
        <row r="587">
          <cell r="A587"/>
          <cell r="B587"/>
          <cell r="C587"/>
          <cell r="D587"/>
        </row>
        <row r="588">
          <cell r="A588"/>
          <cell r="B588"/>
          <cell r="C588"/>
          <cell r="D588"/>
        </row>
        <row r="589">
          <cell r="A589"/>
          <cell r="B589"/>
          <cell r="C589"/>
          <cell r="D589"/>
        </row>
        <row r="590">
          <cell r="A590"/>
          <cell r="B590"/>
          <cell r="C590"/>
          <cell r="D590"/>
        </row>
        <row r="591">
          <cell r="A591"/>
          <cell r="B591"/>
          <cell r="C591"/>
          <cell r="D591"/>
        </row>
        <row r="592">
          <cell r="A592"/>
          <cell r="B592"/>
          <cell r="C592"/>
          <cell r="D592"/>
        </row>
        <row r="593">
          <cell r="A593"/>
          <cell r="B593"/>
          <cell r="C593"/>
          <cell r="D593"/>
        </row>
        <row r="594">
          <cell r="A594"/>
          <cell r="B594"/>
          <cell r="C594"/>
          <cell r="D594"/>
        </row>
        <row r="595">
          <cell r="A595"/>
          <cell r="B595"/>
          <cell r="C595"/>
          <cell r="D595"/>
        </row>
        <row r="596">
          <cell r="A596"/>
          <cell r="B596"/>
          <cell r="C596"/>
          <cell r="D596"/>
        </row>
        <row r="597">
          <cell r="A597"/>
          <cell r="B597"/>
          <cell r="C597"/>
          <cell r="D597"/>
        </row>
        <row r="598">
          <cell r="A598"/>
          <cell r="B598"/>
          <cell r="C598"/>
          <cell r="D598"/>
        </row>
        <row r="599">
          <cell r="A599"/>
          <cell r="B599"/>
          <cell r="C599"/>
          <cell r="D599"/>
        </row>
        <row r="600">
          <cell r="A600"/>
          <cell r="B600"/>
          <cell r="C600"/>
          <cell r="D600"/>
        </row>
        <row r="601">
          <cell r="A601"/>
          <cell r="B601"/>
          <cell r="C601"/>
          <cell r="D601"/>
        </row>
        <row r="602">
          <cell r="A602"/>
          <cell r="B602"/>
          <cell r="C602"/>
          <cell r="D602"/>
        </row>
        <row r="603">
          <cell r="A603"/>
          <cell r="B603"/>
          <cell r="C603"/>
          <cell r="D603"/>
        </row>
        <row r="604">
          <cell r="A604"/>
          <cell r="B604"/>
          <cell r="C604"/>
          <cell r="D604"/>
        </row>
        <row r="605">
          <cell r="A605"/>
          <cell r="B605"/>
          <cell r="C605"/>
          <cell r="D605"/>
        </row>
        <row r="606">
          <cell r="A606"/>
          <cell r="B606"/>
          <cell r="C606"/>
          <cell r="D606"/>
        </row>
        <row r="607">
          <cell r="A607"/>
          <cell r="B607"/>
          <cell r="C607"/>
          <cell r="D607"/>
        </row>
        <row r="608">
          <cell r="A608"/>
          <cell r="B608"/>
          <cell r="C608"/>
          <cell r="D608"/>
        </row>
        <row r="609">
          <cell r="A609"/>
          <cell r="B609"/>
          <cell r="C609"/>
          <cell r="D609"/>
        </row>
        <row r="610">
          <cell r="A610"/>
          <cell r="B610"/>
          <cell r="C610"/>
          <cell r="D610"/>
        </row>
        <row r="611">
          <cell r="A611"/>
          <cell r="B611"/>
          <cell r="C611"/>
          <cell r="D611"/>
        </row>
        <row r="612">
          <cell r="A612"/>
          <cell r="B612"/>
          <cell r="C612"/>
          <cell r="D612"/>
        </row>
        <row r="613">
          <cell r="A613"/>
          <cell r="B613"/>
          <cell r="C613"/>
          <cell r="D613"/>
        </row>
        <row r="614">
          <cell r="A614"/>
          <cell r="B614"/>
          <cell r="C614"/>
          <cell r="D614"/>
        </row>
        <row r="615">
          <cell r="A615"/>
          <cell r="B615"/>
          <cell r="C615"/>
          <cell r="D615"/>
        </row>
        <row r="616">
          <cell r="A616"/>
          <cell r="B616"/>
          <cell r="C616"/>
          <cell r="D616"/>
        </row>
        <row r="617">
          <cell r="A617"/>
          <cell r="B617"/>
          <cell r="C617"/>
          <cell r="D617"/>
        </row>
        <row r="618">
          <cell r="A618"/>
          <cell r="B618"/>
          <cell r="C618"/>
          <cell r="D618"/>
        </row>
        <row r="619">
          <cell r="A619"/>
          <cell r="B619"/>
          <cell r="C619"/>
          <cell r="D619"/>
        </row>
        <row r="620">
          <cell r="A620"/>
          <cell r="B620"/>
          <cell r="C620"/>
          <cell r="D620"/>
        </row>
        <row r="621">
          <cell r="A621"/>
          <cell r="B621"/>
          <cell r="C621"/>
          <cell r="D621"/>
        </row>
        <row r="622">
          <cell r="A622"/>
          <cell r="B622"/>
          <cell r="C622"/>
          <cell r="D622"/>
        </row>
        <row r="623">
          <cell r="A623"/>
          <cell r="B623"/>
          <cell r="C623"/>
          <cell r="D623"/>
        </row>
        <row r="624">
          <cell r="A624"/>
          <cell r="B624"/>
          <cell r="C624"/>
          <cell r="D624"/>
        </row>
        <row r="625">
          <cell r="A625"/>
          <cell r="B625"/>
          <cell r="C625"/>
          <cell r="D625"/>
        </row>
        <row r="626">
          <cell r="A626"/>
          <cell r="B626"/>
          <cell r="C626"/>
          <cell r="D626"/>
        </row>
        <row r="627">
          <cell r="A627"/>
          <cell r="B627"/>
          <cell r="C627"/>
          <cell r="D627"/>
        </row>
        <row r="628">
          <cell r="A628"/>
          <cell r="B628"/>
          <cell r="C628"/>
          <cell r="D628"/>
        </row>
        <row r="629">
          <cell r="A629"/>
          <cell r="B629"/>
          <cell r="C629"/>
          <cell r="D629"/>
        </row>
        <row r="630">
          <cell r="A630"/>
          <cell r="B630"/>
          <cell r="C630"/>
          <cell r="D630"/>
        </row>
        <row r="631">
          <cell r="A631"/>
          <cell r="B631"/>
          <cell r="C631"/>
          <cell r="D631"/>
        </row>
        <row r="632">
          <cell r="A632"/>
          <cell r="B632"/>
          <cell r="C632"/>
          <cell r="D632"/>
        </row>
        <row r="633">
          <cell r="A633"/>
          <cell r="B633"/>
          <cell r="C633"/>
          <cell r="D633"/>
        </row>
        <row r="634">
          <cell r="A634"/>
          <cell r="B634"/>
          <cell r="C634"/>
          <cell r="D634"/>
        </row>
        <row r="635">
          <cell r="A635"/>
          <cell r="B635"/>
          <cell r="C635"/>
          <cell r="D635"/>
        </row>
        <row r="636">
          <cell r="A636"/>
          <cell r="B636"/>
          <cell r="C636"/>
          <cell r="D636"/>
        </row>
        <row r="637">
          <cell r="A637"/>
          <cell r="B637"/>
          <cell r="C637"/>
          <cell r="D637"/>
        </row>
        <row r="638">
          <cell r="A638"/>
          <cell r="B638"/>
          <cell r="C638"/>
          <cell r="D638"/>
        </row>
        <row r="639">
          <cell r="A639"/>
          <cell r="B639"/>
          <cell r="C639"/>
          <cell r="D639"/>
        </row>
        <row r="640">
          <cell r="A640"/>
          <cell r="B640"/>
          <cell r="C640"/>
          <cell r="D640"/>
        </row>
        <row r="641">
          <cell r="A641"/>
          <cell r="B641"/>
          <cell r="C641"/>
          <cell r="D641"/>
        </row>
        <row r="642">
          <cell r="A642"/>
          <cell r="B642"/>
          <cell r="C642"/>
          <cell r="D642"/>
        </row>
        <row r="643">
          <cell r="A643"/>
          <cell r="B643"/>
          <cell r="C643"/>
          <cell r="D643"/>
        </row>
        <row r="644">
          <cell r="A644"/>
          <cell r="B644"/>
          <cell r="C644"/>
          <cell r="D644"/>
        </row>
        <row r="645">
          <cell r="A645"/>
          <cell r="B645"/>
          <cell r="C645"/>
          <cell r="D645"/>
        </row>
        <row r="646">
          <cell r="A646"/>
          <cell r="B646"/>
          <cell r="C646"/>
          <cell r="D646"/>
        </row>
        <row r="647">
          <cell r="A647"/>
          <cell r="B647"/>
          <cell r="C647"/>
          <cell r="D647"/>
        </row>
        <row r="648">
          <cell r="A648"/>
          <cell r="B648"/>
          <cell r="C648"/>
          <cell r="D648"/>
        </row>
        <row r="649">
          <cell r="A649"/>
          <cell r="B649"/>
          <cell r="C649"/>
          <cell r="D649"/>
        </row>
        <row r="650">
          <cell r="A650"/>
          <cell r="B650"/>
          <cell r="C650"/>
          <cell r="D650"/>
        </row>
        <row r="651">
          <cell r="A651"/>
          <cell r="B651"/>
          <cell r="C651"/>
          <cell r="D651"/>
        </row>
        <row r="652">
          <cell r="A652"/>
          <cell r="B652"/>
          <cell r="C652"/>
          <cell r="D652"/>
        </row>
        <row r="653">
          <cell r="A653"/>
          <cell r="B653"/>
          <cell r="C653"/>
          <cell r="D653"/>
        </row>
        <row r="654">
          <cell r="A654"/>
          <cell r="B654"/>
          <cell r="C654"/>
          <cell r="D654"/>
        </row>
        <row r="655">
          <cell r="A655"/>
          <cell r="B655"/>
          <cell r="C655"/>
          <cell r="D655"/>
        </row>
        <row r="656">
          <cell r="A656"/>
          <cell r="B656"/>
          <cell r="C656"/>
          <cell r="D656"/>
        </row>
        <row r="657">
          <cell r="A657"/>
          <cell r="B657"/>
          <cell r="C657"/>
          <cell r="D657"/>
        </row>
        <row r="658">
          <cell r="A658"/>
          <cell r="B658"/>
          <cell r="C658"/>
          <cell r="D658"/>
        </row>
        <row r="659">
          <cell r="A659"/>
          <cell r="B659"/>
          <cell r="C659"/>
          <cell r="D659"/>
        </row>
        <row r="660">
          <cell r="A660"/>
          <cell r="B660"/>
          <cell r="C660"/>
          <cell r="D660"/>
        </row>
        <row r="661">
          <cell r="A661"/>
          <cell r="B661"/>
          <cell r="C661"/>
          <cell r="D661"/>
        </row>
        <row r="662">
          <cell r="A662"/>
          <cell r="B662"/>
          <cell r="C662"/>
          <cell r="D662"/>
        </row>
        <row r="663">
          <cell r="A663"/>
          <cell r="B663"/>
          <cell r="C663"/>
          <cell r="D663"/>
        </row>
        <row r="664">
          <cell r="A664"/>
          <cell r="B664"/>
          <cell r="C664"/>
          <cell r="D664"/>
        </row>
        <row r="665">
          <cell r="A665"/>
          <cell r="B665"/>
          <cell r="C665"/>
          <cell r="D665"/>
        </row>
        <row r="666">
          <cell r="A666"/>
          <cell r="B666"/>
          <cell r="C666"/>
          <cell r="D666"/>
        </row>
        <row r="667">
          <cell r="A667"/>
          <cell r="B667"/>
          <cell r="C667"/>
          <cell r="D667"/>
        </row>
        <row r="668">
          <cell r="A668"/>
          <cell r="B668"/>
          <cell r="C668"/>
          <cell r="D668"/>
        </row>
        <row r="669">
          <cell r="A669"/>
          <cell r="B669"/>
          <cell r="C669"/>
          <cell r="D669"/>
        </row>
        <row r="670">
          <cell r="A670"/>
          <cell r="B670"/>
          <cell r="C670"/>
          <cell r="D670"/>
        </row>
        <row r="671">
          <cell r="A671"/>
          <cell r="B671"/>
          <cell r="C671"/>
          <cell r="D671"/>
        </row>
        <row r="672">
          <cell r="A672"/>
          <cell r="B672"/>
          <cell r="C672"/>
          <cell r="D672"/>
        </row>
        <row r="673">
          <cell r="A673"/>
          <cell r="B673"/>
          <cell r="C673"/>
          <cell r="D673"/>
        </row>
        <row r="674">
          <cell r="A674"/>
          <cell r="B674"/>
          <cell r="C674"/>
          <cell r="D674"/>
        </row>
        <row r="675">
          <cell r="A675"/>
          <cell r="B675"/>
          <cell r="C675"/>
          <cell r="D675"/>
        </row>
        <row r="676">
          <cell r="A676"/>
          <cell r="B676"/>
          <cell r="C676"/>
          <cell r="D676"/>
        </row>
        <row r="677">
          <cell r="A677"/>
          <cell r="B677"/>
          <cell r="C677"/>
          <cell r="D677"/>
        </row>
        <row r="678">
          <cell r="A678"/>
          <cell r="B678"/>
          <cell r="C678"/>
          <cell r="D678"/>
        </row>
        <row r="679">
          <cell r="A679"/>
          <cell r="B679"/>
          <cell r="C679"/>
          <cell r="D679"/>
        </row>
        <row r="680">
          <cell r="A680"/>
          <cell r="B680"/>
          <cell r="C680"/>
          <cell r="D680"/>
        </row>
        <row r="681">
          <cell r="A681"/>
          <cell r="B681"/>
          <cell r="C681"/>
          <cell r="D681"/>
        </row>
        <row r="682">
          <cell r="A682"/>
          <cell r="B682"/>
          <cell r="C682"/>
          <cell r="D682"/>
        </row>
        <row r="683">
          <cell r="A683"/>
          <cell r="B683"/>
          <cell r="C683"/>
          <cell r="D683"/>
        </row>
        <row r="684">
          <cell r="A684"/>
          <cell r="B684"/>
          <cell r="C684"/>
          <cell r="D684"/>
        </row>
        <row r="685">
          <cell r="A685"/>
          <cell r="B685"/>
          <cell r="C685"/>
          <cell r="D685"/>
        </row>
        <row r="686">
          <cell r="A686"/>
          <cell r="B686"/>
          <cell r="C686"/>
          <cell r="D686"/>
        </row>
        <row r="687">
          <cell r="A687"/>
          <cell r="B687"/>
          <cell r="C687"/>
          <cell r="D687"/>
        </row>
        <row r="688">
          <cell r="A688"/>
          <cell r="B688"/>
          <cell r="C688"/>
          <cell r="D688"/>
        </row>
        <row r="689">
          <cell r="A689"/>
          <cell r="B689"/>
          <cell r="C689"/>
          <cell r="D689"/>
        </row>
        <row r="690">
          <cell r="A690"/>
          <cell r="B690"/>
          <cell r="C690"/>
          <cell r="D690"/>
        </row>
        <row r="691">
          <cell r="A691"/>
          <cell r="B691"/>
          <cell r="C691"/>
          <cell r="D691"/>
        </row>
        <row r="692">
          <cell r="A692"/>
          <cell r="B692"/>
          <cell r="C692"/>
          <cell r="D692"/>
        </row>
        <row r="693">
          <cell r="A693"/>
          <cell r="B693"/>
          <cell r="C693"/>
          <cell r="D693"/>
        </row>
        <row r="694">
          <cell r="A694"/>
          <cell r="B694"/>
          <cell r="C694"/>
          <cell r="D694"/>
        </row>
        <row r="695">
          <cell r="A695"/>
          <cell r="B695"/>
          <cell r="C695"/>
          <cell r="D695"/>
        </row>
        <row r="696">
          <cell r="A696"/>
          <cell r="B696"/>
          <cell r="C696"/>
          <cell r="D696"/>
        </row>
        <row r="697">
          <cell r="A697"/>
          <cell r="B697"/>
          <cell r="C697"/>
          <cell r="D697"/>
        </row>
        <row r="698">
          <cell r="A698"/>
          <cell r="B698"/>
          <cell r="C698"/>
          <cell r="D698"/>
        </row>
        <row r="699">
          <cell r="A699"/>
          <cell r="B699"/>
          <cell r="C699"/>
          <cell r="D699"/>
        </row>
        <row r="700">
          <cell r="A700"/>
          <cell r="B700"/>
          <cell r="C700"/>
          <cell r="D700"/>
        </row>
        <row r="701">
          <cell r="A701"/>
          <cell r="B701"/>
          <cell r="C701"/>
          <cell r="D701"/>
        </row>
        <row r="702">
          <cell r="A702"/>
          <cell r="B702"/>
          <cell r="C702"/>
          <cell r="D702"/>
        </row>
        <row r="703">
          <cell r="A703"/>
          <cell r="B703"/>
          <cell r="C703"/>
          <cell r="D703"/>
        </row>
        <row r="704">
          <cell r="A704"/>
          <cell r="B704"/>
          <cell r="C704"/>
          <cell r="D704"/>
        </row>
        <row r="705">
          <cell r="A705"/>
          <cell r="B705"/>
          <cell r="C705"/>
          <cell r="D705"/>
        </row>
        <row r="706">
          <cell r="A706"/>
          <cell r="B706"/>
          <cell r="C706"/>
          <cell r="D706"/>
        </row>
        <row r="707">
          <cell r="A707"/>
          <cell r="B707"/>
          <cell r="C707"/>
          <cell r="D707"/>
        </row>
        <row r="708">
          <cell r="A708"/>
          <cell r="B708"/>
          <cell r="C708"/>
          <cell r="D708"/>
        </row>
        <row r="709">
          <cell r="A709"/>
          <cell r="B709"/>
          <cell r="C709"/>
          <cell r="D709"/>
        </row>
        <row r="710">
          <cell r="A710"/>
          <cell r="B710"/>
          <cell r="C710"/>
          <cell r="D710"/>
        </row>
        <row r="711">
          <cell r="A711"/>
          <cell r="B711"/>
          <cell r="C711"/>
          <cell r="D711"/>
        </row>
        <row r="712">
          <cell r="A712"/>
          <cell r="B712"/>
          <cell r="C712"/>
          <cell r="D712"/>
        </row>
        <row r="713">
          <cell r="A713"/>
          <cell r="B713"/>
          <cell r="C713"/>
          <cell r="D713"/>
        </row>
        <row r="714">
          <cell r="A714"/>
          <cell r="B714"/>
          <cell r="C714"/>
          <cell r="D714"/>
        </row>
        <row r="715">
          <cell r="A715"/>
          <cell r="B715"/>
          <cell r="C715"/>
          <cell r="D715"/>
        </row>
        <row r="716">
          <cell r="A716"/>
          <cell r="B716"/>
          <cell r="C716"/>
          <cell r="D716"/>
        </row>
        <row r="717">
          <cell r="A717"/>
          <cell r="B717"/>
          <cell r="C717"/>
          <cell r="D717"/>
        </row>
        <row r="718">
          <cell r="A718"/>
          <cell r="B718"/>
          <cell r="C718"/>
          <cell r="D718"/>
        </row>
        <row r="719">
          <cell r="A719"/>
          <cell r="B719"/>
          <cell r="C719"/>
          <cell r="D719"/>
        </row>
        <row r="720">
          <cell r="A720"/>
          <cell r="B720"/>
          <cell r="C720"/>
          <cell r="D720"/>
        </row>
        <row r="721">
          <cell r="A721"/>
          <cell r="B721"/>
          <cell r="C721"/>
          <cell r="D721"/>
        </row>
        <row r="722">
          <cell r="A722"/>
          <cell r="B722"/>
          <cell r="C722"/>
          <cell r="D722"/>
        </row>
        <row r="723">
          <cell r="A723"/>
          <cell r="B723"/>
          <cell r="C723"/>
          <cell r="D723"/>
        </row>
        <row r="724">
          <cell r="A724"/>
          <cell r="B724"/>
          <cell r="C724"/>
          <cell r="D724"/>
        </row>
        <row r="725">
          <cell r="A725"/>
          <cell r="B725"/>
          <cell r="C725"/>
          <cell r="D725"/>
        </row>
        <row r="726">
          <cell r="A726"/>
          <cell r="B726"/>
          <cell r="C726"/>
          <cell r="D726"/>
        </row>
        <row r="727">
          <cell r="A727"/>
          <cell r="B727"/>
          <cell r="C727"/>
          <cell r="D727"/>
        </row>
        <row r="728">
          <cell r="A728"/>
          <cell r="B728"/>
          <cell r="C728"/>
          <cell r="D728"/>
        </row>
        <row r="729">
          <cell r="A729"/>
          <cell r="B729"/>
          <cell r="C729"/>
          <cell r="D729"/>
        </row>
        <row r="730">
          <cell r="A730"/>
          <cell r="B730"/>
          <cell r="C730"/>
          <cell r="D730"/>
        </row>
        <row r="731">
          <cell r="A731"/>
          <cell r="B731"/>
          <cell r="C731"/>
          <cell r="D731"/>
        </row>
        <row r="732">
          <cell r="A732"/>
          <cell r="B732"/>
          <cell r="C732"/>
          <cell r="D732"/>
        </row>
        <row r="733">
          <cell r="A733"/>
          <cell r="B733"/>
          <cell r="C733"/>
          <cell r="D733"/>
        </row>
        <row r="734">
          <cell r="A734"/>
          <cell r="B734"/>
          <cell r="C734"/>
          <cell r="D734"/>
        </row>
        <row r="735">
          <cell r="A735"/>
          <cell r="B735"/>
          <cell r="C735"/>
          <cell r="D735"/>
        </row>
        <row r="736">
          <cell r="A736"/>
          <cell r="B736"/>
          <cell r="C736"/>
          <cell r="D736"/>
        </row>
        <row r="737">
          <cell r="A737"/>
          <cell r="B737"/>
          <cell r="C737"/>
          <cell r="D737"/>
        </row>
        <row r="738">
          <cell r="A738"/>
          <cell r="B738"/>
          <cell r="C738"/>
          <cell r="D738"/>
        </row>
        <row r="739">
          <cell r="A739"/>
          <cell r="B739"/>
          <cell r="C739"/>
          <cell r="D739"/>
        </row>
        <row r="740">
          <cell r="A740"/>
          <cell r="B740"/>
          <cell r="C740"/>
          <cell r="D740"/>
        </row>
        <row r="741">
          <cell r="A741"/>
          <cell r="B741"/>
          <cell r="C741"/>
          <cell r="D741"/>
        </row>
        <row r="742">
          <cell r="A742"/>
          <cell r="B742"/>
          <cell r="C742"/>
          <cell r="D742"/>
        </row>
        <row r="743">
          <cell r="A743"/>
          <cell r="B743"/>
          <cell r="C743"/>
          <cell r="D743"/>
        </row>
        <row r="744">
          <cell r="A744"/>
          <cell r="B744"/>
          <cell r="C744"/>
          <cell r="D744"/>
        </row>
        <row r="745">
          <cell r="A745"/>
          <cell r="B745"/>
          <cell r="C745"/>
          <cell r="D745"/>
        </row>
        <row r="746">
          <cell r="A746"/>
          <cell r="B746"/>
          <cell r="C746"/>
          <cell r="D746"/>
        </row>
        <row r="747">
          <cell r="A747"/>
          <cell r="B747"/>
          <cell r="C747"/>
          <cell r="D747"/>
        </row>
        <row r="748">
          <cell r="A748"/>
          <cell r="B748"/>
          <cell r="C748"/>
          <cell r="D748"/>
        </row>
        <row r="749">
          <cell r="A749"/>
          <cell r="B749"/>
          <cell r="C749"/>
          <cell r="D749"/>
        </row>
        <row r="750">
          <cell r="A750"/>
          <cell r="B750"/>
          <cell r="C750"/>
          <cell r="D750"/>
        </row>
        <row r="751">
          <cell r="A751"/>
          <cell r="B751"/>
          <cell r="C751"/>
          <cell r="D751"/>
        </row>
        <row r="752">
          <cell r="A752"/>
          <cell r="B752"/>
          <cell r="C752"/>
          <cell r="D752"/>
        </row>
        <row r="753">
          <cell r="A753"/>
          <cell r="B753"/>
          <cell r="C753"/>
          <cell r="D753"/>
        </row>
        <row r="754">
          <cell r="A754"/>
          <cell r="B754"/>
          <cell r="C754"/>
          <cell r="D754"/>
        </row>
        <row r="755">
          <cell r="A755"/>
          <cell r="B755"/>
          <cell r="C755"/>
          <cell r="D755"/>
        </row>
        <row r="756">
          <cell r="A756"/>
          <cell r="B756"/>
          <cell r="C756"/>
          <cell r="D756"/>
        </row>
        <row r="757">
          <cell r="A757"/>
          <cell r="B757"/>
          <cell r="C757"/>
          <cell r="D757"/>
        </row>
        <row r="758">
          <cell r="A758"/>
          <cell r="B758"/>
          <cell r="C758"/>
          <cell r="D758"/>
        </row>
        <row r="759">
          <cell r="A759"/>
          <cell r="B759"/>
          <cell r="C759"/>
          <cell r="D759"/>
        </row>
        <row r="760">
          <cell r="A760"/>
          <cell r="B760"/>
          <cell r="C760"/>
          <cell r="D760"/>
        </row>
        <row r="761">
          <cell r="A761"/>
          <cell r="B761"/>
          <cell r="C761"/>
          <cell r="D761"/>
        </row>
        <row r="762">
          <cell r="A762"/>
          <cell r="B762"/>
          <cell r="C762"/>
          <cell r="D762"/>
        </row>
        <row r="763">
          <cell r="A763"/>
          <cell r="B763"/>
          <cell r="C763"/>
          <cell r="D763"/>
        </row>
        <row r="764">
          <cell r="A764"/>
          <cell r="B764"/>
          <cell r="C764"/>
          <cell r="D764"/>
        </row>
        <row r="765">
          <cell r="A765"/>
          <cell r="B765"/>
          <cell r="C765"/>
          <cell r="D765"/>
        </row>
        <row r="766">
          <cell r="A766"/>
          <cell r="B766"/>
          <cell r="C766"/>
          <cell r="D766"/>
        </row>
        <row r="767">
          <cell r="A767"/>
          <cell r="B767"/>
          <cell r="C767"/>
          <cell r="D767"/>
        </row>
        <row r="768">
          <cell r="A768"/>
          <cell r="B768"/>
          <cell r="C768"/>
          <cell r="D768"/>
        </row>
        <row r="769">
          <cell r="A769"/>
          <cell r="B769"/>
          <cell r="C769"/>
          <cell r="D769"/>
        </row>
        <row r="770">
          <cell r="A770"/>
          <cell r="B770"/>
          <cell r="C770"/>
          <cell r="D770"/>
        </row>
        <row r="771">
          <cell r="A771"/>
          <cell r="B771"/>
          <cell r="C771"/>
          <cell r="D771"/>
        </row>
        <row r="772">
          <cell r="A772"/>
          <cell r="B772"/>
          <cell r="C772"/>
          <cell r="D772"/>
        </row>
        <row r="773">
          <cell r="A773"/>
          <cell r="B773"/>
          <cell r="C773"/>
          <cell r="D773"/>
        </row>
        <row r="774">
          <cell r="A774"/>
          <cell r="B774"/>
          <cell r="C774"/>
          <cell r="D774"/>
        </row>
        <row r="775">
          <cell r="A775"/>
          <cell r="B775"/>
          <cell r="C775"/>
          <cell r="D775"/>
        </row>
        <row r="776">
          <cell r="A776"/>
          <cell r="B776"/>
          <cell r="C776"/>
          <cell r="D776"/>
        </row>
        <row r="777">
          <cell r="A777"/>
          <cell r="B777"/>
          <cell r="C777"/>
          <cell r="D777"/>
        </row>
        <row r="778">
          <cell r="A778"/>
          <cell r="B778"/>
          <cell r="C778"/>
          <cell r="D778"/>
        </row>
        <row r="779">
          <cell r="A779"/>
          <cell r="B779"/>
          <cell r="C779"/>
          <cell r="D779"/>
        </row>
        <row r="780">
          <cell r="A780"/>
          <cell r="B780"/>
          <cell r="C780"/>
          <cell r="D780"/>
        </row>
        <row r="781">
          <cell r="A781"/>
          <cell r="B781"/>
          <cell r="C781"/>
          <cell r="D781"/>
        </row>
        <row r="782">
          <cell r="A782"/>
          <cell r="B782"/>
          <cell r="C782"/>
          <cell r="D782"/>
        </row>
        <row r="783">
          <cell r="A783"/>
          <cell r="B783"/>
          <cell r="C783"/>
          <cell r="D783"/>
        </row>
        <row r="784">
          <cell r="A784"/>
          <cell r="B784"/>
          <cell r="C784"/>
          <cell r="D784"/>
        </row>
        <row r="785">
          <cell r="A785"/>
          <cell r="B785"/>
          <cell r="C785"/>
          <cell r="D785"/>
        </row>
        <row r="786">
          <cell r="A786"/>
          <cell r="B786"/>
          <cell r="C786"/>
          <cell r="D786"/>
        </row>
        <row r="787">
          <cell r="A787"/>
          <cell r="B787"/>
          <cell r="C787"/>
          <cell r="D787"/>
        </row>
        <row r="788">
          <cell r="A788"/>
          <cell r="B788"/>
          <cell r="C788"/>
          <cell r="D788"/>
        </row>
        <row r="789">
          <cell r="A789"/>
          <cell r="B789"/>
          <cell r="C789"/>
          <cell r="D789"/>
        </row>
        <row r="790">
          <cell r="A790"/>
          <cell r="B790"/>
          <cell r="C790"/>
          <cell r="D790"/>
        </row>
        <row r="791">
          <cell r="A791"/>
          <cell r="B791"/>
          <cell r="C791"/>
          <cell r="D791"/>
        </row>
        <row r="792">
          <cell r="A792"/>
          <cell r="B792"/>
          <cell r="C792"/>
          <cell r="D792"/>
        </row>
        <row r="793">
          <cell r="A793"/>
          <cell r="B793"/>
          <cell r="C793"/>
          <cell r="D793"/>
        </row>
        <row r="794">
          <cell r="A794"/>
          <cell r="B794"/>
          <cell r="C794"/>
          <cell r="D794"/>
        </row>
        <row r="795">
          <cell r="A795"/>
          <cell r="B795"/>
          <cell r="C795"/>
          <cell r="D795"/>
        </row>
        <row r="796">
          <cell r="A796"/>
          <cell r="B796"/>
          <cell r="C796"/>
          <cell r="D796"/>
        </row>
        <row r="797">
          <cell r="A797"/>
          <cell r="B797"/>
          <cell r="C797"/>
          <cell r="D797"/>
        </row>
        <row r="798">
          <cell r="A798"/>
          <cell r="B798"/>
          <cell r="C798"/>
          <cell r="D798"/>
        </row>
        <row r="799">
          <cell r="A799"/>
          <cell r="B799"/>
          <cell r="C799"/>
          <cell r="D799"/>
        </row>
        <row r="800">
          <cell r="A800"/>
          <cell r="B800"/>
          <cell r="C800"/>
          <cell r="D800"/>
        </row>
        <row r="801">
          <cell r="A801"/>
          <cell r="B801"/>
          <cell r="C801"/>
          <cell r="D801"/>
        </row>
        <row r="802">
          <cell r="A802"/>
          <cell r="B802"/>
          <cell r="C802"/>
          <cell r="D802"/>
        </row>
        <row r="803">
          <cell r="A803"/>
          <cell r="B803"/>
          <cell r="C803"/>
          <cell r="D803"/>
        </row>
        <row r="804">
          <cell r="A804"/>
          <cell r="B804"/>
          <cell r="C804"/>
          <cell r="D804"/>
        </row>
        <row r="805">
          <cell r="A805"/>
          <cell r="B805"/>
          <cell r="C805"/>
          <cell r="D805"/>
        </row>
        <row r="806">
          <cell r="A806"/>
          <cell r="B806"/>
          <cell r="C806"/>
          <cell r="D806"/>
        </row>
        <row r="807">
          <cell r="A807"/>
          <cell r="B807"/>
          <cell r="C807"/>
          <cell r="D807"/>
        </row>
        <row r="808">
          <cell r="A808"/>
          <cell r="B808"/>
          <cell r="C808"/>
          <cell r="D808"/>
        </row>
        <row r="809">
          <cell r="A809"/>
          <cell r="B809"/>
          <cell r="C809"/>
          <cell r="D809"/>
        </row>
        <row r="810">
          <cell r="A810"/>
          <cell r="B810"/>
          <cell r="C810"/>
          <cell r="D810"/>
        </row>
        <row r="811">
          <cell r="A811"/>
          <cell r="B811"/>
          <cell r="C811"/>
          <cell r="D811"/>
        </row>
        <row r="812">
          <cell r="A812"/>
          <cell r="B812"/>
          <cell r="C812"/>
          <cell r="D812"/>
        </row>
        <row r="813">
          <cell r="A813"/>
          <cell r="B813"/>
          <cell r="C813"/>
          <cell r="D813"/>
        </row>
        <row r="814">
          <cell r="A814"/>
          <cell r="B814"/>
          <cell r="C814"/>
          <cell r="D814"/>
        </row>
        <row r="815">
          <cell r="A815"/>
          <cell r="B815"/>
          <cell r="C815"/>
          <cell r="D815"/>
        </row>
        <row r="816">
          <cell r="A816"/>
          <cell r="B816"/>
          <cell r="C816"/>
          <cell r="D816"/>
        </row>
        <row r="817">
          <cell r="A817"/>
          <cell r="B817"/>
          <cell r="C817"/>
          <cell r="D817"/>
        </row>
        <row r="818">
          <cell r="A818"/>
          <cell r="B818"/>
          <cell r="C818"/>
          <cell r="D818"/>
        </row>
        <row r="819">
          <cell r="A819"/>
          <cell r="B819"/>
          <cell r="C819"/>
          <cell r="D819"/>
        </row>
        <row r="820">
          <cell r="A820"/>
          <cell r="B820"/>
          <cell r="C820"/>
          <cell r="D820"/>
        </row>
        <row r="821">
          <cell r="A821"/>
          <cell r="B821"/>
          <cell r="C821"/>
          <cell r="D821"/>
        </row>
        <row r="822">
          <cell r="A822"/>
          <cell r="B822"/>
          <cell r="C822"/>
          <cell r="D822"/>
        </row>
        <row r="823">
          <cell r="A823"/>
          <cell r="B823"/>
          <cell r="C823"/>
          <cell r="D823"/>
        </row>
        <row r="824">
          <cell r="A824"/>
          <cell r="B824"/>
          <cell r="C824"/>
          <cell r="D824"/>
        </row>
        <row r="825">
          <cell r="A825"/>
          <cell r="B825"/>
          <cell r="C825"/>
          <cell r="D825"/>
        </row>
        <row r="826">
          <cell r="A826"/>
          <cell r="B826"/>
          <cell r="C826"/>
          <cell r="D826"/>
        </row>
        <row r="827">
          <cell r="A827"/>
          <cell r="B827"/>
          <cell r="C827"/>
          <cell r="D827"/>
        </row>
        <row r="828">
          <cell r="A828"/>
          <cell r="B828"/>
          <cell r="C828"/>
          <cell r="D828"/>
        </row>
        <row r="829">
          <cell r="A829"/>
          <cell r="B829"/>
          <cell r="C829"/>
          <cell r="D829"/>
        </row>
        <row r="830">
          <cell r="A830"/>
          <cell r="B830"/>
          <cell r="C830"/>
          <cell r="D830"/>
        </row>
        <row r="831">
          <cell r="A831"/>
          <cell r="B831"/>
          <cell r="C831"/>
          <cell r="D831"/>
        </row>
        <row r="832">
          <cell r="A832"/>
          <cell r="B832"/>
          <cell r="C832"/>
          <cell r="D832"/>
        </row>
        <row r="833">
          <cell r="A833"/>
          <cell r="B833"/>
          <cell r="C833"/>
          <cell r="D833"/>
        </row>
        <row r="834">
          <cell r="A834"/>
          <cell r="B834"/>
          <cell r="C834"/>
          <cell r="D834"/>
        </row>
        <row r="835">
          <cell r="A835"/>
          <cell r="B835"/>
          <cell r="C835"/>
          <cell r="D835"/>
        </row>
        <row r="836">
          <cell r="A836"/>
          <cell r="B836"/>
          <cell r="C836"/>
          <cell r="D836"/>
        </row>
        <row r="837">
          <cell r="A837"/>
          <cell r="B837"/>
          <cell r="C837"/>
          <cell r="D837"/>
        </row>
        <row r="838">
          <cell r="A838"/>
          <cell r="B838"/>
          <cell r="C838"/>
          <cell r="D838"/>
        </row>
        <row r="839">
          <cell r="A839"/>
          <cell r="B839"/>
          <cell r="C839"/>
          <cell r="D839"/>
        </row>
        <row r="840">
          <cell r="A840"/>
          <cell r="B840"/>
          <cell r="C840"/>
          <cell r="D840"/>
        </row>
        <row r="841">
          <cell r="A841"/>
          <cell r="B841"/>
          <cell r="C841"/>
          <cell r="D841"/>
        </row>
        <row r="842">
          <cell r="A842"/>
          <cell r="B842"/>
          <cell r="C842"/>
          <cell r="D842"/>
        </row>
        <row r="843">
          <cell r="A843"/>
          <cell r="B843"/>
          <cell r="C843"/>
          <cell r="D843"/>
        </row>
        <row r="844">
          <cell r="A844"/>
          <cell r="B844"/>
          <cell r="C844"/>
          <cell r="D844"/>
        </row>
        <row r="845">
          <cell r="A845"/>
          <cell r="B845"/>
          <cell r="C845"/>
          <cell r="D845"/>
        </row>
        <row r="846">
          <cell r="A846"/>
          <cell r="B846"/>
          <cell r="C846"/>
          <cell r="D846"/>
        </row>
        <row r="847">
          <cell r="A847"/>
          <cell r="B847"/>
          <cell r="C847"/>
          <cell r="D847"/>
        </row>
        <row r="848">
          <cell r="A848"/>
          <cell r="B848"/>
          <cell r="C848"/>
          <cell r="D848"/>
        </row>
        <row r="849">
          <cell r="A849"/>
          <cell r="B849"/>
          <cell r="C849"/>
          <cell r="D849"/>
        </row>
        <row r="850">
          <cell r="A850"/>
          <cell r="B850"/>
          <cell r="C850"/>
          <cell r="D850"/>
        </row>
        <row r="851">
          <cell r="A851"/>
          <cell r="B851"/>
          <cell r="C851"/>
          <cell r="D851"/>
        </row>
        <row r="852">
          <cell r="A852"/>
          <cell r="B852"/>
          <cell r="C852"/>
          <cell r="D852"/>
        </row>
        <row r="853">
          <cell r="A853"/>
          <cell r="B853"/>
          <cell r="C853"/>
          <cell r="D853"/>
        </row>
        <row r="854">
          <cell r="A854"/>
          <cell r="B854"/>
          <cell r="C854"/>
          <cell r="D854"/>
        </row>
        <row r="855">
          <cell r="A855"/>
          <cell r="B855"/>
          <cell r="C855"/>
          <cell r="D855"/>
        </row>
        <row r="856">
          <cell r="A856"/>
          <cell r="B856"/>
          <cell r="C856"/>
          <cell r="D856"/>
        </row>
        <row r="857">
          <cell r="A857"/>
          <cell r="B857"/>
          <cell r="C857"/>
          <cell r="D857"/>
        </row>
        <row r="858">
          <cell r="A858"/>
          <cell r="B858"/>
          <cell r="C858"/>
          <cell r="D858"/>
        </row>
        <row r="859">
          <cell r="A859"/>
          <cell r="B859"/>
          <cell r="C859"/>
          <cell r="D859"/>
        </row>
        <row r="860">
          <cell r="A860"/>
          <cell r="B860"/>
          <cell r="C860"/>
          <cell r="D860"/>
        </row>
        <row r="861">
          <cell r="A861"/>
          <cell r="B861"/>
          <cell r="C861"/>
          <cell r="D861"/>
        </row>
        <row r="862">
          <cell r="A862"/>
          <cell r="B862"/>
          <cell r="C862"/>
          <cell r="D862"/>
        </row>
        <row r="863">
          <cell r="A863"/>
          <cell r="B863"/>
          <cell r="C863"/>
          <cell r="D863"/>
        </row>
        <row r="864">
          <cell r="A864"/>
          <cell r="B864"/>
          <cell r="C864"/>
          <cell r="D864"/>
        </row>
        <row r="865">
          <cell r="A865"/>
          <cell r="B865"/>
          <cell r="C865"/>
          <cell r="D865"/>
        </row>
        <row r="866">
          <cell r="A866"/>
          <cell r="B866"/>
          <cell r="C866"/>
          <cell r="D866"/>
        </row>
        <row r="867">
          <cell r="A867"/>
          <cell r="B867"/>
          <cell r="C867"/>
          <cell r="D867"/>
        </row>
        <row r="868">
          <cell r="A868"/>
          <cell r="B868"/>
          <cell r="C868"/>
          <cell r="D868"/>
        </row>
        <row r="869">
          <cell r="A869"/>
          <cell r="B869"/>
          <cell r="C869"/>
          <cell r="D869"/>
        </row>
        <row r="870">
          <cell r="A870"/>
          <cell r="B870"/>
          <cell r="C870"/>
          <cell r="D870"/>
        </row>
        <row r="871">
          <cell r="A871"/>
          <cell r="B871"/>
          <cell r="C871"/>
          <cell r="D871"/>
        </row>
        <row r="872">
          <cell r="A872"/>
          <cell r="B872"/>
          <cell r="C872"/>
          <cell r="D872"/>
        </row>
        <row r="873">
          <cell r="A873"/>
          <cell r="B873"/>
          <cell r="C873"/>
          <cell r="D873"/>
        </row>
        <row r="874">
          <cell r="A874"/>
          <cell r="B874"/>
          <cell r="C874"/>
          <cell r="D874"/>
        </row>
        <row r="875">
          <cell r="A875"/>
          <cell r="B875"/>
          <cell r="C875"/>
          <cell r="D875"/>
        </row>
        <row r="876">
          <cell r="A876"/>
          <cell r="B876"/>
          <cell r="C876"/>
          <cell r="D876"/>
        </row>
        <row r="877">
          <cell r="A877"/>
          <cell r="B877"/>
          <cell r="C877"/>
          <cell r="D877"/>
        </row>
        <row r="878">
          <cell r="A878"/>
          <cell r="B878"/>
          <cell r="C878"/>
          <cell r="D878"/>
        </row>
        <row r="879">
          <cell r="A879"/>
          <cell r="B879"/>
          <cell r="C879"/>
          <cell r="D879"/>
        </row>
        <row r="880">
          <cell r="A880"/>
          <cell r="B880"/>
          <cell r="C880"/>
          <cell r="D880"/>
        </row>
        <row r="881">
          <cell r="A881"/>
          <cell r="B881"/>
          <cell r="C881"/>
          <cell r="D881"/>
        </row>
        <row r="882">
          <cell r="A882"/>
          <cell r="B882"/>
          <cell r="C882"/>
          <cell r="D882"/>
        </row>
        <row r="883">
          <cell r="A883"/>
          <cell r="B883"/>
          <cell r="C883"/>
          <cell r="D883"/>
        </row>
        <row r="884">
          <cell r="A884"/>
          <cell r="B884"/>
          <cell r="C884"/>
          <cell r="D884"/>
        </row>
        <row r="885">
          <cell r="A885"/>
          <cell r="B885"/>
          <cell r="C885"/>
          <cell r="D885"/>
        </row>
        <row r="886">
          <cell r="A886"/>
          <cell r="B886"/>
          <cell r="C886"/>
          <cell r="D886"/>
        </row>
        <row r="887">
          <cell r="A887"/>
          <cell r="B887"/>
          <cell r="C887"/>
          <cell r="D887"/>
        </row>
        <row r="888">
          <cell r="A888"/>
          <cell r="B888"/>
          <cell r="C888"/>
          <cell r="D888"/>
        </row>
        <row r="889">
          <cell r="A889"/>
          <cell r="B889"/>
          <cell r="C889"/>
          <cell r="D889"/>
        </row>
        <row r="890">
          <cell r="A890"/>
          <cell r="B890"/>
          <cell r="C890"/>
          <cell r="D890"/>
        </row>
        <row r="891">
          <cell r="A891"/>
          <cell r="B891"/>
          <cell r="C891"/>
          <cell r="D891"/>
        </row>
        <row r="892">
          <cell r="A892"/>
          <cell r="B892"/>
          <cell r="C892"/>
          <cell r="D892"/>
        </row>
        <row r="893">
          <cell r="A893"/>
          <cell r="B893"/>
          <cell r="C893"/>
          <cell r="D893"/>
        </row>
        <row r="894">
          <cell r="A894"/>
          <cell r="B894"/>
          <cell r="C894"/>
          <cell r="D894"/>
        </row>
        <row r="895">
          <cell r="A895"/>
          <cell r="B895"/>
          <cell r="C895"/>
          <cell r="D895"/>
        </row>
        <row r="896">
          <cell r="A896"/>
          <cell r="B896"/>
          <cell r="C896"/>
          <cell r="D896"/>
        </row>
        <row r="897">
          <cell r="A897"/>
          <cell r="B897"/>
          <cell r="C897"/>
          <cell r="D897"/>
        </row>
        <row r="898">
          <cell r="A898"/>
          <cell r="B898"/>
          <cell r="C898"/>
          <cell r="D898"/>
        </row>
        <row r="899">
          <cell r="A899"/>
          <cell r="B899"/>
          <cell r="C899"/>
          <cell r="D899"/>
        </row>
        <row r="900">
          <cell r="A900"/>
          <cell r="B900"/>
          <cell r="C900"/>
          <cell r="D900"/>
        </row>
        <row r="901">
          <cell r="A901"/>
          <cell r="B901"/>
          <cell r="C901"/>
          <cell r="D901"/>
        </row>
        <row r="902">
          <cell r="A902"/>
          <cell r="B902"/>
          <cell r="C902"/>
          <cell r="D902"/>
        </row>
        <row r="903">
          <cell r="A903"/>
          <cell r="B903"/>
          <cell r="C903"/>
          <cell r="D903"/>
        </row>
        <row r="904">
          <cell r="A904"/>
          <cell r="B904"/>
          <cell r="C904"/>
          <cell r="D904"/>
        </row>
        <row r="905">
          <cell r="A905"/>
          <cell r="B905"/>
          <cell r="C905"/>
          <cell r="D905"/>
        </row>
        <row r="906">
          <cell r="A906"/>
          <cell r="B906"/>
          <cell r="C906"/>
          <cell r="D906"/>
        </row>
        <row r="907">
          <cell r="A907"/>
          <cell r="B907"/>
          <cell r="C907"/>
          <cell r="D907"/>
        </row>
        <row r="908">
          <cell r="A908"/>
          <cell r="B908"/>
          <cell r="C908"/>
          <cell r="D908"/>
        </row>
        <row r="909">
          <cell r="A909"/>
          <cell r="B909"/>
          <cell r="C909"/>
          <cell r="D909"/>
        </row>
        <row r="910">
          <cell r="A910"/>
          <cell r="B910"/>
          <cell r="C910"/>
          <cell r="D910"/>
        </row>
        <row r="911">
          <cell r="A911"/>
          <cell r="B911"/>
          <cell r="C911"/>
          <cell r="D911"/>
        </row>
        <row r="912">
          <cell r="A912"/>
          <cell r="B912"/>
          <cell r="C912"/>
          <cell r="D912"/>
        </row>
        <row r="913">
          <cell r="A913"/>
          <cell r="B913"/>
          <cell r="C913"/>
          <cell r="D913"/>
        </row>
        <row r="914">
          <cell r="A914"/>
          <cell r="B914"/>
          <cell r="C914"/>
          <cell r="D914"/>
        </row>
        <row r="915">
          <cell r="A915"/>
          <cell r="B915"/>
          <cell r="C915"/>
          <cell r="D915"/>
        </row>
        <row r="916">
          <cell r="A916"/>
          <cell r="B916"/>
          <cell r="C916"/>
          <cell r="D916"/>
        </row>
        <row r="917">
          <cell r="A917"/>
          <cell r="B917"/>
          <cell r="C917"/>
          <cell r="D917"/>
        </row>
        <row r="918">
          <cell r="A918"/>
          <cell r="B918"/>
          <cell r="C918"/>
          <cell r="D918"/>
        </row>
        <row r="919">
          <cell r="A919"/>
          <cell r="B919"/>
          <cell r="C919"/>
          <cell r="D919"/>
        </row>
        <row r="920">
          <cell r="A920"/>
          <cell r="B920"/>
          <cell r="C920"/>
          <cell r="D920"/>
        </row>
        <row r="921">
          <cell r="A921"/>
          <cell r="B921"/>
          <cell r="C921"/>
          <cell r="D921"/>
        </row>
        <row r="922">
          <cell r="A922"/>
          <cell r="B922"/>
          <cell r="C922"/>
          <cell r="D922"/>
        </row>
        <row r="923">
          <cell r="A923"/>
          <cell r="B923"/>
          <cell r="C923"/>
          <cell r="D923"/>
        </row>
        <row r="924">
          <cell r="A924"/>
          <cell r="B924"/>
          <cell r="C924"/>
          <cell r="D924"/>
        </row>
        <row r="925">
          <cell r="A925"/>
          <cell r="B925"/>
          <cell r="C925"/>
          <cell r="D925"/>
        </row>
        <row r="926">
          <cell r="A926"/>
          <cell r="B926"/>
          <cell r="C926"/>
          <cell r="D926"/>
        </row>
        <row r="927">
          <cell r="A927"/>
          <cell r="B927"/>
          <cell r="C927"/>
          <cell r="D927"/>
        </row>
        <row r="928">
          <cell r="A928"/>
          <cell r="B928"/>
          <cell r="C928"/>
          <cell r="D928"/>
        </row>
        <row r="929">
          <cell r="A929"/>
          <cell r="B929"/>
          <cell r="C929"/>
          <cell r="D929"/>
        </row>
        <row r="930">
          <cell r="A930"/>
          <cell r="B930"/>
          <cell r="C930"/>
          <cell r="D930"/>
        </row>
        <row r="931">
          <cell r="A931"/>
          <cell r="B931"/>
          <cell r="C931"/>
          <cell r="D931"/>
        </row>
        <row r="932">
          <cell r="A932"/>
          <cell r="B932"/>
          <cell r="C932"/>
          <cell r="D932"/>
        </row>
        <row r="933">
          <cell r="A933"/>
          <cell r="B933"/>
          <cell r="C933"/>
          <cell r="D933"/>
        </row>
        <row r="934">
          <cell r="A934"/>
          <cell r="B934"/>
          <cell r="C934"/>
          <cell r="D934"/>
        </row>
        <row r="935">
          <cell r="A935"/>
          <cell r="B935"/>
          <cell r="C935"/>
          <cell r="D935"/>
        </row>
        <row r="936">
          <cell r="A936"/>
          <cell r="B936"/>
          <cell r="C936"/>
          <cell r="D936"/>
        </row>
        <row r="937">
          <cell r="A937"/>
          <cell r="B937"/>
          <cell r="C937"/>
          <cell r="D937"/>
        </row>
        <row r="938">
          <cell r="A938"/>
          <cell r="B938"/>
          <cell r="C938"/>
          <cell r="D938"/>
        </row>
        <row r="939">
          <cell r="A939"/>
          <cell r="B939"/>
          <cell r="C939"/>
          <cell r="D939"/>
        </row>
        <row r="940">
          <cell r="A940"/>
          <cell r="B940"/>
          <cell r="C940"/>
          <cell r="D940"/>
        </row>
        <row r="941">
          <cell r="A941"/>
          <cell r="B941"/>
          <cell r="C941"/>
          <cell r="D941"/>
        </row>
        <row r="942">
          <cell r="A942"/>
          <cell r="B942"/>
          <cell r="C942"/>
          <cell r="D942"/>
        </row>
        <row r="943">
          <cell r="A943"/>
          <cell r="B943"/>
          <cell r="C943"/>
          <cell r="D943"/>
        </row>
        <row r="944">
          <cell r="A944"/>
          <cell r="B944"/>
          <cell r="C944"/>
          <cell r="D944"/>
        </row>
        <row r="945">
          <cell r="A945"/>
          <cell r="B945"/>
          <cell r="C945"/>
          <cell r="D945"/>
        </row>
        <row r="946">
          <cell r="A946"/>
          <cell r="B946"/>
          <cell r="C946"/>
          <cell r="D946"/>
        </row>
        <row r="947">
          <cell r="A947"/>
          <cell r="B947"/>
          <cell r="C947"/>
          <cell r="D947"/>
        </row>
        <row r="948">
          <cell r="A948"/>
          <cell r="B948"/>
          <cell r="C948"/>
          <cell r="D948"/>
        </row>
        <row r="949">
          <cell r="A949"/>
          <cell r="B949"/>
          <cell r="C949"/>
          <cell r="D949"/>
        </row>
        <row r="950">
          <cell r="A950"/>
          <cell r="B950"/>
          <cell r="C950"/>
          <cell r="D950"/>
        </row>
        <row r="951">
          <cell r="A951"/>
          <cell r="B951"/>
          <cell r="C951"/>
          <cell r="D951"/>
        </row>
        <row r="952">
          <cell r="A952"/>
          <cell r="B952"/>
          <cell r="C952"/>
          <cell r="D952"/>
        </row>
        <row r="953">
          <cell r="A953"/>
          <cell r="B953"/>
          <cell r="C953"/>
          <cell r="D953"/>
        </row>
        <row r="954">
          <cell r="A954"/>
          <cell r="B954"/>
          <cell r="C954"/>
          <cell r="D954"/>
        </row>
        <row r="955">
          <cell r="A955"/>
          <cell r="B955"/>
          <cell r="C955"/>
          <cell r="D955"/>
        </row>
        <row r="956">
          <cell r="A956"/>
          <cell r="B956"/>
          <cell r="C956"/>
          <cell r="D956"/>
        </row>
        <row r="957">
          <cell r="A957"/>
          <cell r="B957"/>
          <cell r="C957"/>
          <cell r="D957"/>
        </row>
        <row r="958">
          <cell r="A958"/>
          <cell r="B958"/>
          <cell r="C958"/>
          <cell r="D958"/>
        </row>
        <row r="959">
          <cell r="A959"/>
          <cell r="B959"/>
          <cell r="C959"/>
          <cell r="D959"/>
        </row>
        <row r="960">
          <cell r="A960"/>
          <cell r="B960"/>
          <cell r="C960"/>
          <cell r="D960"/>
        </row>
        <row r="961">
          <cell r="A961"/>
          <cell r="B961"/>
          <cell r="C961"/>
          <cell r="D961"/>
        </row>
        <row r="962">
          <cell r="A962"/>
          <cell r="B962"/>
          <cell r="C962"/>
          <cell r="D962"/>
        </row>
        <row r="963">
          <cell r="A963"/>
          <cell r="B963"/>
          <cell r="C963"/>
          <cell r="D963"/>
        </row>
        <row r="964">
          <cell r="A964"/>
          <cell r="B964"/>
          <cell r="C964"/>
          <cell r="D964"/>
        </row>
        <row r="965">
          <cell r="A965"/>
          <cell r="B965"/>
          <cell r="C965"/>
          <cell r="D965"/>
        </row>
        <row r="966">
          <cell r="A966"/>
          <cell r="B966"/>
          <cell r="C966"/>
          <cell r="D966"/>
        </row>
        <row r="967">
          <cell r="A967"/>
          <cell r="B967"/>
          <cell r="C967"/>
          <cell r="D967"/>
        </row>
        <row r="968">
          <cell r="A968"/>
          <cell r="B968"/>
          <cell r="C968"/>
          <cell r="D968"/>
        </row>
        <row r="969">
          <cell r="A969"/>
          <cell r="B969"/>
          <cell r="C969"/>
          <cell r="D969"/>
        </row>
        <row r="970">
          <cell r="A970"/>
          <cell r="B970"/>
          <cell r="C970"/>
          <cell r="D970"/>
        </row>
        <row r="971">
          <cell r="A971"/>
          <cell r="B971"/>
          <cell r="C971"/>
          <cell r="D971"/>
        </row>
        <row r="972">
          <cell r="A972"/>
          <cell r="B972"/>
          <cell r="C972"/>
          <cell r="D972"/>
        </row>
        <row r="973">
          <cell r="A973"/>
          <cell r="B973"/>
          <cell r="C973"/>
          <cell r="D973"/>
        </row>
        <row r="974">
          <cell r="A974"/>
          <cell r="B974"/>
          <cell r="C974"/>
          <cell r="D974"/>
        </row>
        <row r="975">
          <cell r="A975"/>
          <cell r="B975"/>
          <cell r="C975"/>
          <cell r="D975"/>
        </row>
        <row r="976">
          <cell r="A976"/>
          <cell r="B976"/>
          <cell r="C976"/>
          <cell r="D976"/>
        </row>
        <row r="977">
          <cell r="A977"/>
          <cell r="B977"/>
          <cell r="C977"/>
          <cell r="D977"/>
        </row>
        <row r="978">
          <cell r="A978"/>
          <cell r="B978"/>
          <cell r="C978"/>
          <cell r="D978"/>
        </row>
        <row r="979">
          <cell r="A979"/>
          <cell r="B979"/>
          <cell r="C979"/>
          <cell r="D979"/>
        </row>
        <row r="980">
          <cell r="A980"/>
          <cell r="B980"/>
          <cell r="C980"/>
          <cell r="D980"/>
        </row>
        <row r="981">
          <cell r="A981"/>
          <cell r="B981"/>
          <cell r="C981"/>
          <cell r="D981"/>
        </row>
        <row r="982">
          <cell r="A982"/>
          <cell r="B982"/>
          <cell r="C982"/>
          <cell r="D982"/>
        </row>
        <row r="983">
          <cell r="A983"/>
          <cell r="B983"/>
          <cell r="C983"/>
          <cell r="D983"/>
        </row>
        <row r="984">
          <cell r="A984"/>
          <cell r="B984"/>
          <cell r="C984"/>
          <cell r="D984"/>
        </row>
        <row r="985">
          <cell r="A985"/>
          <cell r="B985"/>
          <cell r="C985"/>
          <cell r="D985"/>
        </row>
        <row r="986">
          <cell r="A986"/>
          <cell r="B986"/>
          <cell r="C986"/>
          <cell r="D986"/>
        </row>
        <row r="987">
          <cell r="A987"/>
          <cell r="B987"/>
          <cell r="C987"/>
          <cell r="D987"/>
        </row>
        <row r="988">
          <cell r="A988"/>
          <cell r="B988"/>
          <cell r="C988"/>
          <cell r="D988"/>
        </row>
        <row r="989">
          <cell r="A989"/>
          <cell r="B989"/>
          <cell r="C989"/>
          <cell r="D989"/>
        </row>
        <row r="990">
          <cell r="A990"/>
          <cell r="B990"/>
          <cell r="C990"/>
          <cell r="D990"/>
        </row>
        <row r="991">
          <cell r="A991"/>
          <cell r="B991"/>
          <cell r="C991"/>
          <cell r="D991"/>
        </row>
        <row r="992">
          <cell r="A992"/>
          <cell r="B992"/>
          <cell r="C992"/>
          <cell r="D992"/>
        </row>
        <row r="993">
          <cell r="A993"/>
          <cell r="B993"/>
          <cell r="C993"/>
          <cell r="D993"/>
        </row>
        <row r="994">
          <cell r="A994"/>
          <cell r="B994"/>
          <cell r="C994"/>
          <cell r="D994"/>
        </row>
        <row r="995">
          <cell r="A995"/>
          <cell r="B995"/>
          <cell r="C995"/>
          <cell r="D995"/>
        </row>
        <row r="996">
          <cell r="A996"/>
          <cell r="B996"/>
          <cell r="C996"/>
          <cell r="D996"/>
        </row>
        <row r="997">
          <cell r="A997"/>
          <cell r="B997"/>
          <cell r="C997"/>
          <cell r="D997"/>
        </row>
        <row r="998">
          <cell r="A998"/>
          <cell r="B998"/>
          <cell r="C998"/>
          <cell r="D998"/>
        </row>
        <row r="999">
          <cell r="A999"/>
          <cell r="B999"/>
          <cell r="C999"/>
          <cell r="D999"/>
        </row>
        <row r="1000">
          <cell r="A1000"/>
          <cell r="B1000"/>
          <cell r="C1000"/>
          <cell r="D1000"/>
        </row>
        <row r="1001">
          <cell r="A1001"/>
          <cell r="B1001"/>
          <cell r="C1001"/>
          <cell r="D1001"/>
        </row>
        <row r="1002">
          <cell r="A1002"/>
          <cell r="B1002"/>
          <cell r="C1002"/>
          <cell r="D1002"/>
        </row>
        <row r="1003">
          <cell r="A1003"/>
          <cell r="B1003"/>
          <cell r="C1003"/>
          <cell r="D1003"/>
        </row>
        <row r="1004">
          <cell r="A1004"/>
          <cell r="B1004"/>
          <cell r="C1004"/>
          <cell r="D1004"/>
        </row>
        <row r="1005">
          <cell r="A1005"/>
          <cell r="B1005"/>
          <cell r="C1005"/>
          <cell r="D1005"/>
        </row>
        <row r="1006">
          <cell r="A1006"/>
          <cell r="B1006"/>
          <cell r="C1006"/>
          <cell r="D1006"/>
        </row>
        <row r="1007">
          <cell r="A1007"/>
          <cell r="B1007"/>
          <cell r="C1007"/>
          <cell r="D1007"/>
        </row>
        <row r="1008">
          <cell r="A1008"/>
          <cell r="B1008"/>
          <cell r="C1008"/>
          <cell r="D1008"/>
        </row>
        <row r="1009">
          <cell r="A1009"/>
          <cell r="B1009"/>
          <cell r="C1009"/>
          <cell r="D1009"/>
        </row>
        <row r="1010">
          <cell r="A1010"/>
          <cell r="B1010"/>
          <cell r="C1010"/>
          <cell r="D1010"/>
        </row>
        <row r="1011">
          <cell r="A1011"/>
          <cell r="B1011"/>
          <cell r="C1011"/>
          <cell r="D1011"/>
        </row>
        <row r="1012">
          <cell r="A1012"/>
          <cell r="B1012"/>
          <cell r="C1012"/>
          <cell r="D1012"/>
        </row>
        <row r="1013">
          <cell r="A1013"/>
          <cell r="B1013"/>
          <cell r="C1013"/>
          <cell r="D1013"/>
        </row>
        <row r="1014">
          <cell r="A1014"/>
          <cell r="B1014"/>
          <cell r="C1014"/>
          <cell r="D1014"/>
        </row>
        <row r="1015">
          <cell r="A1015"/>
          <cell r="B1015"/>
          <cell r="C1015"/>
          <cell r="D1015"/>
        </row>
        <row r="1016">
          <cell r="A1016"/>
          <cell r="B1016"/>
          <cell r="C1016"/>
          <cell r="D1016"/>
        </row>
        <row r="1017">
          <cell r="A1017"/>
          <cell r="B1017"/>
          <cell r="C1017"/>
          <cell r="D1017"/>
        </row>
        <row r="1018">
          <cell r="A1018"/>
          <cell r="B1018"/>
          <cell r="C1018"/>
          <cell r="D1018"/>
        </row>
        <row r="1019">
          <cell r="A1019"/>
          <cell r="B1019"/>
          <cell r="C1019"/>
          <cell r="D1019"/>
        </row>
        <row r="1020">
          <cell r="A1020"/>
          <cell r="B1020"/>
          <cell r="C1020"/>
          <cell r="D1020"/>
        </row>
        <row r="1021">
          <cell r="A1021"/>
          <cell r="B1021"/>
          <cell r="C1021"/>
          <cell r="D1021"/>
        </row>
        <row r="1022">
          <cell r="A1022"/>
          <cell r="B1022"/>
          <cell r="C1022"/>
          <cell r="D1022"/>
        </row>
        <row r="1023">
          <cell r="A1023"/>
          <cell r="B1023"/>
          <cell r="C1023"/>
          <cell r="D1023"/>
        </row>
        <row r="1024">
          <cell r="A1024"/>
          <cell r="B1024"/>
          <cell r="C1024"/>
          <cell r="D1024"/>
        </row>
        <row r="1025">
          <cell r="A1025"/>
          <cell r="B1025"/>
          <cell r="C1025"/>
          <cell r="D1025"/>
        </row>
        <row r="1026">
          <cell r="A1026"/>
          <cell r="B1026"/>
          <cell r="C1026"/>
          <cell r="D1026"/>
        </row>
        <row r="1027">
          <cell r="A1027"/>
          <cell r="B1027"/>
          <cell r="C1027"/>
          <cell r="D1027"/>
        </row>
        <row r="1028">
          <cell r="A1028"/>
          <cell r="B1028"/>
          <cell r="C1028"/>
          <cell r="D1028"/>
        </row>
        <row r="1029">
          <cell r="A1029"/>
          <cell r="B1029"/>
          <cell r="C1029"/>
          <cell r="D1029"/>
        </row>
        <row r="1030">
          <cell r="A1030"/>
          <cell r="B1030"/>
          <cell r="C1030"/>
          <cell r="D1030"/>
        </row>
        <row r="1031">
          <cell r="A1031"/>
          <cell r="B1031"/>
          <cell r="C1031"/>
          <cell r="D1031"/>
        </row>
        <row r="1032">
          <cell r="A1032"/>
          <cell r="B1032"/>
          <cell r="C1032"/>
          <cell r="D1032"/>
        </row>
        <row r="1033">
          <cell r="A1033"/>
          <cell r="B1033"/>
          <cell r="C1033"/>
          <cell r="D1033"/>
        </row>
        <row r="1034">
          <cell r="A1034"/>
          <cell r="B1034"/>
          <cell r="C1034"/>
          <cell r="D1034"/>
        </row>
        <row r="1035">
          <cell r="A1035"/>
          <cell r="B1035"/>
          <cell r="C1035"/>
          <cell r="D1035"/>
        </row>
        <row r="1036">
          <cell r="A1036"/>
          <cell r="B1036"/>
          <cell r="C1036"/>
          <cell r="D1036"/>
        </row>
        <row r="1037">
          <cell r="A1037"/>
          <cell r="B1037"/>
          <cell r="C1037"/>
          <cell r="D1037"/>
        </row>
        <row r="1038">
          <cell r="A1038"/>
          <cell r="B1038"/>
          <cell r="C1038"/>
          <cell r="D1038"/>
        </row>
        <row r="1039">
          <cell r="A1039"/>
          <cell r="B1039"/>
          <cell r="C1039"/>
          <cell r="D1039"/>
        </row>
        <row r="1040">
          <cell r="A1040"/>
          <cell r="B1040"/>
          <cell r="C1040"/>
          <cell r="D1040"/>
        </row>
        <row r="1041">
          <cell r="A1041"/>
          <cell r="B1041"/>
          <cell r="C1041"/>
          <cell r="D1041"/>
        </row>
        <row r="1042">
          <cell r="A1042"/>
          <cell r="B1042"/>
          <cell r="C1042"/>
          <cell r="D1042"/>
        </row>
        <row r="1043">
          <cell r="A1043"/>
          <cell r="B1043"/>
          <cell r="C1043"/>
          <cell r="D1043"/>
        </row>
        <row r="1044">
          <cell r="A1044"/>
          <cell r="B1044"/>
          <cell r="C1044"/>
          <cell r="D1044"/>
        </row>
        <row r="1045">
          <cell r="A1045"/>
          <cell r="B1045"/>
          <cell r="C1045"/>
          <cell r="D1045"/>
        </row>
        <row r="1046">
          <cell r="A1046"/>
          <cell r="B1046"/>
          <cell r="C1046"/>
          <cell r="D1046"/>
        </row>
        <row r="1047">
          <cell r="A1047"/>
          <cell r="B1047"/>
          <cell r="C1047"/>
          <cell r="D1047"/>
        </row>
        <row r="1048">
          <cell r="A1048"/>
          <cell r="B1048"/>
          <cell r="C1048"/>
          <cell r="D1048"/>
        </row>
        <row r="1049">
          <cell r="A1049"/>
          <cell r="B1049"/>
          <cell r="C1049"/>
          <cell r="D1049"/>
        </row>
        <row r="1050">
          <cell r="A1050"/>
          <cell r="B1050"/>
          <cell r="C1050"/>
          <cell r="D1050"/>
        </row>
        <row r="1051">
          <cell r="A1051"/>
          <cell r="B1051"/>
          <cell r="C1051"/>
          <cell r="D1051"/>
        </row>
        <row r="1052">
          <cell r="A1052"/>
          <cell r="B1052"/>
          <cell r="C1052"/>
          <cell r="D1052"/>
        </row>
        <row r="1053">
          <cell r="A1053"/>
          <cell r="B1053"/>
          <cell r="C1053"/>
          <cell r="D1053"/>
        </row>
        <row r="1054">
          <cell r="A1054"/>
          <cell r="B1054"/>
          <cell r="C1054"/>
          <cell r="D1054"/>
        </row>
        <row r="1055">
          <cell r="A1055"/>
          <cell r="B1055"/>
          <cell r="C1055"/>
          <cell r="D1055"/>
        </row>
        <row r="1056">
          <cell r="A1056"/>
          <cell r="B1056"/>
          <cell r="C1056"/>
          <cell r="D1056"/>
        </row>
        <row r="1057">
          <cell r="A1057"/>
          <cell r="B1057"/>
          <cell r="C1057"/>
          <cell r="D1057"/>
        </row>
        <row r="1058">
          <cell r="A1058"/>
          <cell r="B1058"/>
          <cell r="C1058"/>
          <cell r="D1058"/>
        </row>
        <row r="1059">
          <cell r="A1059"/>
          <cell r="B1059"/>
          <cell r="C1059"/>
          <cell r="D1059"/>
        </row>
        <row r="1060">
          <cell r="A1060"/>
          <cell r="B1060"/>
          <cell r="C1060"/>
          <cell r="D1060"/>
        </row>
        <row r="1061">
          <cell r="A1061"/>
          <cell r="B1061"/>
          <cell r="C1061"/>
          <cell r="D1061"/>
        </row>
        <row r="1062">
          <cell r="A1062"/>
          <cell r="B1062"/>
          <cell r="C1062"/>
          <cell r="D1062"/>
        </row>
        <row r="1063">
          <cell r="A1063"/>
          <cell r="B1063"/>
          <cell r="C1063"/>
          <cell r="D1063"/>
        </row>
        <row r="1064">
          <cell r="A1064"/>
          <cell r="B1064"/>
          <cell r="C1064"/>
          <cell r="D1064"/>
        </row>
        <row r="1065">
          <cell r="A1065"/>
          <cell r="B1065"/>
          <cell r="C1065"/>
          <cell r="D1065"/>
        </row>
        <row r="1066">
          <cell r="A1066"/>
          <cell r="B1066"/>
          <cell r="C1066"/>
          <cell r="D1066"/>
        </row>
        <row r="1067">
          <cell r="A1067"/>
          <cell r="B1067"/>
          <cell r="C1067"/>
          <cell r="D1067"/>
        </row>
        <row r="1068">
          <cell r="A1068"/>
          <cell r="B1068"/>
          <cell r="C1068"/>
          <cell r="D1068"/>
        </row>
        <row r="1069">
          <cell r="A1069"/>
          <cell r="B1069"/>
          <cell r="C1069"/>
          <cell r="D1069"/>
        </row>
        <row r="1070">
          <cell r="A1070"/>
          <cell r="B1070"/>
          <cell r="C1070"/>
          <cell r="D1070"/>
        </row>
        <row r="1071">
          <cell r="A1071"/>
          <cell r="B1071"/>
          <cell r="C1071"/>
          <cell r="D1071"/>
        </row>
        <row r="1072">
          <cell r="A1072"/>
          <cell r="B1072"/>
          <cell r="C1072"/>
          <cell r="D1072"/>
        </row>
        <row r="1073">
          <cell r="A1073"/>
          <cell r="B1073"/>
          <cell r="C1073"/>
          <cell r="D1073"/>
        </row>
        <row r="1074">
          <cell r="A1074"/>
          <cell r="B1074"/>
          <cell r="C1074"/>
          <cell r="D1074"/>
        </row>
        <row r="1075">
          <cell r="A1075"/>
          <cell r="B1075"/>
          <cell r="C1075"/>
          <cell r="D1075"/>
        </row>
        <row r="1076">
          <cell r="A1076"/>
          <cell r="B1076"/>
          <cell r="C1076"/>
          <cell r="D1076"/>
        </row>
        <row r="1077">
          <cell r="A1077"/>
          <cell r="B1077"/>
          <cell r="C1077"/>
          <cell r="D1077"/>
        </row>
        <row r="1078">
          <cell r="A1078"/>
          <cell r="B1078"/>
          <cell r="C1078"/>
          <cell r="D1078"/>
        </row>
        <row r="1079">
          <cell r="A1079"/>
          <cell r="B1079"/>
          <cell r="C1079"/>
          <cell r="D1079"/>
        </row>
        <row r="1080">
          <cell r="A1080"/>
          <cell r="B1080"/>
          <cell r="C1080"/>
          <cell r="D1080"/>
        </row>
        <row r="1081">
          <cell r="A1081"/>
          <cell r="B1081"/>
          <cell r="C1081"/>
          <cell r="D1081"/>
        </row>
        <row r="1082">
          <cell r="A1082"/>
          <cell r="B1082"/>
          <cell r="C1082"/>
          <cell r="D1082"/>
        </row>
        <row r="1083">
          <cell r="A1083"/>
          <cell r="B1083"/>
          <cell r="C1083"/>
          <cell r="D1083"/>
        </row>
        <row r="1084">
          <cell r="A1084"/>
          <cell r="B1084"/>
          <cell r="C1084"/>
          <cell r="D1084"/>
        </row>
        <row r="1085">
          <cell r="A1085"/>
          <cell r="B1085"/>
          <cell r="C1085"/>
          <cell r="D1085"/>
        </row>
        <row r="1086">
          <cell r="A1086"/>
          <cell r="B1086"/>
          <cell r="C1086"/>
          <cell r="D1086"/>
        </row>
        <row r="1087">
          <cell r="A1087"/>
          <cell r="B1087"/>
          <cell r="C1087"/>
          <cell r="D1087"/>
        </row>
        <row r="1088">
          <cell r="A1088"/>
          <cell r="B1088"/>
          <cell r="C1088"/>
          <cell r="D1088"/>
        </row>
        <row r="1089">
          <cell r="A1089"/>
          <cell r="B1089"/>
          <cell r="C1089"/>
          <cell r="D1089"/>
        </row>
        <row r="1090">
          <cell r="A1090"/>
          <cell r="B1090"/>
          <cell r="C1090"/>
          <cell r="D1090"/>
        </row>
        <row r="1091">
          <cell r="A1091"/>
          <cell r="B1091"/>
          <cell r="C1091"/>
          <cell r="D1091"/>
        </row>
        <row r="1092">
          <cell r="A1092"/>
          <cell r="B1092"/>
          <cell r="C1092"/>
          <cell r="D1092"/>
        </row>
        <row r="1093">
          <cell r="A1093"/>
          <cell r="B1093"/>
          <cell r="C1093"/>
          <cell r="D1093"/>
        </row>
        <row r="1094">
          <cell r="A1094"/>
          <cell r="B1094"/>
          <cell r="C1094"/>
          <cell r="D1094"/>
        </row>
        <row r="1095">
          <cell r="A1095"/>
          <cell r="B1095"/>
          <cell r="C1095"/>
          <cell r="D1095"/>
        </row>
        <row r="1096">
          <cell r="A1096"/>
          <cell r="B1096"/>
          <cell r="C1096"/>
          <cell r="D1096"/>
        </row>
        <row r="1097">
          <cell r="A1097"/>
          <cell r="B1097"/>
          <cell r="C1097"/>
          <cell r="D1097"/>
        </row>
        <row r="1098">
          <cell r="A1098"/>
          <cell r="B1098"/>
          <cell r="C1098"/>
          <cell r="D1098"/>
        </row>
        <row r="1099">
          <cell r="A1099"/>
          <cell r="B1099"/>
          <cell r="C1099"/>
          <cell r="D1099"/>
        </row>
        <row r="1100">
          <cell r="A1100"/>
          <cell r="B1100"/>
          <cell r="C1100"/>
          <cell r="D1100"/>
        </row>
        <row r="1101">
          <cell r="A1101"/>
          <cell r="B1101"/>
          <cell r="C1101"/>
          <cell r="D1101"/>
        </row>
        <row r="1102">
          <cell r="A1102"/>
          <cell r="B1102"/>
          <cell r="C1102"/>
          <cell r="D1102"/>
        </row>
        <row r="1103">
          <cell r="A1103"/>
          <cell r="B1103"/>
          <cell r="C1103"/>
          <cell r="D1103"/>
        </row>
        <row r="1104">
          <cell r="A1104"/>
          <cell r="B1104"/>
          <cell r="C1104"/>
          <cell r="D1104"/>
        </row>
        <row r="1105">
          <cell r="A1105"/>
          <cell r="B1105"/>
          <cell r="C1105"/>
          <cell r="D1105"/>
        </row>
        <row r="1106">
          <cell r="A1106"/>
          <cell r="B1106"/>
          <cell r="C1106"/>
          <cell r="D1106"/>
        </row>
        <row r="1107">
          <cell r="A1107"/>
          <cell r="B1107"/>
          <cell r="C1107"/>
          <cell r="D1107"/>
        </row>
        <row r="1108">
          <cell r="A1108"/>
          <cell r="B1108"/>
          <cell r="C1108"/>
          <cell r="D1108"/>
        </row>
        <row r="1109">
          <cell r="A1109"/>
          <cell r="B1109"/>
          <cell r="C1109"/>
          <cell r="D1109"/>
        </row>
        <row r="1110">
          <cell r="A1110"/>
          <cell r="B1110"/>
          <cell r="C1110"/>
          <cell r="D1110"/>
        </row>
        <row r="1111">
          <cell r="A1111"/>
          <cell r="B1111"/>
          <cell r="C1111"/>
          <cell r="D1111"/>
        </row>
        <row r="1112">
          <cell r="A1112"/>
          <cell r="B1112"/>
          <cell r="C1112"/>
          <cell r="D1112"/>
        </row>
        <row r="1113">
          <cell r="A1113"/>
          <cell r="B1113"/>
          <cell r="C1113"/>
          <cell r="D1113"/>
        </row>
        <row r="1114">
          <cell r="A1114"/>
          <cell r="B1114"/>
          <cell r="C1114"/>
          <cell r="D1114"/>
        </row>
        <row r="1115">
          <cell r="A1115"/>
          <cell r="B1115"/>
          <cell r="C1115"/>
          <cell r="D1115"/>
        </row>
        <row r="1116">
          <cell r="A1116"/>
          <cell r="B1116"/>
          <cell r="C1116"/>
          <cell r="D1116"/>
        </row>
        <row r="1117">
          <cell r="A1117"/>
          <cell r="B1117"/>
          <cell r="C1117"/>
          <cell r="D1117"/>
        </row>
        <row r="1118">
          <cell r="A1118"/>
          <cell r="B1118"/>
          <cell r="C1118"/>
          <cell r="D1118"/>
        </row>
        <row r="1119">
          <cell r="A1119"/>
          <cell r="B1119"/>
          <cell r="C1119"/>
          <cell r="D1119"/>
        </row>
        <row r="1120">
          <cell r="A1120"/>
          <cell r="B1120"/>
          <cell r="C1120"/>
          <cell r="D1120"/>
        </row>
        <row r="1121">
          <cell r="A1121"/>
          <cell r="B1121"/>
          <cell r="C1121"/>
          <cell r="D1121"/>
        </row>
        <row r="1122">
          <cell r="A1122"/>
          <cell r="B1122"/>
          <cell r="C1122"/>
          <cell r="D1122"/>
        </row>
        <row r="1123">
          <cell r="A1123"/>
          <cell r="B1123"/>
          <cell r="C1123"/>
          <cell r="D1123"/>
        </row>
        <row r="1124">
          <cell r="A1124"/>
          <cell r="B1124"/>
          <cell r="C1124"/>
          <cell r="D1124"/>
        </row>
        <row r="1125">
          <cell r="A1125"/>
          <cell r="B1125"/>
          <cell r="C1125"/>
          <cell r="D1125"/>
        </row>
        <row r="1126">
          <cell r="A1126"/>
          <cell r="B1126"/>
          <cell r="C1126"/>
          <cell r="D1126"/>
        </row>
        <row r="1127">
          <cell r="A1127"/>
          <cell r="B1127"/>
          <cell r="C1127"/>
          <cell r="D1127"/>
        </row>
        <row r="1128">
          <cell r="A1128"/>
          <cell r="B1128"/>
          <cell r="C1128"/>
          <cell r="D1128"/>
        </row>
        <row r="1129">
          <cell r="A1129"/>
          <cell r="B1129"/>
          <cell r="C1129"/>
          <cell r="D1129"/>
        </row>
        <row r="1130">
          <cell r="A1130"/>
          <cell r="B1130"/>
          <cell r="C1130"/>
          <cell r="D1130"/>
        </row>
        <row r="1131">
          <cell r="A1131"/>
          <cell r="B1131"/>
          <cell r="C1131"/>
          <cell r="D1131"/>
        </row>
        <row r="1132">
          <cell r="A1132"/>
          <cell r="B1132"/>
          <cell r="C1132"/>
          <cell r="D1132"/>
        </row>
        <row r="1133">
          <cell r="A1133"/>
          <cell r="B1133"/>
          <cell r="C1133"/>
          <cell r="D1133"/>
        </row>
        <row r="1134">
          <cell r="A1134"/>
          <cell r="B1134"/>
          <cell r="C1134"/>
          <cell r="D1134"/>
        </row>
        <row r="1135">
          <cell r="A1135"/>
          <cell r="B1135"/>
          <cell r="C1135"/>
          <cell r="D1135"/>
        </row>
        <row r="1136">
          <cell r="A1136"/>
          <cell r="B1136"/>
          <cell r="C1136"/>
          <cell r="D1136"/>
        </row>
        <row r="1137">
          <cell r="A1137"/>
          <cell r="B1137"/>
          <cell r="C1137"/>
          <cell r="D1137"/>
        </row>
        <row r="1138">
          <cell r="A1138"/>
          <cell r="B1138"/>
          <cell r="C1138"/>
          <cell r="D1138"/>
        </row>
        <row r="1139">
          <cell r="A1139"/>
          <cell r="B1139"/>
          <cell r="C1139"/>
          <cell r="D1139"/>
        </row>
        <row r="1140">
          <cell r="A1140"/>
          <cell r="B1140"/>
          <cell r="C1140"/>
          <cell r="D1140"/>
        </row>
        <row r="1141">
          <cell r="A1141"/>
          <cell r="B1141"/>
          <cell r="C1141"/>
          <cell r="D1141"/>
        </row>
        <row r="1142">
          <cell r="A1142"/>
          <cell r="B1142"/>
          <cell r="C1142"/>
          <cell r="D1142"/>
        </row>
        <row r="1143">
          <cell r="A1143"/>
          <cell r="B1143"/>
          <cell r="C1143"/>
          <cell r="D1143"/>
        </row>
        <row r="1144">
          <cell r="A1144"/>
          <cell r="B1144"/>
          <cell r="C1144"/>
          <cell r="D1144"/>
        </row>
        <row r="1145">
          <cell r="A1145"/>
          <cell r="B1145"/>
          <cell r="C1145"/>
          <cell r="D1145"/>
        </row>
        <row r="1146">
          <cell r="A1146"/>
          <cell r="B1146"/>
          <cell r="C1146"/>
          <cell r="D1146"/>
        </row>
        <row r="1147">
          <cell r="A1147"/>
          <cell r="B1147"/>
          <cell r="C1147"/>
          <cell r="D1147"/>
        </row>
        <row r="1148">
          <cell r="A1148"/>
          <cell r="B1148"/>
          <cell r="C1148"/>
          <cell r="D1148"/>
        </row>
        <row r="1149">
          <cell r="A1149"/>
          <cell r="B1149"/>
          <cell r="C1149"/>
          <cell r="D1149"/>
        </row>
        <row r="1150">
          <cell r="A1150"/>
          <cell r="B1150"/>
          <cell r="C1150"/>
          <cell r="D1150"/>
        </row>
        <row r="1151">
          <cell r="A1151"/>
          <cell r="B1151"/>
          <cell r="C1151"/>
          <cell r="D1151"/>
        </row>
        <row r="1152">
          <cell r="A1152"/>
          <cell r="B1152"/>
          <cell r="C1152"/>
          <cell r="D1152"/>
        </row>
        <row r="1153">
          <cell r="A1153"/>
          <cell r="B1153"/>
          <cell r="C1153"/>
          <cell r="D1153"/>
        </row>
        <row r="1154">
          <cell r="A1154"/>
          <cell r="B1154"/>
          <cell r="C1154"/>
          <cell r="D1154"/>
        </row>
        <row r="1155">
          <cell r="A1155"/>
          <cell r="B1155"/>
          <cell r="C1155"/>
          <cell r="D1155"/>
        </row>
        <row r="1156">
          <cell r="A1156"/>
          <cell r="B1156"/>
          <cell r="C1156"/>
          <cell r="D1156"/>
        </row>
        <row r="1157">
          <cell r="A1157"/>
          <cell r="B1157"/>
          <cell r="C1157"/>
          <cell r="D1157"/>
        </row>
        <row r="1158">
          <cell r="A1158"/>
          <cell r="B1158"/>
          <cell r="C1158"/>
          <cell r="D1158"/>
        </row>
        <row r="1159">
          <cell r="A1159"/>
          <cell r="B1159"/>
          <cell r="C1159"/>
          <cell r="D1159"/>
        </row>
        <row r="1160">
          <cell r="A1160"/>
          <cell r="B1160"/>
          <cell r="C1160"/>
          <cell r="D1160"/>
        </row>
        <row r="1161">
          <cell r="A1161"/>
          <cell r="B1161"/>
          <cell r="C1161"/>
          <cell r="D1161"/>
        </row>
        <row r="1162">
          <cell r="A1162"/>
          <cell r="B1162"/>
          <cell r="C1162"/>
          <cell r="D1162"/>
        </row>
        <row r="1163">
          <cell r="A1163"/>
          <cell r="B1163"/>
          <cell r="C1163"/>
          <cell r="D1163"/>
        </row>
        <row r="1164">
          <cell r="A1164"/>
          <cell r="B1164"/>
          <cell r="C1164"/>
          <cell r="D1164"/>
        </row>
        <row r="1165">
          <cell r="A1165"/>
          <cell r="B1165"/>
          <cell r="C1165"/>
          <cell r="D1165"/>
        </row>
        <row r="1166">
          <cell r="A1166"/>
          <cell r="B1166"/>
          <cell r="C1166"/>
          <cell r="D1166"/>
        </row>
        <row r="1167">
          <cell r="A1167"/>
          <cell r="B1167"/>
          <cell r="C1167"/>
          <cell r="D1167"/>
        </row>
        <row r="1168">
          <cell r="A1168"/>
          <cell r="B1168"/>
          <cell r="C1168"/>
          <cell r="D1168"/>
        </row>
        <row r="1169">
          <cell r="A1169"/>
          <cell r="B1169"/>
          <cell r="C1169"/>
          <cell r="D1169"/>
        </row>
        <row r="1170">
          <cell r="A1170"/>
          <cell r="B1170"/>
          <cell r="C1170"/>
          <cell r="D1170"/>
        </row>
        <row r="1171">
          <cell r="A1171"/>
          <cell r="B1171"/>
          <cell r="C1171"/>
          <cell r="D1171"/>
        </row>
        <row r="1172">
          <cell r="A1172"/>
          <cell r="B1172"/>
          <cell r="C1172"/>
          <cell r="D1172"/>
        </row>
        <row r="1173">
          <cell r="A1173"/>
          <cell r="B1173"/>
          <cell r="C1173"/>
          <cell r="D1173"/>
        </row>
        <row r="1174">
          <cell r="A1174"/>
          <cell r="B1174"/>
          <cell r="C1174"/>
          <cell r="D1174"/>
        </row>
        <row r="1175">
          <cell r="A1175"/>
          <cell r="B1175"/>
          <cell r="C1175"/>
          <cell r="D1175"/>
        </row>
        <row r="1176">
          <cell r="A1176"/>
          <cell r="B1176"/>
          <cell r="C1176"/>
          <cell r="D1176"/>
        </row>
        <row r="1177">
          <cell r="A1177"/>
          <cell r="B1177"/>
          <cell r="C1177"/>
          <cell r="D1177"/>
        </row>
        <row r="1178">
          <cell r="A1178"/>
          <cell r="B1178"/>
          <cell r="C1178"/>
          <cell r="D1178"/>
        </row>
        <row r="1179">
          <cell r="A1179"/>
          <cell r="B1179"/>
          <cell r="C1179"/>
          <cell r="D1179"/>
        </row>
        <row r="1180">
          <cell r="A1180"/>
          <cell r="B1180"/>
          <cell r="C1180"/>
          <cell r="D1180"/>
        </row>
        <row r="1181">
          <cell r="A1181"/>
          <cell r="B1181"/>
          <cell r="C1181"/>
          <cell r="D1181"/>
        </row>
        <row r="1182">
          <cell r="A1182"/>
          <cell r="B1182"/>
          <cell r="C1182"/>
          <cell r="D1182"/>
        </row>
        <row r="1183">
          <cell r="A1183"/>
          <cell r="B1183"/>
          <cell r="C1183"/>
          <cell r="D1183"/>
        </row>
        <row r="1184">
          <cell r="A1184"/>
          <cell r="B1184"/>
          <cell r="C1184"/>
          <cell r="D1184"/>
        </row>
        <row r="1185">
          <cell r="A1185"/>
          <cell r="B1185"/>
          <cell r="C1185"/>
          <cell r="D1185"/>
        </row>
        <row r="1186">
          <cell r="A1186"/>
          <cell r="B1186"/>
          <cell r="C1186"/>
          <cell r="D1186"/>
        </row>
        <row r="1187">
          <cell r="A1187"/>
          <cell r="B1187"/>
          <cell r="C1187"/>
          <cell r="D1187"/>
        </row>
        <row r="1188">
          <cell r="A1188"/>
          <cell r="B1188"/>
          <cell r="C1188"/>
          <cell r="D1188"/>
        </row>
        <row r="1189">
          <cell r="A1189"/>
          <cell r="B1189"/>
          <cell r="C1189"/>
          <cell r="D1189"/>
        </row>
        <row r="1190">
          <cell r="A1190"/>
          <cell r="B1190"/>
          <cell r="C1190"/>
          <cell r="D1190"/>
        </row>
        <row r="1191">
          <cell r="A1191"/>
          <cell r="B1191"/>
          <cell r="C1191"/>
          <cell r="D1191"/>
        </row>
        <row r="1192">
          <cell r="A1192"/>
          <cell r="B1192"/>
          <cell r="C1192"/>
          <cell r="D1192"/>
        </row>
        <row r="1193">
          <cell r="A1193"/>
          <cell r="B1193"/>
          <cell r="C1193"/>
          <cell r="D1193"/>
        </row>
        <row r="1194">
          <cell r="A1194"/>
          <cell r="B1194"/>
          <cell r="C1194"/>
          <cell r="D1194"/>
        </row>
        <row r="1195">
          <cell r="A1195"/>
          <cell r="B1195"/>
          <cell r="C1195"/>
          <cell r="D1195"/>
        </row>
        <row r="1196">
          <cell r="A1196"/>
          <cell r="B1196"/>
          <cell r="C1196"/>
          <cell r="D1196"/>
        </row>
        <row r="1197">
          <cell r="A1197"/>
          <cell r="B1197"/>
          <cell r="C1197"/>
          <cell r="D1197"/>
        </row>
        <row r="1198">
          <cell r="A1198"/>
          <cell r="B1198"/>
          <cell r="C1198"/>
          <cell r="D1198"/>
        </row>
        <row r="1199">
          <cell r="A1199"/>
          <cell r="B1199"/>
          <cell r="C1199"/>
          <cell r="D1199"/>
        </row>
        <row r="1200">
          <cell r="A1200"/>
          <cell r="B1200"/>
          <cell r="C1200"/>
          <cell r="D1200"/>
        </row>
        <row r="1201">
          <cell r="A1201"/>
          <cell r="B1201"/>
          <cell r="C1201"/>
          <cell r="D1201"/>
        </row>
        <row r="1202">
          <cell r="A1202"/>
          <cell r="B1202"/>
          <cell r="C1202"/>
          <cell r="D1202"/>
        </row>
        <row r="1203">
          <cell r="A1203"/>
          <cell r="B1203"/>
          <cell r="C1203"/>
          <cell r="D1203"/>
        </row>
        <row r="1204">
          <cell r="A1204"/>
          <cell r="B1204"/>
          <cell r="C1204"/>
          <cell r="D1204"/>
        </row>
        <row r="1205">
          <cell r="A1205"/>
          <cell r="B1205"/>
          <cell r="C1205"/>
          <cell r="D1205"/>
        </row>
        <row r="1206">
          <cell r="A1206"/>
          <cell r="B1206"/>
          <cell r="C1206"/>
          <cell r="D1206"/>
        </row>
        <row r="1207">
          <cell r="A1207"/>
          <cell r="B1207"/>
          <cell r="C1207"/>
          <cell r="D1207"/>
        </row>
        <row r="1208">
          <cell r="A1208"/>
          <cell r="B1208"/>
          <cell r="C1208"/>
          <cell r="D1208"/>
        </row>
        <row r="1209">
          <cell r="A1209"/>
          <cell r="B1209"/>
          <cell r="C1209"/>
          <cell r="D1209"/>
        </row>
        <row r="1210">
          <cell r="A1210"/>
          <cell r="B1210"/>
          <cell r="C1210"/>
          <cell r="D1210"/>
        </row>
        <row r="1211">
          <cell r="A1211"/>
          <cell r="B1211"/>
          <cell r="C1211"/>
          <cell r="D1211"/>
        </row>
        <row r="1212">
          <cell r="A1212"/>
          <cell r="B1212"/>
          <cell r="C1212"/>
          <cell r="D1212"/>
        </row>
        <row r="1213">
          <cell r="A1213"/>
          <cell r="B1213"/>
          <cell r="C1213"/>
          <cell r="D1213"/>
        </row>
        <row r="1214">
          <cell r="A1214"/>
          <cell r="B1214"/>
          <cell r="C1214"/>
          <cell r="D1214"/>
        </row>
        <row r="1215">
          <cell r="A1215"/>
          <cell r="B1215"/>
          <cell r="C1215"/>
          <cell r="D1215"/>
        </row>
        <row r="1216">
          <cell r="A1216"/>
          <cell r="B1216"/>
          <cell r="C1216"/>
          <cell r="D1216"/>
        </row>
        <row r="1217">
          <cell r="A1217"/>
          <cell r="B1217"/>
          <cell r="C1217"/>
          <cell r="D1217"/>
        </row>
        <row r="1218">
          <cell r="A1218"/>
          <cell r="B1218"/>
          <cell r="C1218"/>
          <cell r="D1218"/>
        </row>
        <row r="1219">
          <cell r="A1219"/>
          <cell r="B1219"/>
          <cell r="C1219"/>
          <cell r="D1219"/>
        </row>
        <row r="1220">
          <cell r="A1220"/>
          <cell r="B1220"/>
          <cell r="C1220"/>
          <cell r="D1220"/>
        </row>
        <row r="1221">
          <cell r="A1221"/>
          <cell r="B1221"/>
          <cell r="C1221"/>
          <cell r="D1221"/>
        </row>
        <row r="1222">
          <cell r="A1222"/>
          <cell r="B1222"/>
          <cell r="C1222"/>
          <cell r="D1222"/>
        </row>
        <row r="1223">
          <cell r="A1223"/>
          <cell r="B1223"/>
          <cell r="C1223"/>
          <cell r="D1223"/>
        </row>
        <row r="1224">
          <cell r="A1224"/>
          <cell r="B1224"/>
          <cell r="C1224"/>
          <cell r="D1224"/>
        </row>
        <row r="1225">
          <cell r="A1225"/>
          <cell r="B1225"/>
          <cell r="C1225"/>
          <cell r="D1225"/>
        </row>
        <row r="1226">
          <cell r="A1226"/>
          <cell r="B1226"/>
          <cell r="C1226"/>
          <cell r="D1226"/>
        </row>
        <row r="1227">
          <cell r="A1227"/>
          <cell r="B1227"/>
          <cell r="C1227"/>
          <cell r="D1227"/>
        </row>
        <row r="1228">
          <cell r="A1228"/>
          <cell r="B1228"/>
          <cell r="C1228"/>
          <cell r="D1228"/>
        </row>
        <row r="1229">
          <cell r="A1229"/>
          <cell r="B1229"/>
          <cell r="C1229"/>
          <cell r="D1229"/>
        </row>
        <row r="1230">
          <cell r="A1230"/>
          <cell r="B1230"/>
          <cell r="C1230"/>
          <cell r="D1230"/>
        </row>
        <row r="1231">
          <cell r="A1231"/>
          <cell r="B1231"/>
          <cell r="C1231"/>
          <cell r="D1231"/>
        </row>
        <row r="1232">
          <cell r="A1232"/>
          <cell r="B1232"/>
          <cell r="C1232"/>
          <cell r="D1232"/>
        </row>
        <row r="1233">
          <cell r="A1233"/>
          <cell r="B1233"/>
          <cell r="C1233"/>
          <cell r="D1233"/>
        </row>
        <row r="1234">
          <cell r="A1234"/>
          <cell r="B1234"/>
          <cell r="C1234"/>
          <cell r="D1234"/>
        </row>
        <row r="1235">
          <cell r="A1235"/>
          <cell r="B1235"/>
          <cell r="C1235"/>
          <cell r="D1235"/>
        </row>
        <row r="1236">
          <cell r="A1236"/>
          <cell r="B1236"/>
          <cell r="C1236"/>
          <cell r="D1236"/>
        </row>
        <row r="1237">
          <cell r="A1237"/>
          <cell r="B1237"/>
          <cell r="C1237"/>
          <cell r="D1237"/>
        </row>
        <row r="1238">
          <cell r="A1238"/>
          <cell r="B1238"/>
          <cell r="C1238"/>
          <cell r="D1238"/>
        </row>
        <row r="1239">
          <cell r="A1239"/>
          <cell r="B1239"/>
          <cell r="C1239"/>
          <cell r="D1239"/>
        </row>
        <row r="1240">
          <cell r="A1240"/>
          <cell r="B1240"/>
          <cell r="C1240"/>
          <cell r="D1240"/>
        </row>
        <row r="1241">
          <cell r="A1241"/>
          <cell r="B1241"/>
          <cell r="C1241"/>
          <cell r="D1241"/>
        </row>
        <row r="1242">
          <cell r="A1242"/>
          <cell r="B1242"/>
          <cell r="C1242"/>
          <cell r="D1242"/>
        </row>
        <row r="1243">
          <cell r="A1243"/>
          <cell r="B1243"/>
          <cell r="C1243"/>
          <cell r="D1243"/>
        </row>
        <row r="1244">
          <cell r="A1244"/>
          <cell r="B1244"/>
          <cell r="C1244"/>
          <cell r="D1244"/>
        </row>
        <row r="1245">
          <cell r="A1245"/>
          <cell r="B1245"/>
          <cell r="C1245"/>
          <cell r="D1245"/>
        </row>
        <row r="1246">
          <cell r="A1246"/>
          <cell r="B1246"/>
          <cell r="C1246"/>
          <cell r="D1246"/>
        </row>
        <row r="1247">
          <cell r="A1247"/>
          <cell r="B1247"/>
          <cell r="C1247"/>
          <cell r="D1247"/>
        </row>
        <row r="1248">
          <cell r="A1248"/>
          <cell r="B1248"/>
          <cell r="C1248"/>
          <cell r="D1248"/>
        </row>
        <row r="1249">
          <cell r="A1249"/>
          <cell r="B1249"/>
          <cell r="C1249"/>
          <cell r="D1249"/>
        </row>
        <row r="1250">
          <cell r="A1250"/>
          <cell r="B1250"/>
          <cell r="C1250"/>
          <cell r="D1250"/>
        </row>
        <row r="1251">
          <cell r="A1251"/>
          <cell r="B1251"/>
          <cell r="C1251"/>
          <cell r="D1251"/>
        </row>
        <row r="1252">
          <cell r="A1252"/>
          <cell r="B1252"/>
          <cell r="C1252"/>
          <cell r="D1252"/>
        </row>
        <row r="1253">
          <cell r="A1253"/>
          <cell r="B1253"/>
          <cell r="C1253"/>
          <cell r="D1253"/>
        </row>
        <row r="1254">
          <cell r="A1254"/>
          <cell r="B1254"/>
          <cell r="C1254"/>
          <cell r="D1254"/>
        </row>
        <row r="1255">
          <cell r="A1255"/>
          <cell r="B1255"/>
          <cell r="C1255"/>
          <cell r="D1255"/>
        </row>
        <row r="1256">
          <cell r="A1256"/>
          <cell r="B1256"/>
          <cell r="C1256"/>
          <cell r="D1256"/>
        </row>
        <row r="1257">
          <cell r="A1257"/>
          <cell r="B1257"/>
          <cell r="C1257"/>
          <cell r="D1257"/>
        </row>
        <row r="1258">
          <cell r="A1258"/>
          <cell r="B1258"/>
          <cell r="C1258"/>
          <cell r="D1258"/>
        </row>
        <row r="1259">
          <cell r="A1259"/>
          <cell r="B1259"/>
          <cell r="C1259"/>
          <cell r="D1259"/>
        </row>
        <row r="1260">
          <cell r="A1260"/>
          <cell r="B1260"/>
          <cell r="C1260"/>
          <cell r="D1260"/>
        </row>
        <row r="1261">
          <cell r="A1261"/>
          <cell r="B1261"/>
          <cell r="C1261"/>
          <cell r="D1261"/>
        </row>
        <row r="1262">
          <cell r="A1262"/>
          <cell r="B1262"/>
          <cell r="C1262"/>
          <cell r="D1262"/>
        </row>
        <row r="1263">
          <cell r="A1263"/>
          <cell r="B1263"/>
          <cell r="C1263"/>
          <cell r="D1263"/>
        </row>
        <row r="1264">
          <cell r="A1264"/>
          <cell r="B1264"/>
          <cell r="C1264"/>
          <cell r="D1264"/>
        </row>
        <row r="1265">
          <cell r="A1265"/>
          <cell r="B1265"/>
          <cell r="C1265"/>
          <cell r="D1265"/>
        </row>
        <row r="1266">
          <cell r="A1266"/>
          <cell r="B1266"/>
          <cell r="C1266"/>
          <cell r="D1266"/>
        </row>
        <row r="1267">
          <cell r="A1267"/>
          <cell r="B1267"/>
          <cell r="C1267"/>
          <cell r="D1267"/>
        </row>
        <row r="1268">
          <cell r="A1268"/>
          <cell r="B1268"/>
          <cell r="C1268"/>
          <cell r="D1268"/>
        </row>
        <row r="1269">
          <cell r="A1269"/>
          <cell r="B1269"/>
          <cell r="C1269"/>
          <cell r="D1269"/>
        </row>
        <row r="1270">
          <cell r="A1270"/>
          <cell r="B1270"/>
          <cell r="C1270"/>
          <cell r="D1270"/>
        </row>
        <row r="1271">
          <cell r="A1271"/>
          <cell r="B1271"/>
          <cell r="C1271"/>
          <cell r="D1271"/>
        </row>
        <row r="1272">
          <cell r="A1272"/>
          <cell r="B1272"/>
          <cell r="C1272"/>
          <cell r="D1272"/>
        </row>
        <row r="1273">
          <cell r="A1273"/>
          <cell r="B1273"/>
          <cell r="C1273"/>
          <cell r="D1273"/>
        </row>
        <row r="1274">
          <cell r="A1274"/>
          <cell r="B1274"/>
          <cell r="C1274"/>
          <cell r="D1274"/>
        </row>
        <row r="1275">
          <cell r="A1275"/>
          <cell r="B1275"/>
          <cell r="C1275"/>
          <cell r="D1275"/>
        </row>
        <row r="1276">
          <cell r="A1276"/>
          <cell r="B1276"/>
          <cell r="C1276"/>
          <cell r="D1276"/>
        </row>
        <row r="1277">
          <cell r="A1277"/>
          <cell r="B1277"/>
          <cell r="C1277"/>
          <cell r="D1277"/>
        </row>
        <row r="1278">
          <cell r="A1278"/>
          <cell r="B1278"/>
          <cell r="C1278"/>
          <cell r="D1278"/>
        </row>
        <row r="1279">
          <cell r="A1279"/>
          <cell r="B1279"/>
          <cell r="C1279"/>
          <cell r="D1279"/>
        </row>
        <row r="1280">
          <cell r="A1280"/>
          <cell r="B1280"/>
          <cell r="C1280"/>
          <cell r="D1280"/>
        </row>
        <row r="1281">
          <cell r="A1281"/>
          <cell r="B1281"/>
          <cell r="C1281"/>
          <cell r="D1281"/>
        </row>
        <row r="1282">
          <cell r="A1282"/>
          <cell r="B1282"/>
          <cell r="C1282"/>
          <cell r="D1282"/>
        </row>
        <row r="1283">
          <cell r="A1283"/>
          <cell r="B1283"/>
          <cell r="C1283"/>
          <cell r="D1283"/>
        </row>
        <row r="1284">
          <cell r="A1284"/>
          <cell r="B1284"/>
          <cell r="C1284"/>
          <cell r="D1284"/>
        </row>
        <row r="1285">
          <cell r="A1285"/>
          <cell r="B1285"/>
          <cell r="C1285"/>
          <cell r="D1285"/>
        </row>
        <row r="1286">
          <cell r="A1286"/>
          <cell r="B1286"/>
          <cell r="C1286"/>
          <cell r="D1286"/>
        </row>
        <row r="1287">
          <cell r="A1287"/>
          <cell r="B1287"/>
          <cell r="C1287"/>
          <cell r="D1287"/>
        </row>
        <row r="1288">
          <cell r="A1288"/>
          <cell r="B1288"/>
          <cell r="C1288"/>
          <cell r="D1288"/>
        </row>
        <row r="1289">
          <cell r="A1289"/>
          <cell r="B1289"/>
          <cell r="C1289"/>
          <cell r="D1289"/>
        </row>
        <row r="1290">
          <cell r="A1290"/>
          <cell r="B1290"/>
          <cell r="C1290"/>
          <cell r="D1290"/>
        </row>
        <row r="1291">
          <cell r="A1291"/>
          <cell r="B1291"/>
          <cell r="C1291"/>
          <cell r="D1291"/>
        </row>
        <row r="1292">
          <cell r="A1292"/>
          <cell r="B1292"/>
          <cell r="C1292"/>
          <cell r="D1292"/>
        </row>
        <row r="1293">
          <cell r="A1293"/>
          <cell r="B1293"/>
          <cell r="C1293"/>
          <cell r="D1293"/>
        </row>
        <row r="1294">
          <cell r="A1294"/>
          <cell r="B1294"/>
          <cell r="C1294"/>
          <cell r="D1294"/>
        </row>
        <row r="1295">
          <cell r="A1295"/>
          <cell r="B1295"/>
          <cell r="C1295"/>
          <cell r="D1295"/>
        </row>
        <row r="1296">
          <cell r="A1296"/>
          <cell r="B1296"/>
          <cell r="C1296"/>
          <cell r="D1296"/>
        </row>
        <row r="1297">
          <cell r="A1297"/>
          <cell r="B1297"/>
          <cell r="C1297"/>
          <cell r="D1297"/>
        </row>
        <row r="1298">
          <cell r="A1298"/>
          <cell r="B1298"/>
          <cell r="C1298"/>
          <cell r="D1298"/>
        </row>
        <row r="1299">
          <cell r="A1299"/>
          <cell r="B1299"/>
          <cell r="C1299"/>
          <cell r="D1299"/>
        </row>
        <row r="1300">
          <cell r="A1300"/>
          <cell r="B1300"/>
          <cell r="C1300"/>
          <cell r="D1300"/>
        </row>
        <row r="1301">
          <cell r="A1301"/>
          <cell r="B1301"/>
          <cell r="C1301"/>
          <cell r="D1301"/>
        </row>
        <row r="1302">
          <cell r="A1302"/>
          <cell r="B1302"/>
          <cell r="C1302"/>
          <cell r="D1302"/>
        </row>
        <row r="1303">
          <cell r="A1303"/>
          <cell r="B1303"/>
          <cell r="C1303"/>
          <cell r="D1303"/>
        </row>
        <row r="1304">
          <cell r="A1304"/>
          <cell r="B1304"/>
          <cell r="C1304"/>
          <cell r="D1304"/>
        </row>
        <row r="1305">
          <cell r="A1305"/>
          <cell r="B1305"/>
          <cell r="C1305"/>
          <cell r="D1305"/>
        </row>
        <row r="1306">
          <cell r="A1306"/>
          <cell r="B1306"/>
          <cell r="C1306"/>
          <cell r="D1306"/>
        </row>
        <row r="1307">
          <cell r="A1307"/>
          <cell r="B1307"/>
          <cell r="C1307"/>
          <cell r="D1307"/>
        </row>
        <row r="1308">
          <cell r="A1308"/>
          <cell r="B1308"/>
          <cell r="C1308"/>
          <cell r="D1308"/>
        </row>
        <row r="1309">
          <cell r="A1309"/>
          <cell r="B1309"/>
          <cell r="C1309"/>
          <cell r="D1309"/>
        </row>
        <row r="1310">
          <cell r="A1310"/>
          <cell r="B1310"/>
          <cell r="C1310"/>
          <cell r="D1310"/>
        </row>
        <row r="1311">
          <cell r="A1311"/>
          <cell r="B1311"/>
          <cell r="C1311"/>
          <cell r="D1311"/>
        </row>
        <row r="1312">
          <cell r="A1312"/>
          <cell r="B1312"/>
          <cell r="C1312"/>
          <cell r="D1312"/>
        </row>
        <row r="1313">
          <cell r="A1313"/>
          <cell r="B1313"/>
          <cell r="C1313"/>
          <cell r="D1313"/>
        </row>
        <row r="1314">
          <cell r="A1314"/>
          <cell r="B1314"/>
          <cell r="C1314"/>
          <cell r="D1314"/>
        </row>
        <row r="1315">
          <cell r="A1315"/>
          <cell r="B1315"/>
          <cell r="C1315"/>
          <cell r="D1315"/>
        </row>
        <row r="1316">
          <cell r="A1316"/>
          <cell r="B1316"/>
          <cell r="C1316"/>
          <cell r="D1316"/>
        </row>
        <row r="1317">
          <cell r="A1317"/>
          <cell r="B1317"/>
          <cell r="C1317"/>
          <cell r="D1317"/>
        </row>
        <row r="1318">
          <cell r="A1318"/>
          <cell r="B1318"/>
          <cell r="C1318"/>
          <cell r="D1318"/>
        </row>
        <row r="1319">
          <cell r="A1319"/>
          <cell r="B1319"/>
          <cell r="C1319"/>
          <cell r="D1319"/>
        </row>
        <row r="1320">
          <cell r="A1320"/>
          <cell r="B1320"/>
          <cell r="C1320"/>
          <cell r="D1320"/>
        </row>
        <row r="1321">
          <cell r="A1321"/>
          <cell r="B1321"/>
          <cell r="C1321"/>
          <cell r="D1321"/>
        </row>
        <row r="1322">
          <cell r="A1322"/>
          <cell r="B1322"/>
          <cell r="C1322"/>
          <cell r="D1322"/>
        </row>
        <row r="1323">
          <cell r="A1323"/>
          <cell r="B1323"/>
          <cell r="C1323"/>
          <cell r="D1323"/>
        </row>
        <row r="1324">
          <cell r="A1324"/>
          <cell r="B1324"/>
          <cell r="C1324"/>
          <cell r="D1324"/>
        </row>
        <row r="1325">
          <cell r="A1325"/>
          <cell r="B1325"/>
          <cell r="C1325"/>
          <cell r="D1325"/>
        </row>
        <row r="1326">
          <cell r="A1326"/>
          <cell r="B1326"/>
          <cell r="C1326"/>
          <cell r="D1326"/>
        </row>
        <row r="1327">
          <cell r="A1327"/>
          <cell r="B1327"/>
          <cell r="C1327"/>
          <cell r="D1327"/>
        </row>
        <row r="1328">
          <cell r="A1328"/>
          <cell r="B1328"/>
          <cell r="C1328"/>
          <cell r="D1328"/>
        </row>
        <row r="1329">
          <cell r="A1329"/>
          <cell r="B1329"/>
          <cell r="C1329"/>
          <cell r="D1329"/>
        </row>
        <row r="1330">
          <cell r="A1330"/>
          <cell r="B1330"/>
          <cell r="C1330"/>
          <cell r="D1330"/>
        </row>
        <row r="1331">
          <cell r="A1331"/>
          <cell r="B1331"/>
          <cell r="C1331"/>
          <cell r="D1331"/>
        </row>
        <row r="1332">
          <cell r="A1332"/>
          <cell r="B1332"/>
          <cell r="C1332"/>
          <cell r="D1332"/>
        </row>
        <row r="1333">
          <cell r="A1333"/>
          <cell r="B1333"/>
          <cell r="C1333"/>
          <cell r="D1333"/>
        </row>
        <row r="1334">
          <cell r="A1334"/>
          <cell r="B1334"/>
          <cell r="C1334"/>
          <cell r="D1334"/>
        </row>
        <row r="1335">
          <cell r="A1335"/>
          <cell r="B1335"/>
          <cell r="C1335"/>
          <cell r="D1335"/>
        </row>
        <row r="1336">
          <cell r="A1336"/>
          <cell r="B1336"/>
          <cell r="C1336"/>
          <cell r="D1336"/>
        </row>
        <row r="1337">
          <cell r="A1337"/>
          <cell r="B1337"/>
          <cell r="C1337"/>
          <cell r="D1337"/>
        </row>
        <row r="1338">
          <cell r="A1338"/>
          <cell r="B1338"/>
          <cell r="C1338"/>
          <cell r="D1338"/>
        </row>
        <row r="1339">
          <cell r="A1339"/>
          <cell r="B1339"/>
          <cell r="C1339"/>
          <cell r="D1339"/>
        </row>
        <row r="1340">
          <cell r="A1340"/>
          <cell r="B1340"/>
          <cell r="C1340"/>
          <cell r="D1340"/>
        </row>
        <row r="1341">
          <cell r="A1341"/>
          <cell r="B1341"/>
          <cell r="C1341"/>
          <cell r="D1341"/>
        </row>
        <row r="1342">
          <cell r="A1342"/>
          <cell r="B1342"/>
          <cell r="C1342"/>
          <cell r="D1342"/>
        </row>
        <row r="1343">
          <cell r="A1343"/>
          <cell r="B1343"/>
          <cell r="C1343"/>
          <cell r="D1343"/>
        </row>
        <row r="1344">
          <cell r="A1344"/>
          <cell r="B1344"/>
          <cell r="C1344"/>
          <cell r="D1344"/>
        </row>
        <row r="1345">
          <cell r="A1345"/>
          <cell r="B1345"/>
          <cell r="C1345"/>
          <cell r="D1345"/>
        </row>
        <row r="1346">
          <cell r="A1346"/>
          <cell r="B1346"/>
          <cell r="C1346"/>
          <cell r="D1346"/>
        </row>
        <row r="1347">
          <cell r="A1347"/>
          <cell r="B1347"/>
          <cell r="C1347"/>
          <cell r="D1347"/>
        </row>
        <row r="1348">
          <cell r="A1348"/>
          <cell r="B1348"/>
          <cell r="C1348"/>
          <cell r="D1348"/>
        </row>
        <row r="1349">
          <cell r="A1349"/>
          <cell r="B1349"/>
          <cell r="C1349"/>
          <cell r="D1349"/>
        </row>
        <row r="1350">
          <cell r="A1350"/>
          <cell r="B1350"/>
          <cell r="C1350"/>
          <cell r="D1350"/>
        </row>
        <row r="1351">
          <cell r="A1351"/>
          <cell r="B1351"/>
          <cell r="C1351"/>
          <cell r="D1351"/>
        </row>
        <row r="1352">
          <cell r="A1352"/>
          <cell r="B1352"/>
          <cell r="C1352"/>
          <cell r="D1352"/>
        </row>
        <row r="1353">
          <cell r="A1353"/>
          <cell r="B1353"/>
          <cell r="C1353"/>
          <cell r="D1353"/>
        </row>
        <row r="1354">
          <cell r="A1354"/>
          <cell r="B1354"/>
          <cell r="C1354"/>
          <cell r="D1354"/>
        </row>
        <row r="1355">
          <cell r="A1355"/>
          <cell r="B1355"/>
          <cell r="C1355"/>
          <cell r="D1355"/>
        </row>
        <row r="1356">
          <cell r="A1356"/>
          <cell r="B1356"/>
          <cell r="C1356"/>
          <cell r="D1356"/>
        </row>
        <row r="1357">
          <cell r="A1357"/>
          <cell r="B1357"/>
          <cell r="C1357"/>
          <cell r="D1357"/>
        </row>
        <row r="1358">
          <cell r="A1358"/>
          <cell r="B1358"/>
          <cell r="C1358"/>
          <cell r="D1358"/>
        </row>
        <row r="1359">
          <cell r="A1359"/>
          <cell r="B1359"/>
          <cell r="C1359"/>
          <cell r="D1359"/>
        </row>
        <row r="1360">
          <cell r="A1360"/>
          <cell r="B1360"/>
          <cell r="C1360"/>
          <cell r="D1360"/>
        </row>
        <row r="1361">
          <cell r="A1361"/>
          <cell r="B1361"/>
          <cell r="C1361"/>
          <cell r="D1361"/>
        </row>
        <row r="1362">
          <cell r="A1362"/>
          <cell r="B1362"/>
          <cell r="C1362"/>
          <cell r="D1362"/>
        </row>
        <row r="1363">
          <cell r="A1363"/>
          <cell r="B1363"/>
          <cell r="C1363"/>
          <cell r="D1363"/>
        </row>
        <row r="1364">
          <cell r="A1364"/>
          <cell r="B1364"/>
          <cell r="C1364"/>
          <cell r="D1364"/>
        </row>
        <row r="1365">
          <cell r="A1365"/>
          <cell r="B1365"/>
          <cell r="C1365"/>
          <cell r="D1365"/>
        </row>
        <row r="1366">
          <cell r="A1366"/>
          <cell r="B1366"/>
          <cell r="C1366"/>
          <cell r="D1366"/>
        </row>
        <row r="1367">
          <cell r="A1367"/>
          <cell r="B1367"/>
          <cell r="C1367"/>
          <cell r="D1367"/>
        </row>
        <row r="1368">
          <cell r="A1368"/>
          <cell r="B1368"/>
          <cell r="C1368"/>
          <cell r="D1368"/>
        </row>
        <row r="1369">
          <cell r="A1369"/>
          <cell r="B1369"/>
          <cell r="C1369"/>
          <cell r="D1369"/>
        </row>
        <row r="1370">
          <cell r="A1370"/>
          <cell r="B1370"/>
          <cell r="C1370"/>
          <cell r="D1370"/>
        </row>
        <row r="1371">
          <cell r="A1371"/>
          <cell r="B1371"/>
          <cell r="C1371"/>
          <cell r="D1371"/>
        </row>
        <row r="1372">
          <cell r="A1372"/>
          <cell r="B1372"/>
          <cell r="C1372"/>
          <cell r="D1372"/>
        </row>
        <row r="1373">
          <cell r="A1373"/>
          <cell r="B1373"/>
          <cell r="C1373"/>
          <cell r="D1373"/>
        </row>
        <row r="1374">
          <cell r="A1374"/>
          <cell r="B1374"/>
          <cell r="C1374"/>
          <cell r="D1374"/>
        </row>
        <row r="1375">
          <cell r="A1375"/>
          <cell r="B1375"/>
          <cell r="C1375"/>
          <cell r="D1375"/>
        </row>
        <row r="1376">
          <cell r="A1376"/>
          <cell r="B1376"/>
          <cell r="C1376"/>
          <cell r="D1376"/>
        </row>
        <row r="1377">
          <cell r="A1377"/>
          <cell r="B1377"/>
          <cell r="C1377"/>
          <cell r="D1377"/>
        </row>
        <row r="1378">
          <cell r="A1378"/>
          <cell r="B1378"/>
          <cell r="C1378"/>
          <cell r="D1378"/>
        </row>
        <row r="1379">
          <cell r="A1379"/>
          <cell r="B1379"/>
          <cell r="C1379"/>
          <cell r="D1379"/>
        </row>
        <row r="1380">
          <cell r="A1380"/>
          <cell r="B1380"/>
          <cell r="C1380"/>
          <cell r="D1380"/>
        </row>
        <row r="1381">
          <cell r="A1381"/>
          <cell r="B1381"/>
          <cell r="C1381"/>
          <cell r="D1381"/>
        </row>
        <row r="1382">
          <cell r="A1382"/>
          <cell r="B1382"/>
          <cell r="C1382"/>
          <cell r="D1382"/>
        </row>
        <row r="1383">
          <cell r="A1383"/>
          <cell r="B1383"/>
          <cell r="C1383"/>
          <cell r="D1383"/>
        </row>
        <row r="1384">
          <cell r="A1384"/>
          <cell r="B1384"/>
          <cell r="C1384"/>
          <cell r="D1384"/>
        </row>
        <row r="1385">
          <cell r="A1385"/>
          <cell r="B1385"/>
          <cell r="C1385"/>
          <cell r="D1385"/>
        </row>
        <row r="1386">
          <cell r="A1386"/>
          <cell r="B1386"/>
          <cell r="C1386"/>
          <cell r="D1386"/>
        </row>
        <row r="1387">
          <cell r="A1387"/>
          <cell r="B1387"/>
          <cell r="C1387"/>
          <cell r="D1387"/>
        </row>
        <row r="1388">
          <cell r="A1388"/>
          <cell r="B1388"/>
          <cell r="C1388"/>
          <cell r="D1388"/>
        </row>
        <row r="1389">
          <cell r="A1389"/>
          <cell r="B1389"/>
          <cell r="C1389"/>
          <cell r="D1389"/>
        </row>
        <row r="1390">
          <cell r="A1390"/>
          <cell r="B1390"/>
          <cell r="C1390"/>
          <cell r="D1390"/>
        </row>
        <row r="1391">
          <cell r="A1391"/>
          <cell r="B1391"/>
          <cell r="C1391"/>
          <cell r="D1391"/>
        </row>
        <row r="1392">
          <cell r="A1392"/>
          <cell r="B1392"/>
          <cell r="C1392"/>
          <cell r="D1392"/>
        </row>
        <row r="1393">
          <cell r="A1393"/>
          <cell r="B1393"/>
          <cell r="C1393"/>
          <cell r="D1393"/>
        </row>
        <row r="1394">
          <cell r="A1394"/>
          <cell r="B1394"/>
          <cell r="C1394"/>
          <cell r="D1394"/>
        </row>
        <row r="1395">
          <cell r="A1395"/>
          <cell r="B1395"/>
          <cell r="C1395"/>
          <cell r="D1395"/>
        </row>
        <row r="1396">
          <cell r="A1396"/>
          <cell r="B1396"/>
          <cell r="C1396"/>
          <cell r="D1396"/>
        </row>
        <row r="1397">
          <cell r="A1397"/>
          <cell r="B1397"/>
          <cell r="C1397"/>
          <cell r="D1397"/>
        </row>
        <row r="1398">
          <cell r="A1398"/>
          <cell r="B1398"/>
          <cell r="C1398"/>
          <cell r="D1398"/>
        </row>
        <row r="1399">
          <cell r="A1399"/>
          <cell r="B1399"/>
          <cell r="C1399"/>
          <cell r="D1399"/>
        </row>
        <row r="1400">
          <cell r="A1400"/>
          <cell r="B1400"/>
          <cell r="C1400"/>
          <cell r="D1400"/>
        </row>
        <row r="1401">
          <cell r="A1401"/>
          <cell r="B1401"/>
          <cell r="C1401"/>
          <cell r="D1401"/>
        </row>
        <row r="1402">
          <cell r="A1402"/>
          <cell r="B1402"/>
          <cell r="C1402"/>
          <cell r="D1402"/>
        </row>
        <row r="1403">
          <cell r="A1403"/>
          <cell r="B1403"/>
          <cell r="C1403"/>
          <cell r="D1403"/>
        </row>
        <row r="1404">
          <cell r="A1404"/>
          <cell r="B1404"/>
          <cell r="C1404"/>
          <cell r="D1404"/>
        </row>
        <row r="1405">
          <cell r="A1405"/>
          <cell r="B1405"/>
          <cell r="C1405"/>
          <cell r="D1405"/>
        </row>
        <row r="1406">
          <cell r="A1406"/>
          <cell r="B1406"/>
          <cell r="C1406"/>
          <cell r="D1406"/>
        </row>
        <row r="1407">
          <cell r="A1407"/>
          <cell r="B1407"/>
          <cell r="C1407"/>
          <cell r="D1407"/>
        </row>
        <row r="1408">
          <cell r="A1408"/>
          <cell r="B1408"/>
          <cell r="C1408"/>
          <cell r="D1408"/>
        </row>
        <row r="1409">
          <cell r="A1409"/>
          <cell r="B1409"/>
          <cell r="C1409"/>
          <cell r="D1409"/>
        </row>
        <row r="1410">
          <cell r="A1410"/>
          <cell r="B1410"/>
          <cell r="C1410"/>
          <cell r="D1410"/>
        </row>
        <row r="1411">
          <cell r="A1411"/>
          <cell r="B1411"/>
          <cell r="C1411"/>
          <cell r="D1411"/>
        </row>
        <row r="1412">
          <cell r="A1412"/>
          <cell r="B1412"/>
          <cell r="C1412"/>
          <cell r="D1412"/>
        </row>
        <row r="1413">
          <cell r="A1413"/>
          <cell r="B1413"/>
          <cell r="C1413"/>
          <cell r="D1413"/>
        </row>
        <row r="1414">
          <cell r="A1414"/>
          <cell r="B1414"/>
          <cell r="C1414"/>
          <cell r="D1414"/>
        </row>
        <row r="1415">
          <cell r="A1415"/>
          <cell r="B1415"/>
          <cell r="C1415"/>
          <cell r="D1415"/>
        </row>
        <row r="1416">
          <cell r="A1416"/>
          <cell r="B1416"/>
          <cell r="C1416"/>
          <cell r="D1416"/>
        </row>
        <row r="1417">
          <cell r="A1417"/>
          <cell r="B1417"/>
          <cell r="C1417"/>
          <cell r="D1417"/>
        </row>
        <row r="1418">
          <cell r="A1418"/>
          <cell r="B1418"/>
          <cell r="C1418"/>
          <cell r="D1418"/>
        </row>
        <row r="1419">
          <cell r="A1419"/>
          <cell r="B1419"/>
          <cell r="C1419"/>
          <cell r="D1419"/>
        </row>
        <row r="1420">
          <cell r="A1420"/>
          <cell r="B1420"/>
          <cell r="C1420"/>
          <cell r="D1420"/>
        </row>
        <row r="1421">
          <cell r="A1421"/>
          <cell r="B1421"/>
          <cell r="C1421"/>
          <cell r="D1421"/>
        </row>
        <row r="1422">
          <cell r="A1422"/>
          <cell r="B1422"/>
          <cell r="C1422"/>
          <cell r="D1422"/>
        </row>
        <row r="1423">
          <cell r="A1423"/>
          <cell r="B1423"/>
          <cell r="C1423"/>
          <cell r="D1423"/>
        </row>
        <row r="1424">
          <cell r="A1424"/>
          <cell r="B1424"/>
          <cell r="C1424"/>
          <cell r="D1424"/>
        </row>
        <row r="1425">
          <cell r="A1425"/>
          <cell r="B1425"/>
          <cell r="C1425"/>
          <cell r="D1425"/>
        </row>
        <row r="1426">
          <cell r="A1426"/>
          <cell r="B1426"/>
          <cell r="C1426"/>
          <cell r="D1426"/>
        </row>
        <row r="1427">
          <cell r="A1427"/>
          <cell r="B1427"/>
          <cell r="C1427"/>
          <cell r="D1427"/>
        </row>
        <row r="1428">
          <cell r="A1428"/>
          <cell r="B1428"/>
          <cell r="C1428"/>
          <cell r="D1428"/>
        </row>
        <row r="1429">
          <cell r="A1429"/>
          <cell r="B1429"/>
          <cell r="C1429"/>
          <cell r="D1429"/>
        </row>
        <row r="1430">
          <cell r="A1430"/>
          <cell r="B1430"/>
          <cell r="C1430"/>
          <cell r="D1430"/>
        </row>
        <row r="1431">
          <cell r="A1431"/>
          <cell r="B1431"/>
          <cell r="C1431"/>
          <cell r="D1431"/>
        </row>
        <row r="1432">
          <cell r="A1432"/>
          <cell r="B1432"/>
          <cell r="C1432"/>
          <cell r="D1432"/>
        </row>
        <row r="1433">
          <cell r="A1433"/>
          <cell r="B1433"/>
          <cell r="C1433"/>
          <cell r="D1433"/>
        </row>
        <row r="1434">
          <cell r="A1434"/>
          <cell r="B1434"/>
          <cell r="C1434"/>
          <cell r="D1434"/>
        </row>
        <row r="1435">
          <cell r="A1435"/>
          <cell r="B1435"/>
          <cell r="C1435"/>
          <cell r="D1435"/>
        </row>
        <row r="1436">
          <cell r="A1436"/>
          <cell r="B1436"/>
          <cell r="C1436"/>
          <cell r="D1436"/>
        </row>
        <row r="1437">
          <cell r="A1437"/>
          <cell r="B1437"/>
          <cell r="C1437"/>
          <cell r="D1437"/>
        </row>
        <row r="1438">
          <cell r="A1438"/>
          <cell r="B1438"/>
          <cell r="C1438"/>
          <cell r="D1438"/>
        </row>
        <row r="1439">
          <cell r="A1439"/>
          <cell r="B1439"/>
          <cell r="C1439"/>
          <cell r="D1439"/>
        </row>
        <row r="1440">
          <cell r="A1440"/>
          <cell r="B1440"/>
          <cell r="C1440"/>
          <cell r="D1440"/>
        </row>
        <row r="1441">
          <cell r="A1441"/>
          <cell r="B1441"/>
          <cell r="C1441"/>
          <cell r="D1441"/>
        </row>
        <row r="1442">
          <cell r="A1442"/>
          <cell r="B1442"/>
          <cell r="C1442"/>
          <cell r="D1442"/>
        </row>
        <row r="1443">
          <cell r="A1443"/>
          <cell r="B1443"/>
          <cell r="C1443"/>
          <cell r="D1443"/>
        </row>
        <row r="1444">
          <cell r="A1444"/>
          <cell r="B1444"/>
          <cell r="C1444"/>
          <cell r="D1444"/>
        </row>
        <row r="1445">
          <cell r="A1445"/>
          <cell r="B1445"/>
          <cell r="C1445"/>
          <cell r="D1445"/>
        </row>
        <row r="1446">
          <cell r="A1446"/>
          <cell r="B1446"/>
          <cell r="C1446"/>
          <cell r="D1446"/>
        </row>
        <row r="1447">
          <cell r="A1447"/>
          <cell r="B1447"/>
          <cell r="C1447"/>
          <cell r="D1447"/>
        </row>
        <row r="1448">
          <cell r="A1448"/>
          <cell r="B1448"/>
          <cell r="C1448"/>
          <cell r="D1448"/>
        </row>
        <row r="1449">
          <cell r="A1449"/>
          <cell r="B1449"/>
          <cell r="C1449"/>
          <cell r="D1449"/>
        </row>
        <row r="1450">
          <cell r="A1450"/>
          <cell r="B1450"/>
          <cell r="C1450"/>
          <cell r="D1450"/>
        </row>
        <row r="1451">
          <cell r="A1451"/>
          <cell r="B1451"/>
          <cell r="C1451"/>
          <cell r="D1451"/>
        </row>
        <row r="1452">
          <cell r="A1452"/>
          <cell r="B1452"/>
          <cell r="C1452"/>
          <cell r="D1452"/>
        </row>
        <row r="1453">
          <cell r="A1453"/>
          <cell r="B1453"/>
          <cell r="C1453"/>
          <cell r="D1453"/>
        </row>
        <row r="1454">
          <cell r="A1454"/>
          <cell r="B1454"/>
          <cell r="C1454"/>
          <cell r="D1454"/>
        </row>
        <row r="1455">
          <cell r="A1455"/>
          <cell r="B1455"/>
          <cell r="C1455"/>
          <cell r="D1455"/>
        </row>
        <row r="1456">
          <cell r="A1456"/>
          <cell r="B1456"/>
          <cell r="C1456"/>
          <cell r="D1456"/>
        </row>
        <row r="1457">
          <cell r="A1457"/>
          <cell r="B1457"/>
          <cell r="C1457"/>
          <cell r="D1457"/>
        </row>
        <row r="1458">
          <cell r="A1458"/>
          <cell r="B1458"/>
          <cell r="C1458"/>
          <cell r="D1458"/>
        </row>
        <row r="1459">
          <cell r="A1459"/>
          <cell r="B1459"/>
          <cell r="C1459"/>
          <cell r="D1459"/>
        </row>
        <row r="1460">
          <cell r="A1460"/>
          <cell r="B1460"/>
          <cell r="C1460"/>
          <cell r="D1460"/>
        </row>
        <row r="1461">
          <cell r="A1461"/>
          <cell r="B1461"/>
          <cell r="C1461"/>
          <cell r="D1461"/>
        </row>
        <row r="1462">
          <cell r="A1462"/>
          <cell r="B1462"/>
          <cell r="C1462"/>
          <cell r="D1462"/>
        </row>
        <row r="1463">
          <cell r="A1463"/>
          <cell r="B1463"/>
          <cell r="C1463"/>
          <cell r="D1463"/>
        </row>
        <row r="1464">
          <cell r="A1464"/>
          <cell r="B1464"/>
          <cell r="C1464"/>
          <cell r="D1464"/>
        </row>
        <row r="1465">
          <cell r="A1465"/>
          <cell r="B1465"/>
          <cell r="C1465"/>
          <cell r="D1465"/>
        </row>
        <row r="1466">
          <cell r="A1466"/>
          <cell r="B1466"/>
          <cell r="C1466"/>
          <cell r="D1466"/>
        </row>
        <row r="1467">
          <cell r="A1467"/>
          <cell r="B1467"/>
          <cell r="C1467"/>
          <cell r="D1467"/>
        </row>
        <row r="1468">
          <cell r="A1468"/>
          <cell r="B1468"/>
          <cell r="C1468"/>
          <cell r="D1468"/>
        </row>
        <row r="1469">
          <cell r="A1469"/>
          <cell r="B1469"/>
          <cell r="C1469"/>
          <cell r="D1469"/>
        </row>
        <row r="1470">
          <cell r="A1470"/>
          <cell r="B1470"/>
          <cell r="C1470"/>
          <cell r="D1470"/>
        </row>
        <row r="1471">
          <cell r="A1471"/>
          <cell r="B1471"/>
          <cell r="C1471"/>
          <cell r="D1471"/>
        </row>
        <row r="1472">
          <cell r="A1472"/>
          <cell r="B1472"/>
          <cell r="C1472"/>
          <cell r="D1472"/>
        </row>
        <row r="1473">
          <cell r="A1473"/>
          <cell r="B1473"/>
          <cell r="C1473"/>
          <cell r="D1473"/>
        </row>
        <row r="1474">
          <cell r="A1474"/>
          <cell r="B1474"/>
          <cell r="C1474"/>
          <cell r="D1474"/>
        </row>
        <row r="1475">
          <cell r="A1475"/>
          <cell r="B1475"/>
          <cell r="C1475"/>
          <cell r="D1475"/>
        </row>
        <row r="1476">
          <cell r="A1476"/>
          <cell r="B1476"/>
          <cell r="C1476"/>
          <cell r="D1476"/>
        </row>
        <row r="1477">
          <cell r="A1477"/>
          <cell r="B1477"/>
          <cell r="C1477"/>
          <cell r="D1477"/>
        </row>
        <row r="1478">
          <cell r="A1478"/>
          <cell r="B1478"/>
          <cell r="C1478"/>
          <cell r="D1478"/>
        </row>
        <row r="1479">
          <cell r="A1479"/>
          <cell r="B1479"/>
          <cell r="C1479"/>
          <cell r="D1479"/>
        </row>
        <row r="1480">
          <cell r="A1480"/>
          <cell r="B1480"/>
          <cell r="C1480"/>
          <cell r="D1480"/>
        </row>
        <row r="1481">
          <cell r="A1481"/>
          <cell r="B1481"/>
          <cell r="C1481"/>
          <cell r="D1481"/>
        </row>
        <row r="1482">
          <cell r="A1482"/>
          <cell r="B1482"/>
          <cell r="C1482"/>
          <cell r="D1482"/>
        </row>
        <row r="1483">
          <cell r="A1483"/>
          <cell r="B1483"/>
          <cell r="C1483"/>
          <cell r="D1483"/>
        </row>
        <row r="1484">
          <cell r="A1484"/>
          <cell r="B1484"/>
          <cell r="C1484"/>
          <cell r="D1484"/>
        </row>
        <row r="1485">
          <cell r="A1485"/>
          <cell r="B1485"/>
          <cell r="C1485"/>
          <cell r="D1485"/>
        </row>
        <row r="1486">
          <cell r="A1486"/>
          <cell r="B1486"/>
          <cell r="C1486"/>
          <cell r="D1486"/>
        </row>
        <row r="1487">
          <cell r="A1487"/>
          <cell r="B1487"/>
          <cell r="C1487"/>
          <cell r="D1487"/>
        </row>
        <row r="1488">
          <cell r="A1488"/>
          <cell r="B1488"/>
          <cell r="C1488"/>
          <cell r="D1488"/>
        </row>
        <row r="1489">
          <cell r="A1489"/>
          <cell r="B1489"/>
          <cell r="C1489"/>
          <cell r="D1489"/>
        </row>
        <row r="1490">
          <cell r="A1490"/>
          <cell r="B1490"/>
          <cell r="C1490"/>
          <cell r="D1490"/>
        </row>
        <row r="1491">
          <cell r="A1491"/>
          <cell r="B1491"/>
          <cell r="C1491"/>
          <cell r="D1491"/>
        </row>
        <row r="1492">
          <cell r="A1492"/>
          <cell r="B1492"/>
          <cell r="C1492"/>
          <cell r="D1492"/>
        </row>
        <row r="1493">
          <cell r="A1493"/>
          <cell r="B1493"/>
          <cell r="C1493"/>
          <cell r="D1493"/>
        </row>
        <row r="1494">
          <cell r="A1494"/>
          <cell r="B1494"/>
          <cell r="C1494"/>
          <cell r="D1494"/>
        </row>
        <row r="1495">
          <cell r="A1495"/>
          <cell r="B1495"/>
          <cell r="C1495"/>
          <cell r="D1495"/>
        </row>
        <row r="1496">
          <cell r="A1496"/>
          <cell r="B1496"/>
          <cell r="C1496"/>
          <cell r="D1496"/>
        </row>
        <row r="1497">
          <cell r="A1497"/>
          <cell r="B1497"/>
          <cell r="C1497"/>
          <cell r="D1497"/>
        </row>
        <row r="1498">
          <cell r="A1498"/>
          <cell r="B1498"/>
          <cell r="C1498"/>
          <cell r="D1498"/>
        </row>
        <row r="1499">
          <cell r="A1499"/>
          <cell r="B1499"/>
          <cell r="C1499"/>
          <cell r="D1499"/>
        </row>
        <row r="1500">
          <cell r="A1500"/>
          <cell r="B1500"/>
          <cell r="C1500"/>
          <cell r="D1500"/>
        </row>
        <row r="1501">
          <cell r="A1501"/>
          <cell r="B1501"/>
          <cell r="C1501"/>
          <cell r="D1501"/>
        </row>
        <row r="1502">
          <cell r="A1502"/>
          <cell r="B1502"/>
          <cell r="C1502"/>
          <cell r="D1502"/>
        </row>
        <row r="1503">
          <cell r="A1503"/>
          <cell r="B1503"/>
          <cell r="C1503"/>
          <cell r="D1503"/>
        </row>
        <row r="1504">
          <cell r="A1504"/>
          <cell r="B1504"/>
          <cell r="C1504"/>
          <cell r="D1504"/>
        </row>
        <row r="1505">
          <cell r="A1505"/>
          <cell r="B1505"/>
          <cell r="C1505"/>
          <cell r="D1505"/>
        </row>
        <row r="1506">
          <cell r="A1506"/>
          <cell r="B1506"/>
          <cell r="C1506"/>
          <cell r="D1506"/>
        </row>
        <row r="1507">
          <cell r="A1507"/>
          <cell r="B1507"/>
          <cell r="C1507"/>
          <cell r="D1507"/>
        </row>
        <row r="1508">
          <cell r="A1508"/>
          <cell r="B1508"/>
          <cell r="C1508"/>
          <cell r="D1508"/>
        </row>
        <row r="1509">
          <cell r="A1509"/>
          <cell r="B1509"/>
          <cell r="C1509"/>
          <cell r="D1509"/>
        </row>
        <row r="1510">
          <cell r="A1510"/>
          <cell r="B1510"/>
          <cell r="C1510"/>
          <cell r="D1510"/>
        </row>
        <row r="1511">
          <cell r="A1511"/>
          <cell r="B1511"/>
          <cell r="C1511"/>
          <cell r="D1511"/>
        </row>
        <row r="1512">
          <cell r="A1512"/>
          <cell r="B1512"/>
          <cell r="C1512"/>
          <cell r="D1512"/>
        </row>
        <row r="1513">
          <cell r="A1513"/>
          <cell r="B1513"/>
          <cell r="C1513"/>
          <cell r="D1513"/>
        </row>
        <row r="1514">
          <cell r="A1514"/>
          <cell r="B1514"/>
          <cell r="C1514"/>
          <cell r="D1514"/>
        </row>
        <row r="1515">
          <cell r="A1515"/>
          <cell r="B1515"/>
          <cell r="C1515"/>
          <cell r="D1515"/>
        </row>
        <row r="1516">
          <cell r="A1516"/>
          <cell r="B1516"/>
          <cell r="C1516"/>
          <cell r="D1516"/>
        </row>
        <row r="1517">
          <cell r="A1517"/>
          <cell r="B1517"/>
          <cell r="C1517"/>
          <cell r="D1517"/>
        </row>
        <row r="1518">
          <cell r="A1518"/>
          <cell r="B1518"/>
          <cell r="C1518"/>
          <cell r="D1518"/>
        </row>
        <row r="1519">
          <cell r="A1519"/>
          <cell r="B1519"/>
          <cell r="C1519"/>
          <cell r="D1519"/>
        </row>
        <row r="1520">
          <cell r="A1520"/>
          <cell r="B1520"/>
          <cell r="C1520"/>
          <cell r="D1520"/>
        </row>
        <row r="1521">
          <cell r="A1521"/>
          <cell r="B1521"/>
          <cell r="C1521"/>
          <cell r="D1521"/>
        </row>
        <row r="1522">
          <cell r="A1522"/>
          <cell r="B1522"/>
          <cell r="C1522"/>
          <cell r="D1522"/>
        </row>
        <row r="1523">
          <cell r="A1523"/>
          <cell r="B1523"/>
          <cell r="C1523"/>
          <cell r="D1523"/>
        </row>
        <row r="1524">
          <cell r="A1524"/>
          <cell r="B1524"/>
          <cell r="C1524"/>
          <cell r="D1524"/>
        </row>
        <row r="1525">
          <cell r="A1525"/>
          <cell r="B1525"/>
          <cell r="C1525"/>
          <cell r="D1525"/>
        </row>
        <row r="1526">
          <cell r="A1526"/>
          <cell r="B1526"/>
          <cell r="C1526"/>
          <cell r="D1526"/>
        </row>
        <row r="1527">
          <cell r="A1527"/>
          <cell r="B1527"/>
          <cell r="C1527"/>
          <cell r="D1527"/>
        </row>
        <row r="1528">
          <cell r="A1528"/>
          <cell r="B1528"/>
          <cell r="C1528"/>
          <cell r="D1528"/>
        </row>
        <row r="1529">
          <cell r="A1529"/>
          <cell r="B1529"/>
          <cell r="C1529"/>
          <cell r="D1529"/>
        </row>
        <row r="1530">
          <cell r="A1530"/>
          <cell r="B1530"/>
          <cell r="C1530"/>
          <cell r="D1530"/>
        </row>
        <row r="1531">
          <cell r="A1531"/>
          <cell r="B1531"/>
          <cell r="C1531"/>
          <cell r="D1531"/>
        </row>
        <row r="1532">
          <cell r="A1532"/>
          <cell r="B1532"/>
          <cell r="C1532"/>
          <cell r="D1532"/>
        </row>
        <row r="1533">
          <cell r="A1533"/>
          <cell r="B1533"/>
          <cell r="C1533"/>
          <cell r="D1533"/>
        </row>
        <row r="1534">
          <cell r="A1534"/>
          <cell r="B1534"/>
          <cell r="C1534"/>
          <cell r="D1534"/>
        </row>
        <row r="1535">
          <cell r="A1535"/>
          <cell r="B1535"/>
          <cell r="C1535"/>
          <cell r="D1535"/>
        </row>
        <row r="1536">
          <cell r="A1536"/>
          <cell r="B1536"/>
          <cell r="C1536"/>
          <cell r="D1536"/>
        </row>
        <row r="1537">
          <cell r="A1537"/>
          <cell r="B1537"/>
          <cell r="C1537"/>
          <cell r="D1537"/>
        </row>
        <row r="1538">
          <cell r="A1538"/>
          <cell r="B1538"/>
          <cell r="C1538"/>
          <cell r="D1538"/>
        </row>
        <row r="1539">
          <cell r="A1539"/>
          <cell r="B1539"/>
          <cell r="C1539"/>
          <cell r="D1539"/>
        </row>
        <row r="1540">
          <cell r="A1540"/>
          <cell r="B1540"/>
          <cell r="C1540"/>
          <cell r="D1540"/>
        </row>
        <row r="1541">
          <cell r="A1541"/>
          <cell r="B1541"/>
          <cell r="C1541"/>
          <cell r="D1541"/>
        </row>
        <row r="1542">
          <cell r="A1542"/>
          <cell r="B1542"/>
          <cell r="C1542"/>
          <cell r="D1542"/>
        </row>
        <row r="1543">
          <cell r="A1543"/>
          <cell r="B1543"/>
          <cell r="C1543"/>
          <cell r="D1543"/>
        </row>
        <row r="1544">
          <cell r="A1544"/>
          <cell r="B1544"/>
          <cell r="C1544"/>
          <cell r="D1544"/>
        </row>
        <row r="1545">
          <cell r="A1545"/>
          <cell r="B1545"/>
          <cell r="C1545"/>
          <cell r="D1545"/>
        </row>
        <row r="1546">
          <cell r="A1546"/>
          <cell r="B1546"/>
          <cell r="C1546"/>
          <cell r="D1546"/>
        </row>
        <row r="1547">
          <cell r="A1547"/>
          <cell r="B1547"/>
          <cell r="C1547"/>
          <cell r="D1547"/>
        </row>
        <row r="1548">
          <cell r="A1548"/>
          <cell r="B1548"/>
          <cell r="C1548"/>
          <cell r="D1548"/>
        </row>
        <row r="1549">
          <cell r="A1549"/>
          <cell r="B1549"/>
          <cell r="C1549"/>
          <cell r="D1549"/>
        </row>
        <row r="1550">
          <cell r="A1550"/>
          <cell r="B1550"/>
          <cell r="C1550"/>
          <cell r="D1550"/>
        </row>
        <row r="1551">
          <cell r="A1551"/>
          <cell r="B1551"/>
          <cell r="C1551"/>
          <cell r="D1551"/>
        </row>
        <row r="1552">
          <cell r="A1552"/>
          <cell r="B1552"/>
          <cell r="C1552"/>
          <cell r="D1552"/>
        </row>
        <row r="1553">
          <cell r="A1553"/>
          <cell r="B1553"/>
          <cell r="C1553"/>
          <cell r="D1553"/>
        </row>
        <row r="1554">
          <cell r="A1554"/>
          <cell r="B1554"/>
          <cell r="C1554"/>
          <cell r="D1554"/>
        </row>
        <row r="1555">
          <cell r="A1555"/>
          <cell r="B1555"/>
          <cell r="C1555"/>
          <cell r="D1555"/>
        </row>
        <row r="1556">
          <cell r="A1556"/>
          <cell r="B1556"/>
          <cell r="C1556"/>
          <cell r="D1556"/>
        </row>
        <row r="1557">
          <cell r="A1557"/>
          <cell r="B1557"/>
          <cell r="C1557"/>
          <cell r="D1557"/>
        </row>
        <row r="1558">
          <cell r="A1558"/>
          <cell r="B1558"/>
          <cell r="C1558"/>
          <cell r="D1558"/>
        </row>
        <row r="1559">
          <cell r="A1559"/>
          <cell r="B1559"/>
          <cell r="C1559"/>
          <cell r="D1559"/>
        </row>
        <row r="1560">
          <cell r="A1560"/>
          <cell r="B1560"/>
          <cell r="C1560"/>
          <cell r="D1560"/>
        </row>
        <row r="1561">
          <cell r="A1561"/>
          <cell r="B1561"/>
          <cell r="C1561"/>
          <cell r="D1561"/>
        </row>
        <row r="1562">
          <cell r="A1562"/>
          <cell r="B1562"/>
          <cell r="C1562"/>
          <cell r="D1562"/>
        </row>
        <row r="1563">
          <cell r="A1563"/>
          <cell r="B1563"/>
          <cell r="C1563"/>
          <cell r="D1563"/>
        </row>
        <row r="1564">
          <cell r="A1564"/>
          <cell r="B1564"/>
          <cell r="C1564"/>
          <cell r="D1564"/>
        </row>
        <row r="1565">
          <cell r="A1565"/>
          <cell r="B1565"/>
          <cell r="C1565"/>
          <cell r="D1565"/>
        </row>
        <row r="1566">
          <cell r="A1566"/>
          <cell r="B1566"/>
          <cell r="C1566"/>
          <cell r="D1566"/>
        </row>
        <row r="1567">
          <cell r="A1567"/>
          <cell r="B1567"/>
          <cell r="C1567"/>
          <cell r="D1567"/>
        </row>
        <row r="1568">
          <cell r="A1568"/>
          <cell r="B1568"/>
          <cell r="C1568"/>
          <cell r="D1568"/>
        </row>
        <row r="1569">
          <cell r="A1569"/>
          <cell r="B1569"/>
          <cell r="C1569"/>
          <cell r="D1569"/>
        </row>
        <row r="1570">
          <cell r="A1570"/>
          <cell r="B1570"/>
          <cell r="C1570"/>
          <cell r="D1570"/>
        </row>
        <row r="1571">
          <cell r="A1571"/>
          <cell r="B1571"/>
          <cell r="C1571"/>
          <cell r="D1571"/>
        </row>
        <row r="1572">
          <cell r="A1572"/>
          <cell r="B1572"/>
          <cell r="C1572"/>
          <cell r="D1572"/>
        </row>
        <row r="1573">
          <cell r="A1573"/>
          <cell r="B1573"/>
          <cell r="C1573"/>
          <cell r="D1573"/>
        </row>
        <row r="1574">
          <cell r="A1574"/>
          <cell r="B1574"/>
          <cell r="C1574"/>
          <cell r="D1574"/>
        </row>
        <row r="1575">
          <cell r="A1575"/>
          <cell r="B1575"/>
          <cell r="C1575"/>
          <cell r="D1575"/>
        </row>
        <row r="1576">
          <cell r="A1576"/>
          <cell r="B1576"/>
          <cell r="C1576"/>
          <cell r="D1576"/>
        </row>
        <row r="1577">
          <cell r="A1577"/>
          <cell r="B1577"/>
          <cell r="C1577"/>
          <cell r="D1577"/>
        </row>
        <row r="1578">
          <cell r="A1578"/>
          <cell r="B1578"/>
          <cell r="C1578"/>
          <cell r="D1578"/>
        </row>
        <row r="1579">
          <cell r="A1579"/>
          <cell r="B1579"/>
          <cell r="C1579"/>
          <cell r="D1579"/>
        </row>
        <row r="1580">
          <cell r="A1580"/>
          <cell r="B1580"/>
          <cell r="C1580"/>
          <cell r="D1580"/>
        </row>
        <row r="1581">
          <cell r="A1581"/>
          <cell r="B1581"/>
          <cell r="C1581"/>
          <cell r="D1581"/>
        </row>
        <row r="1582">
          <cell r="A1582"/>
          <cell r="B1582"/>
          <cell r="C1582"/>
          <cell r="D1582"/>
        </row>
        <row r="1583">
          <cell r="A1583"/>
          <cell r="B1583"/>
          <cell r="C1583"/>
          <cell r="D1583"/>
        </row>
        <row r="1584">
          <cell r="A1584"/>
          <cell r="B1584"/>
          <cell r="C1584"/>
          <cell r="D1584"/>
        </row>
        <row r="1585">
          <cell r="A1585"/>
          <cell r="B1585"/>
          <cell r="C1585"/>
          <cell r="D1585"/>
        </row>
        <row r="1586">
          <cell r="A1586"/>
          <cell r="B1586"/>
          <cell r="C1586"/>
          <cell r="D1586"/>
        </row>
        <row r="1587">
          <cell r="A1587"/>
          <cell r="B1587"/>
          <cell r="C1587"/>
          <cell r="D1587"/>
        </row>
        <row r="1588">
          <cell r="A1588"/>
          <cell r="B1588"/>
          <cell r="C1588"/>
          <cell r="D1588"/>
        </row>
        <row r="1589">
          <cell r="A1589"/>
          <cell r="B1589"/>
          <cell r="C1589"/>
          <cell r="D1589"/>
        </row>
        <row r="1590">
          <cell r="A1590"/>
          <cell r="B1590"/>
          <cell r="C1590"/>
          <cell r="D1590"/>
        </row>
        <row r="1591">
          <cell r="A1591"/>
          <cell r="B1591"/>
          <cell r="C1591"/>
          <cell r="D1591"/>
        </row>
        <row r="1592">
          <cell r="A1592"/>
          <cell r="B1592"/>
          <cell r="C1592"/>
          <cell r="D1592"/>
        </row>
        <row r="1593">
          <cell r="A1593"/>
          <cell r="B1593"/>
          <cell r="C1593"/>
          <cell r="D1593"/>
        </row>
        <row r="1594">
          <cell r="A1594"/>
          <cell r="B1594"/>
          <cell r="C1594"/>
          <cell r="D1594"/>
        </row>
        <row r="1595">
          <cell r="A1595"/>
          <cell r="B1595"/>
          <cell r="C1595"/>
          <cell r="D1595"/>
        </row>
        <row r="1596">
          <cell r="A1596"/>
          <cell r="B1596"/>
          <cell r="C1596"/>
          <cell r="D1596"/>
        </row>
        <row r="1597">
          <cell r="A1597"/>
          <cell r="B1597"/>
          <cell r="C1597"/>
          <cell r="D1597"/>
        </row>
        <row r="1598">
          <cell r="A1598"/>
          <cell r="B1598"/>
          <cell r="C1598"/>
          <cell r="D1598"/>
        </row>
        <row r="1599">
          <cell r="A1599"/>
          <cell r="B1599"/>
          <cell r="C1599"/>
          <cell r="D1599"/>
        </row>
        <row r="1600">
          <cell r="A1600"/>
          <cell r="B1600"/>
          <cell r="C1600"/>
          <cell r="D1600"/>
        </row>
        <row r="1601">
          <cell r="A1601"/>
          <cell r="B1601"/>
          <cell r="C1601"/>
          <cell r="D1601"/>
        </row>
        <row r="1602">
          <cell r="A1602"/>
          <cell r="B1602"/>
          <cell r="C1602"/>
          <cell r="D1602"/>
        </row>
        <row r="1603">
          <cell r="A1603"/>
          <cell r="B1603"/>
          <cell r="C1603"/>
          <cell r="D1603"/>
        </row>
        <row r="1604">
          <cell r="A1604"/>
          <cell r="B1604"/>
          <cell r="C1604"/>
          <cell r="D1604"/>
        </row>
        <row r="1605">
          <cell r="A1605"/>
          <cell r="B1605"/>
          <cell r="C1605"/>
          <cell r="D1605"/>
        </row>
        <row r="1606">
          <cell r="A1606"/>
          <cell r="B1606"/>
          <cell r="C1606"/>
          <cell r="D1606"/>
        </row>
        <row r="1607">
          <cell r="A1607"/>
          <cell r="B1607"/>
          <cell r="C1607"/>
          <cell r="D1607"/>
        </row>
        <row r="1608">
          <cell r="A1608"/>
          <cell r="B1608"/>
          <cell r="C1608"/>
          <cell r="D1608"/>
        </row>
        <row r="1609">
          <cell r="A1609"/>
          <cell r="B1609"/>
          <cell r="C1609"/>
          <cell r="D1609"/>
        </row>
        <row r="1610">
          <cell r="A1610"/>
          <cell r="B1610"/>
          <cell r="C1610"/>
          <cell r="D1610"/>
        </row>
        <row r="1611">
          <cell r="A1611"/>
          <cell r="B1611"/>
          <cell r="C1611"/>
          <cell r="D1611"/>
        </row>
        <row r="1612">
          <cell r="A1612"/>
          <cell r="B1612"/>
          <cell r="C1612"/>
          <cell r="D1612"/>
        </row>
        <row r="1613">
          <cell r="A1613"/>
          <cell r="B1613"/>
          <cell r="C1613"/>
          <cell r="D1613"/>
        </row>
        <row r="1614">
          <cell r="A1614"/>
          <cell r="B1614"/>
          <cell r="C1614"/>
          <cell r="D1614"/>
        </row>
        <row r="1615">
          <cell r="A1615"/>
          <cell r="B1615"/>
          <cell r="C1615"/>
          <cell r="D1615"/>
        </row>
        <row r="1616">
          <cell r="A1616"/>
          <cell r="B1616"/>
          <cell r="C1616"/>
          <cell r="D1616"/>
        </row>
        <row r="1617">
          <cell r="A1617"/>
          <cell r="B1617"/>
          <cell r="C1617"/>
          <cell r="D1617"/>
        </row>
        <row r="1618">
          <cell r="A1618"/>
          <cell r="B1618"/>
          <cell r="C1618"/>
          <cell r="D1618"/>
        </row>
        <row r="1619">
          <cell r="A1619"/>
          <cell r="B1619"/>
          <cell r="C1619"/>
          <cell r="D1619"/>
        </row>
        <row r="1620">
          <cell r="A1620"/>
          <cell r="B1620"/>
          <cell r="C1620"/>
          <cell r="D1620"/>
        </row>
        <row r="1621">
          <cell r="A1621"/>
          <cell r="B1621"/>
          <cell r="C1621"/>
          <cell r="D1621"/>
        </row>
        <row r="1622">
          <cell r="A1622"/>
          <cell r="B1622"/>
          <cell r="C1622"/>
          <cell r="D1622"/>
        </row>
        <row r="1623">
          <cell r="A1623"/>
          <cell r="B1623"/>
          <cell r="C1623"/>
          <cell r="D1623"/>
        </row>
        <row r="1624">
          <cell r="A1624"/>
          <cell r="B1624"/>
          <cell r="C1624"/>
          <cell r="D1624"/>
        </row>
        <row r="1625">
          <cell r="A1625"/>
          <cell r="B1625"/>
          <cell r="C1625"/>
          <cell r="D1625"/>
        </row>
        <row r="1626">
          <cell r="A1626"/>
          <cell r="B1626"/>
          <cell r="C1626"/>
          <cell r="D1626"/>
        </row>
        <row r="1627">
          <cell r="A1627"/>
          <cell r="B1627"/>
          <cell r="C1627"/>
          <cell r="D1627"/>
        </row>
        <row r="1628">
          <cell r="A1628"/>
          <cell r="B1628"/>
          <cell r="C1628"/>
          <cell r="D1628"/>
        </row>
        <row r="1629">
          <cell r="A1629"/>
          <cell r="B1629"/>
          <cell r="C1629"/>
          <cell r="D1629"/>
        </row>
        <row r="1630">
          <cell r="A1630"/>
          <cell r="B1630"/>
          <cell r="C1630"/>
          <cell r="D1630"/>
        </row>
        <row r="1631">
          <cell r="A1631"/>
          <cell r="B1631"/>
          <cell r="C1631"/>
          <cell r="D1631"/>
        </row>
        <row r="1632">
          <cell r="A1632"/>
          <cell r="B1632"/>
          <cell r="C1632"/>
          <cell r="D1632"/>
        </row>
        <row r="1633">
          <cell r="A1633"/>
          <cell r="B1633"/>
          <cell r="C1633"/>
          <cell r="D1633"/>
        </row>
        <row r="1634">
          <cell r="A1634"/>
          <cell r="B1634"/>
          <cell r="C1634"/>
          <cell r="D1634"/>
        </row>
        <row r="1635">
          <cell r="A1635"/>
          <cell r="B1635"/>
          <cell r="C1635"/>
          <cell r="D1635"/>
        </row>
        <row r="1636">
          <cell r="A1636"/>
          <cell r="B1636"/>
          <cell r="C1636"/>
          <cell r="D1636"/>
        </row>
        <row r="1637">
          <cell r="A1637"/>
          <cell r="B1637"/>
          <cell r="C1637"/>
          <cell r="D1637"/>
        </row>
        <row r="1638">
          <cell r="A1638"/>
          <cell r="B1638"/>
          <cell r="C1638"/>
          <cell r="D1638"/>
        </row>
        <row r="1639">
          <cell r="A1639"/>
          <cell r="B1639"/>
          <cell r="C1639"/>
          <cell r="D1639"/>
        </row>
        <row r="1640">
          <cell r="A1640"/>
          <cell r="B1640"/>
          <cell r="C1640"/>
          <cell r="D1640"/>
        </row>
        <row r="1641">
          <cell r="A1641"/>
          <cell r="B1641"/>
          <cell r="C1641"/>
          <cell r="D1641"/>
        </row>
        <row r="1642">
          <cell r="A1642"/>
          <cell r="B1642"/>
          <cell r="C1642"/>
          <cell r="D1642"/>
        </row>
        <row r="1643">
          <cell r="A1643"/>
          <cell r="B1643"/>
          <cell r="C1643"/>
          <cell r="D1643"/>
        </row>
        <row r="1644">
          <cell r="A1644"/>
          <cell r="B1644"/>
          <cell r="C1644"/>
          <cell r="D1644"/>
        </row>
        <row r="1645">
          <cell r="A1645"/>
          <cell r="B1645"/>
          <cell r="C1645"/>
          <cell r="D1645"/>
        </row>
        <row r="1646">
          <cell r="A1646"/>
          <cell r="B1646"/>
          <cell r="C1646"/>
          <cell r="D1646"/>
        </row>
        <row r="1647">
          <cell r="A1647"/>
          <cell r="B1647"/>
          <cell r="C1647"/>
          <cell r="D1647"/>
        </row>
        <row r="1648">
          <cell r="A1648"/>
          <cell r="B1648"/>
          <cell r="C1648"/>
          <cell r="D1648"/>
        </row>
        <row r="1649">
          <cell r="A1649"/>
          <cell r="B1649"/>
          <cell r="C1649"/>
          <cell r="D1649"/>
        </row>
        <row r="1650">
          <cell r="A1650"/>
          <cell r="B1650"/>
          <cell r="C1650"/>
          <cell r="D1650"/>
        </row>
        <row r="1651">
          <cell r="A1651"/>
          <cell r="B1651"/>
          <cell r="C1651"/>
          <cell r="D1651"/>
        </row>
        <row r="1652">
          <cell r="A1652"/>
          <cell r="B1652"/>
          <cell r="C1652"/>
          <cell r="D1652"/>
        </row>
        <row r="1653">
          <cell r="A1653"/>
          <cell r="B1653"/>
          <cell r="C1653"/>
          <cell r="D1653"/>
        </row>
        <row r="1654">
          <cell r="A1654"/>
          <cell r="B1654"/>
          <cell r="C1654"/>
          <cell r="D1654"/>
        </row>
        <row r="1655">
          <cell r="A1655"/>
          <cell r="B1655"/>
          <cell r="C1655"/>
          <cell r="D1655"/>
        </row>
        <row r="1656">
          <cell r="A1656"/>
          <cell r="B1656"/>
          <cell r="C1656"/>
          <cell r="D1656"/>
        </row>
        <row r="1657">
          <cell r="A1657"/>
          <cell r="B1657"/>
          <cell r="C1657"/>
          <cell r="D1657"/>
        </row>
        <row r="1658">
          <cell r="A1658"/>
          <cell r="B1658"/>
          <cell r="C1658"/>
          <cell r="D1658"/>
        </row>
        <row r="1659">
          <cell r="A1659"/>
          <cell r="B1659"/>
          <cell r="C1659"/>
          <cell r="D1659"/>
        </row>
        <row r="1660">
          <cell r="A1660"/>
          <cell r="B1660"/>
          <cell r="C1660"/>
          <cell r="D1660"/>
        </row>
        <row r="1661">
          <cell r="A1661"/>
          <cell r="B1661"/>
          <cell r="C1661"/>
          <cell r="D1661"/>
        </row>
        <row r="1662">
          <cell r="A1662"/>
          <cell r="B1662"/>
          <cell r="C1662"/>
          <cell r="D1662"/>
        </row>
        <row r="1663">
          <cell r="A1663"/>
          <cell r="B1663"/>
          <cell r="C1663"/>
          <cell r="D1663"/>
        </row>
        <row r="1664">
          <cell r="A1664"/>
          <cell r="B1664"/>
          <cell r="C1664"/>
          <cell r="D1664"/>
        </row>
        <row r="1665">
          <cell r="A1665"/>
          <cell r="B1665"/>
          <cell r="C1665"/>
          <cell r="D1665"/>
        </row>
        <row r="1666">
          <cell r="A1666"/>
          <cell r="B1666"/>
          <cell r="C1666"/>
          <cell r="D1666"/>
        </row>
        <row r="1667">
          <cell r="A1667"/>
          <cell r="B1667"/>
          <cell r="C1667"/>
          <cell r="D1667"/>
        </row>
        <row r="1668">
          <cell r="A1668"/>
          <cell r="B1668"/>
          <cell r="C1668"/>
          <cell r="D1668"/>
        </row>
        <row r="1669">
          <cell r="A1669"/>
          <cell r="B1669"/>
          <cell r="C1669"/>
          <cell r="D1669"/>
        </row>
        <row r="1670">
          <cell r="A1670"/>
          <cell r="B1670"/>
          <cell r="C1670"/>
          <cell r="D1670"/>
        </row>
        <row r="1671">
          <cell r="A1671"/>
          <cell r="B1671"/>
          <cell r="C1671"/>
          <cell r="D1671"/>
        </row>
        <row r="1672">
          <cell r="A1672"/>
          <cell r="B1672"/>
          <cell r="C1672"/>
          <cell r="D1672"/>
        </row>
        <row r="1673">
          <cell r="A1673"/>
          <cell r="B1673"/>
          <cell r="C1673"/>
          <cell r="D1673"/>
        </row>
        <row r="1674">
          <cell r="A1674"/>
          <cell r="B1674"/>
          <cell r="C1674"/>
          <cell r="D1674"/>
        </row>
        <row r="1675">
          <cell r="A1675"/>
          <cell r="B1675"/>
          <cell r="C1675"/>
          <cell r="D1675"/>
        </row>
        <row r="1676">
          <cell r="A1676"/>
          <cell r="B1676"/>
          <cell r="C1676"/>
          <cell r="D1676"/>
        </row>
        <row r="1677">
          <cell r="A1677"/>
          <cell r="B1677"/>
          <cell r="C1677"/>
          <cell r="D1677"/>
        </row>
        <row r="1678">
          <cell r="A1678"/>
          <cell r="B1678"/>
          <cell r="C1678"/>
          <cell r="D1678"/>
        </row>
        <row r="1679">
          <cell r="A1679"/>
          <cell r="B1679"/>
          <cell r="C1679"/>
          <cell r="D1679"/>
        </row>
        <row r="1680">
          <cell r="A1680"/>
          <cell r="B1680"/>
          <cell r="C1680"/>
          <cell r="D1680"/>
        </row>
        <row r="1681">
          <cell r="A1681"/>
          <cell r="B1681"/>
          <cell r="C1681"/>
          <cell r="D1681"/>
        </row>
        <row r="1682">
          <cell r="A1682"/>
          <cell r="B1682"/>
          <cell r="C1682"/>
          <cell r="D1682"/>
        </row>
        <row r="1683">
          <cell r="A1683"/>
          <cell r="B1683"/>
          <cell r="C1683"/>
          <cell r="D1683"/>
        </row>
        <row r="1684">
          <cell r="A1684"/>
          <cell r="B1684"/>
          <cell r="C1684"/>
          <cell r="D1684"/>
        </row>
        <row r="1685">
          <cell r="A1685"/>
          <cell r="B1685"/>
          <cell r="C1685"/>
          <cell r="D1685"/>
        </row>
        <row r="1686">
          <cell r="A1686"/>
          <cell r="B1686"/>
          <cell r="C1686"/>
          <cell r="D1686"/>
        </row>
        <row r="1687">
          <cell r="A1687"/>
          <cell r="B1687"/>
          <cell r="C1687"/>
          <cell r="D1687"/>
        </row>
        <row r="1688">
          <cell r="A1688"/>
          <cell r="B1688"/>
          <cell r="C1688"/>
          <cell r="D1688"/>
        </row>
        <row r="1689">
          <cell r="A1689"/>
          <cell r="B1689"/>
          <cell r="C1689"/>
          <cell r="D1689"/>
        </row>
        <row r="1690">
          <cell r="A1690"/>
          <cell r="B1690"/>
          <cell r="C1690"/>
          <cell r="D1690"/>
        </row>
        <row r="1691">
          <cell r="A1691"/>
          <cell r="B1691"/>
          <cell r="C1691"/>
          <cell r="D1691"/>
        </row>
        <row r="1692">
          <cell r="A1692"/>
          <cell r="B1692"/>
          <cell r="C1692"/>
          <cell r="D1692"/>
        </row>
        <row r="1693">
          <cell r="A1693"/>
          <cell r="B1693"/>
          <cell r="C1693"/>
          <cell r="D1693"/>
        </row>
        <row r="1694">
          <cell r="A1694"/>
          <cell r="B1694"/>
          <cell r="C1694"/>
          <cell r="D1694"/>
        </row>
        <row r="1695">
          <cell r="A1695"/>
          <cell r="B1695"/>
          <cell r="C1695"/>
          <cell r="D1695"/>
        </row>
        <row r="1696">
          <cell r="A1696"/>
          <cell r="B1696"/>
          <cell r="C1696"/>
          <cell r="D1696"/>
        </row>
        <row r="1697">
          <cell r="A1697"/>
          <cell r="B1697"/>
          <cell r="C1697"/>
          <cell r="D1697"/>
        </row>
        <row r="1698">
          <cell r="A1698"/>
          <cell r="B1698"/>
          <cell r="C1698"/>
          <cell r="D1698"/>
        </row>
        <row r="1699">
          <cell r="A1699"/>
          <cell r="B1699"/>
          <cell r="C1699"/>
          <cell r="D1699"/>
        </row>
        <row r="1700">
          <cell r="A1700"/>
          <cell r="B1700"/>
          <cell r="C1700"/>
          <cell r="D1700"/>
        </row>
        <row r="1701">
          <cell r="A1701"/>
          <cell r="B1701"/>
          <cell r="C1701"/>
          <cell r="D1701"/>
        </row>
        <row r="1702">
          <cell r="A1702"/>
          <cell r="B1702"/>
          <cell r="C1702"/>
          <cell r="D1702"/>
        </row>
        <row r="1703">
          <cell r="A1703"/>
          <cell r="B1703"/>
          <cell r="C1703"/>
          <cell r="D1703"/>
        </row>
        <row r="1704">
          <cell r="A1704"/>
          <cell r="B1704"/>
          <cell r="C1704"/>
          <cell r="D1704"/>
        </row>
        <row r="1705">
          <cell r="A1705"/>
          <cell r="B1705"/>
          <cell r="C1705"/>
          <cell r="D1705"/>
        </row>
        <row r="1706">
          <cell r="A1706"/>
          <cell r="B1706"/>
          <cell r="C1706"/>
          <cell r="D1706"/>
        </row>
        <row r="1707">
          <cell r="A1707"/>
          <cell r="B1707"/>
          <cell r="C1707"/>
          <cell r="D1707"/>
        </row>
        <row r="1708">
          <cell r="A1708"/>
          <cell r="B1708"/>
          <cell r="C1708"/>
          <cell r="D1708"/>
        </row>
        <row r="1709">
          <cell r="A1709"/>
          <cell r="B1709"/>
          <cell r="C1709"/>
          <cell r="D1709"/>
        </row>
        <row r="1710">
          <cell r="A1710"/>
          <cell r="B1710"/>
          <cell r="C1710"/>
          <cell r="D1710"/>
        </row>
        <row r="1711">
          <cell r="A1711"/>
          <cell r="B1711"/>
          <cell r="C1711"/>
          <cell r="D1711"/>
        </row>
        <row r="1712">
          <cell r="A1712"/>
          <cell r="B1712"/>
          <cell r="C1712"/>
          <cell r="D1712"/>
        </row>
        <row r="1713">
          <cell r="A1713"/>
          <cell r="B1713"/>
          <cell r="C1713"/>
          <cell r="D1713"/>
        </row>
        <row r="1714">
          <cell r="A1714"/>
          <cell r="B1714"/>
          <cell r="C1714"/>
          <cell r="D1714"/>
        </row>
        <row r="1715">
          <cell r="A1715"/>
          <cell r="B1715"/>
          <cell r="C1715"/>
          <cell r="D1715"/>
        </row>
        <row r="1716">
          <cell r="A1716"/>
          <cell r="B1716"/>
          <cell r="C1716"/>
          <cell r="D1716"/>
        </row>
        <row r="1717">
          <cell r="A1717"/>
          <cell r="B1717"/>
          <cell r="C1717"/>
          <cell r="D1717"/>
        </row>
        <row r="1718">
          <cell r="A1718"/>
          <cell r="B1718"/>
          <cell r="C1718"/>
          <cell r="D1718"/>
        </row>
        <row r="1719">
          <cell r="A1719"/>
          <cell r="B1719"/>
          <cell r="C1719"/>
          <cell r="D1719"/>
        </row>
        <row r="1720">
          <cell r="A1720"/>
          <cell r="B1720"/>
          <cell r="C1720"/>
          <cell r="D1720"/>
        </row>
        <row r="1721">
          <cell r="A1721"/>
          <cell r="B1721"/>
          <cell r="C1721"/>
          <cell r="D1721"/>
        </row>
        <row r="1722">
          <cell r="A1722"/>
          <cell r="B1722"/>
          <cell r="C1722"/>
          <cell r="D1722"/>
        </row>
        <row r="1723">
          <cell r="A1723"/>
          <cell r="B1723"/>
          <cell r="C1723"/>
          <cell r="D1723"/>
        </row>
        <row r="1724">
          <cell r="A1724"/>
          <cell r="B1724"/>
          <cell r="C1724"/>
          <cell r="D1724"/>
        </row>
        <row r="1725">
          <cell r="A1725"/>
          <cell r="B1725"/>
          <cell r="C1725"/>
          <cell r="D1725"/>
        </row>
        <row r="1726">
          <cell r="A1726"/>
          <cell r="B1726"/>
          <cell r="C1726"/>
          <cell r="D1726"/>
        </row>
        <row r="1727">
          <cell r="A1727"/>
          <cell r="B1727"/>
          <cell r="C1727"/>
          <cell r="D1727"/>
        </row>
        <row r="1728">
          <cell r="A1728"/>
          <cell r="B1728"/>
          <cell r="C1728"/>
          <cell r="D1728"/>
        </row>
        <row r="1729">
          <cell r="A1729"/>
          <cell r="B1729"/>
          <cell r="C1729"/>
          <cell r="D1729"/>
        </row>
        <row r="1730">
          <cell r="A1730"/>
          <cell r="B1730"/>
          <cell r="C1730"/>
          <cell r="D1730"/>
        </row>
        <row r="1731">
          <cell r="A1731"/>
          <cell r="B1731"/>
          <cell r="C1731"/>
          <cell r="D1731"/>
        </row>
        <row r="1732">
          <cell r="A1732"/>
          <cell r="B1732"/>
          <cell r="C1732"/>
          <cell r="D1732"/>
        </row>
        <row r="1733">
          <cell r="A1733"/>
          <cell r="B1733"/>
          <cell r="C1733"/>
          <cell r="D1733"/>
        </row>
        <row r="1734">
          <cell r="A1734"/>
          <cell r="B1734"/>
          <cell r="C1734"/>
          <cell r="D1734"/>
        </row>
        <row r="1735">
          <cell r="A1735"/>
          <cell r="B1735"/>
          <cell r="C1735"/>
          <cell r="D1735"/>
        </row>
        <row r="1736">
          <cell r="A1736"/>
          <cell r="B1736"/>
          <cell r="C1736"/>
          <cell r="D1736"/>
        </row>
        <row r="1737">
          <cell r="A1737"/>
          <cell r="B1737"/>
          <cell r="C1737"/>
          <cell r="D1737"/>
        </row>
        <row r="1738">
          <cell r="A1738"/>
          <cell r="B1738"/>
          <cell r="C1738"/>
          <cell r="D1738"/>
        </row>
        <row r="1739">
          <cell r="A1739"/>
          <cell r="B1739"/>
          <cell r="C1739"/>
          <cell r="D1739"/>
        </row>
        <row r="1740">
          <cell r="A1740"/>
          <cell r="B1740"/>
          <cell r="C1740"/>
          <cell r="D1740"/>
        </row>
        <row r="1741">
          <cell r="A1741"/>
          <cell r="B1741"/>
          <cell r="C1741"/>
          <cell r="D1741"/>
        </row>
        <row r="1742">
          <cell r="A1742"/>
          <cell r="B1742"/>
          <cell r="C1742"/>
          <cell r="D1742"/>
        </row>
        <row r="1743">
          <cell r="A1743"/>
          <cell r="B1743"/>
          <cell r="C1743"/>
          <cell r="D1743"/>
        </row>
        <row r="1744">
          <cell r="A1744"/>
          <cell r="B1744"/>
          <cell r="C1744"/>
          <cell r="D1744"/>
        </row>
        <row r="1745">
          <cell r="A1745"/>
          <cell r="B1745"/>
          <cell r="C1745"/>
          <cell r="D1745"/>
        </row>
        <row r="1746">
          <cell r="A1746"/>
          <cell r="B1746"/>
          <cell r="C1746"/>
          <cell r="D1746"/>
        </row>
        <row r="1747">
          <cell r="A1747"/>
          <cell r="B1747"/>
          <cell r="C1747"/>
          <cell r="D1747"/>
        </row>
        <row r="1748">
          <cell r="A1748"/>
          <cell r="B1748"/>
          <cell r="C1748"/>
          <cell r="D1748"/>
        </row>
        <row r="1749">
          <cell r="A1749"/>
          <cell r="B1749"/>
          <cell r="C1749"/>
          <cell r="D1749"/>
        </row>
        <row r="1750">
          <cell r="A1750"/>
          <cell r="B1750"/>
          <cell r="C1750"/>
          <cell r="D1750"/>
        </row>
        <row r="1751">
          <cell r="A1751"/>
          <cell r="B1751"/>
          <cell r="C1751"/>
          <cell r="D1751"/>
        </row>
        <row r="1752">
          <cell r="A1752"/>
          <cell r="B1752"/>
          <cell r="C1752"/>
          <cell r="D1752"/>
        </row>
        <row r="1753">
          <cell r="A1753"/>
          <cell r="B1753"/>
          <cell r="C1753"/>
          <cell r="D1753"/>
        </row>
        <row r="1754">
          <cell r="A1754"/>
          <cell r="B1754"/>
          <cell r="C1754"/>
          <cell r="D1754"/>
        </row>
        <row r="1755">
          <cell r="A1755"/>
          <cell r="B1755"/>
          <cell r="C1755"/>
          <cell r="D1755"/>
        </row>
        <row r="1756">
          <cell r="A1756"/>
          <cell r="B1756"/>
          <cell r="C1756"/>
          <cell r="D1756"/>
        </row>
        <row r="1757">
          <cell r="A1757"/>
          <cell r="B1757"/>
          <cell r="C1757"/>
          <cell r="D1757"/>
        </row>
        <row r="1758">
          <cell r="A1758"/>
          <cell r="B1758"/>
          <cell r="C1758"/>
          <cell r="D1758"/>
        </row>
        <row r="1759">
          <cell r="A1759"/>
          <cell r="B1759"/>
          <cell r="C1759"/>
          <cell r="D1759"/>
        </row>
        <row r="1760">
          <cell r="A1760"/>
          <cell r="B1760"/>
          <cell r="C1760"/>
          <cell r="D1760"/>
        </row>
        <row r="1761">
          <cell r="A1761"/>
          <cell r="B1761"/>
          <cell r="C1761"/>
          <cell r="D1761"/>
        </row>
        <row r="1762">
          <cell r="A1762"/>
          <cell r="B1762"/>
          <cell r="C1762"/>
          <cell r="D1762"/>
        </row>
        <row r="1763">
          <cell r="A1763"/>
          <cell r="B1763"/>
          <cell r="C1763"/>
          <cell r="D1763"/>
        </row>
        <row r="1764">
          <cell r="A1764"/>
          <cell r="B1764"/>
          <cell r="C1764"/>
          <cell r="D1764"/>
        </row>
        <row r="1765">
          <cell r="A1765"/>
          <cell r="B1765"/>
          <cell r="C1765"/>
          <cell r="D1765"/>
        </row>
        <row r="1766">
          <cell r="A1766"/>
          <cell r="B1766"/>
          <cell r="C1766"/>
          <cell r="D1766"/>
        </row>
        <row r="1767">
          <cell r="A1767"/>
          <cell r="B1767"/>
          <cell r="C1767"/>
          <cell r="D1767"/>
        </row>
        <row r="1768">
          <cell r="A1768"/>
          <cell r="B1768"/>
          <cell r="C1768"/>
          <cell r="D1768"/>
        </row>
        <row r="1769">
          <cell r="A1769"/>
          <cell r="B1769"/>
          <cell r="C1769"/>
          <cell r="D1769"/>
        </row>
        <row r="1770">
          <cell r="A1770"/>
          <cell r="B1770"/>
          <cell r="C1770"/>
          <cell r="D1770"/>
        </row>
        <row r="1771">
          <cell r="A1771"/>
          <cell r="B1771"/>
          <cell r="C1771"/>
          <cell r="D1771"/>
        </row>
        <row r="1772">
          <cell r="A1772"/>
          <cell r="B1772"/>
          <cell r="C1772"/>
          <cell r="D1772"/>
        </row>
        <row r="1773">
          <cell r="A1773"/>
          <cell r="B1773"/>
          <cell r="C1773"/>
          <cell r="D1773"/>
        </row>
        <row r="1774">
          <cell r="A1774"/>
          <cell r="B1774"/>
          <cell r="C1774"/>
          <cell r="D1774"/>
        </row>
        <row r="1775">
          <cell r="A1775"/>
          <cell r="B1775"/>
          <cell r="C1775"/>
          <cell r="D1775"/>
        </row>
        <row r="1776">
          <cell r="A1776"/>
          <cell r="B1776"/>
          <cell r="C1776"/>
          <cell r="D1776"/>
        </row>
        <row r="1777">
          <cell r="A1777"/>
          <cell r="B1777"/>
          <cell r="C1777"/>
          <cell r="D1777"/>
        </row>
        <row r="1778">
          <cell r="A1778"/>
          <cell r="B1778"/>
          <cell r="C1778"/>
          <cell r="D1778"/>
        </row>
        <row r="1779">
          <cell r="A1779"/>
          <cell r="B1779"/>
          <cell r="C1779"/>
          <cell r="D1779"/>
        </row>
        <row r="1780">
          <cell r="A1780"/>
          <cell r="B1780"/>
          <cell r="C1780"/>
          <cell r="D1780"/>
        </row>
        <row r="1781">
          <cell r="A1781"/>
          <cell r="B1781"/>
          <cell r="C1781"/>
          <cell r="D1781"/>
        </row>
        <row r="1782">
          <cell r="A1782"/>
          <cell r="B1782"/>
          <cell r="C1782"/>
          <cell r="D1782"/>
        </row>
        <row r="1783">
          <cell r="A1783"/>
          <cell r="B1783"/>
          <cell r="C1783"/>
          <cell r="D1783"/>
        </row>
        <row r="1784">
          <cell r="A1784"/>
          <cell r="B1784"/>
          <cell r="C1784"/>
          <cell r="D1784"/>
        </row>
        <row r="1785">
          <cell r="A1785"/>
          <cell r="B1785"/>
          <cell r="C1785"/>
          <cell r="D1785"/>
        </row>
        <row r="1786">
          <cell r="A1786"/>
          <cell r="B1786"/>
          <cell r="C1786"/>
          <cell r="D1786"/>
        </row>
        <row r="1787">
          <cell r="A1787"/>
          <cell r="B1787"/>
          <cell r="C1787"/>
          <cell r="D1787"/>
        </row>
        <row r="1788">
          <cell r="A1788"/>
          <cell r="B1788"/>
          <cell r="C1788"/>
          <cell r="D1788"/>
        </row>
        <row r="1789">
          <cell r="A1789"/>
          <cell r="B1789"/>
          <cell r="C1789"/>
          <cell r="D1789"/>
        </row>
        <row r="1790">
          <cell r="A1790"/>
          <cell r="B1790"/>
          <cell r="C1790"/>
          <cell r="D1790"/>
        </row>
        <row r="1791">
          <cell r="A1791"/>
          <cell r="B1791"/>
          <cell r="C1791"/>
          <cell r="D1791"/>
        </row>
        <row r="1792">
          <cell r="A1792"/>
          <cell r="B1792"/>
          <cell r="C1792"/>
          <cell r="D1792"/>
        </row>
        <row r="1793">
          <cell r="A1793"/>
          <cell r="B1793"/>
          <cell r="C1793"/>
          <cell r="D1793"/>
        </row>
        <row r="1794">
          <cell r="A1794"/>
          <cell r="B1794"/>
          <cell r="C1794"/>
          <cell r="D1794"/>
        </row>
        <row r="1795">
          <cell r="A1795"/>
          <cell r="B1795"/>
          <cell r="C1795"/>
          <cell r="D1795"/>
        </row>
        <row r="1796">
          <cell r="A1796"/>
          <cell r="B1796"/>
          <cell r="C1796"/>
          <cell r="D1796"/>
        </row>
        <row r="1797">
          <cell r="A1797"/>
          <cell r="B1797"/>
          <cell r="C1797"/>
          <cell r="D1797"/>
        </row>
        <row r="1798">
          <cell r="A1798"/>
          <cell r="B1798"/>
          <cell r="C1798"/>
          <cell r="D1798"/>
        </row>
        <row r="1799">
          <cell r="A1799"/>
          <cell r="B1799"/>
          <cell r="C1799"/>
          <cell r="D1799"/>
        </row>
        <row r="1800">
          <cell r="A1800"/>
          <cell r="B1800"/>
          <cell r="C1800"/>
          <cell r="D1800"/>
        </row>
        <row r="1801">
          <cell r="A1801"/>
          <cell r="B1801"/>
          <cell r="C1801"/>
          <cell r="D1801"/>
        </row>
        <row r="1802">
          <cell r="A1802"/>
          <cell r="B1802"/>
          <cell r="C1802"/>
          <cell r="D1802"/>
        </row>
        <row r="1803">
          <cell r="A1803"/>
          <cell r="B1803"/>
          <cell r="C1803"/>
          <cell r="D1803"/>
        </row>
        <row r="1804">
          <cell r="A1804"/>
          <cell r="B1804"/>
          <cell r="C1804"/>
          <cell r="D1804"/>
        </row>
        <row r="1805">
          <cell r="A1805"/>
          <cell r="B1805"/>
          <cell r="C1805"/>
          <cell r="D1805"/>
        </row>
        <row r="1806">
          <cell r="A1806"/>
          <cell r="B1806"/>
          <cell r="C1806"/>
          <cell r="D1806"/>
        </row>
        <row r="1807">
          <cell r="A1807"/>
          <cell r="B1807"/>
          <cell r="C1807"/>
          <cell r="D1807"/>
        </row>
        <row r="1808">
          <cell r="A1808"/>
          <cell r="B1808"/>
          <cell r="C1808"/>
          <cell r="D1808"/>
        </row>
        <row r="1809">
          <cell r="A1809"/>
          <cell r="B1809"/>
          <cell r="C1809"/>
          <cell r="D1809"/>
        </row>
        <row r="1810">
          <cell r="A1810"/>
          <cell r="B1810"/>
          <cell r="C1810"/>
          <cell r="D1810"/>
        </row>
        <row r="1811">
          <cell r="A1811"/>
          <cell r="B1811"/>
          <cell r="C1811"/>
          <cell r="D1811"/>
        </row>
        <row r="1812">
          <cell r="A1812"/>
          <cell r="B1812"/>
          <cell r="C1812"/>
          <cell r="D1812"/>
        </row>
        <row r="1813">
          <cell r="A1813"/>
          <cell r="B1813"/>
          <cell r="C1813"/>
          <cell r="D1813"/>
        </row>
        <row r="1814">
          <cell r="A1814"/>
          <cell r="B1814"/>
          <cell r="C1814"/>
          <cell r="D1814"/>
        </row>
        <row r="1815">
          <cell r="A1815"/>
          <cell r="B1815"/>
          <cell r="C1815"/>
          <cell r="D1815"/>
        </row>
        <row r="1816">
          <cell r="A1816"/>
          <cell r="B1816"/>
          <cell r="C1816"/>
          <cell r="D1816"/>
        </row>
        <row r="1817">
          <cell r="A1817"/>
          <cell r="B1817"/>
          <cell r="C1817"/>
          <cell r="D1817"/>
        </row>
        <row r="1818">
          <cell r="A1818"/>
          <cell r="B1818"/>
          <cell r="C1818"/>
          <cell r="D1818"/>
        </row>
        <row r="1819">
          <cell r="A1819"/>
          <cell r="B1819"/>
          <cell r="C1819"/>
          <cell r="D1819"/>
        </row>
        <row r="1820">
          <cell r="A1820"/>
          <cell r="B1820"/>
          <cell r="C1820"/>
          <cell r="D1820"/>
        </row>
        <row r="1821">
          <cell r="A1821"/>
          <cell r="B1821"/>
          <cell r="C1821"/>
          <cell r="D1821"/>
        </row>
        <row r="1822">
          <cell r="A1822"/>
          <cell r="B1822"/>
          <cell r="C1822"/>
          <cell r="D1822"/>
        </row>
        <row r="1823">
          <cell r="A1823"/>
          <cell r="B1823"/>
          <cell r="C1823"/>
          <cell r="D1823"/>
        </row>
        <row r="1824">
          <cell r="A1824"/>
          <cell r="B1824"/>
          <cell r="C1824"/>
          <cell r="D1824"/>
        </row>
        <row r="1825">
          <cell r="A1825"/>
          <cell r="B1825"/>
          <cell r="C1825"/>
          <cell r="D1825"/>
        </row>
        <row r="1826">
          <cell r="A1826"/>
          <cell r="B1826"/>
          <cell r="C1826"/>
          <cell r="D1826"/>
        </row>
        <row r="1827">
          <cell r="A1827"/>
          <cell r="B1827"/>
          <cell r="C1827"/>
          <cell r="D1827"/>
        </row>
        <row r="1828">
          <cell r="A1828"/>
          <cell r="B1828"/>
          <cell r="C1828"/>
          <cell r="D1828"/>
        </row>
        <row r="1829">
          <cell r="A1829"/>
          <cell r="B1829"/>
          <cell r="C1829"/>
          <cell r="D1829"/>
        </row>
        <row r="1830">
          <cell r="A1830"/>
          <cell r="B1830"/>
          <cell r="C1830"/>
          <cell r="D1830"/>
        </row>
        <row r="1831">
          <cell r="A1831"/>
          <cell r="B1831"/>
          <cell r="C1831"/>
          <cell r="D1831"/>
        </row>
        <row r="1832">
          <cell r="A1832"/>
          <cell r="B1832"/>
          <cell r="C1832"/>
          <cell r="D1832"/>
        </row>
        <row r="1833">
          <cell r="A1833"/>
          <cell r="B1833"/>
          <cell r="C1833"/>
          <cell r="D1833"/>
        </row>
        <row r="1834">
          <cell r="A1834"/>
          <cell r="B1834"/>
          <cell r="C1834"/>
          <cell r="D1834"/>
        </row>
        <row r="1835">
          <cell r="A1835"/>
          <cell r="B1835"/>
          <cell r="C1835"/>
          <cell r="D1835"/>
        </row>
        <row r="1836">
          <cell r="A1836"/>
          <cell r="B1836"/>
          <cell r="C1836"/>
          <cell r="D1836"/>
        </row>
        <row r="1837">
          <cell r="A1837"/>
          <cell r="B1837"/>
          <cell r="C1837"/>
          <cell r="D1837"/>
        </row>
        <row r="1838">
          <cell r="A1838"/>
          <cell r="B1838"/>
          <cell r="C1838"/>
          <cell r="D1838"/>
        </row>
        <row r="1839">
          <cell r="A1839"/>
          <cell r="B1839"/>
          <cell r="C1839"/>
          <cell r="D1839"/>
        </row>
        <row r="1840">
          <cell r="A1840"/>
          <cell r="B1840"/>
          <cell r="C1840"/>
          <cell r="D1840"/>
        </row>
        <row r="1841">
          <cell r="A1841"/>
          <cell r="B1841"/>
          <cell r="C1841"/>
          <cell r="D1841"/>
        </row>
        <row r="1842">
          <cell r="A1842"/>
          <cell r="B1842"/>
          <cell r="C1842"/>
          <cell r="D1842"/>
        </row>
        <row r="1843">
          <cell r="A1843"/>
          <cell r="B1843"/>
          <cell r="C1843"/>
          <cell r="D1843"/>
        </row>
        <row r="1844">
          <cell r="A1844"/>
          <cell r="B1844"/>
          <cell r="C1844"/>
          <cell r="D1844"/>
        </row>
        <row r="1845">
          <cell r="A1845"/>
          <cell r="B1845"/>
          <cell r="C1845"/>
          <cell r="D1845"/>
        </row>
        <row r="1846">
          <cell r="A1846"/>
          <cell r="B1846"/>
          <cell r="C1846"/>
          <cell r="D1846"/>
        </row>
        <row r="1847">
          <cell r="A1847"/>
          <cell r="B1847"/>
          <cell r="C1847"/>
          <cell r="D1847"/>
        </row>
        <row r="1848">
          <cell r="A1848"/>
          <cell r="B1848"/>
          <cell r="C1848"/>
          <cell r="D1848"/>
        </row>
        <row r="1849">
          <cell r="A1849"/>
          <cell r="B1849"/>
          <cell r="C1849"/>
          <cell r="D1849"/>
        </row>
        <row r="1850">
          <cell r="A1850"/>
          <cell r="B1850"/>
          <cell r="C1850"/>
          <cell r="D1850"/>
        </row>
        <row r="1851">
          <cell r="A1851"/>
          <cell r="B1851"/>
          <cell r="C1851"/>
          <cell r="D1851"/>
        </row>
        <row r="1852">
          <cell r="A1852"/>
          <cell r="B1852"/>
          <cell r="C1852"/>
          <cell r="D1852"/>
        </row>
        <row r="1853">
          <cell r="A1853"/>
          <cell r="B1853"/>
          <cell r="C1853"/>
          <cell r="D1853"/>
        </row>
        <row r="1854">
          <cell r="A1854"/>
          <cell r="B1854"/>
          <cell r="C1854"/>
          <cell r="D1854"/>
        </row>
        <row r="1855">
          <cell r="A1855"/>
          <cell r="B1855"/>
          <cell r="C1855"/>
          <cell r="D1855"/>
        </row>
        <row r="1856">
          <cell r="A1856"/>
          <cell r="B1856"/>
          <cell r="C1856"/>
          <cell r="D1856"/>
        </row>
        <row r="1857">
          <cell r="A1857"/>
          <cell r="B1857"/>
          <cell r="C1857"/>
          <cell r="D1857"/>
        </row>
        <row r="1858">
          <cell r="A1858"/>
          <cell r="B1858"/>
          <cell r="C1858"/>
          <cell r="D1858"/>
        </row>
        <row r="1859">
          <cell r="A1859"/>
          <cell r="B1859"/>
          <cell r="C1859"/>
          <cell r="D1859"/>
        </row>
        <row r="1860">
          <cell r="A1860"/>
          <cell r="B1860"/>
          <cell r="C1860"/>
          <cell r="D1860"/>
        </row>
        <row r="1861">
          <cell r="A1861"/>
          <cell r="B1861"/>
          <cell r="C1861"/>
          <cell r="D1861"/>
        </row>
        <row r="1862">
          <cell r="A1862"/>
          <cell r="B1862"/>
          <cell r="C1862"/>
          <cell r="D1862"/>
        </row>
        <row r="1863">
          <cell r="A1863"/>
          <cell r="B1863"/>
          <cell r="C1863"/>
          <cell r="D1863"/>
        </row>
        <row r="1864">
          <cell r="A1864"/>
          <cell r="B1864"/>
          <cell r="C1864"/>
          <cell r="D1864"/>
        </row>
        <row r="1865">
          <cell r="A1865"/>
          <cell r="B1865"/>
          <cell r="C1865"/>
          <cell r="D1865"/>
        </row>
        <row r="1866">
          <cell r="A1866"/>
          <cell r="B1866"/>
          <cell r="C1866"/>
          <cell r="D1866"/>
        </row>
        <row r="1867">
          <cell r="A1867"/>
          <cell r="B1867"/>
          <cell r="C1867"/>
          <cell r="D1867"/>
        </row>
        <row r="1868">
          <cell r="A1868"/>
          <cell r="B1868"/>
          <cell r="C1868"/>
          <cell r="D1868"/>
        </row>
        <row r="1869">
          <cell r="A1869"/>
          <cell r="B1869"/>
          <cell r="C1869"/>
          <cell r="D1869"/>
        </row>
        <row r="1870">
          <cell r="A1870"/>
          <cell r="B1870"/>
          <cell r="C1870"/>
          <cell r="D1870"/>
        </row>
        <row r="1871">
          <cell r="A1871"/>
          <cell r="B1871"/>
          <cell r="C1871"/>
          <cell r="D1871"/>
        </row>
        <row r="1872">
          <cell r="A1872"/>
          <cell r="B1872"/>
          <cell r="C1872"/>
          <cell r="D1872"/>
        </row>
        <row r="1873">
          <cell r="A1873"/>
          <cell r="B1873"/>
          <cell r="C1873"/>
          <cell r="D1873"/>
        </row>
        <row r="1874">
          <cell r="A1874"/>
          <cell r="B1874"/>
          <cell r="C1874"/>
          <cell r="D1874"/>
        </row>
        <row r="1875">
          <cell r="A1875"/>
          <cell r="B1875"/>
          <cell r="C1875"/>
          <cell r="D1875"/>
        </row>
        <row r="1876">
          <cell r="A1876"/>
          <cell r="B1876"/>
          <cell r="C1876"/>
          <cell r="D1876"/>
        </row>
        <row r="1877">
          <cell r="A1877"/>
          <cell r="B1877"/>
          <cell r="C1877"/>
          <cell r="D1877"/>
        </row>
        <row r="1878">
          <cell r="A1878"/>
          <cell r="B1878"/>
          <cell r="C1878"/>
          <cell r="D1878"/>
        </row>
        <row r="1879">
          <cell r="A1879"/>
          <cell r="B1879"/>
          <cell r="C1879"/>
          <cell r="D1879"/>
        </row>
        <row r="1880">
          <cell r="A1880"/>
          <cell r="B1880"/>
          <cell r="C1880"/>
          <cell r="D1880"/>
        </row>
        <row r="1881">
          <cell r="A1881"/>
          <cell r="B1881"/>
          <cell r="C1881"/>
          <cell r="D1881"/>
        </row>
        <row r="1882">
          <cell r="A1882"/>
          <cell r="B1882"/>
          <cell r="C1882"/>
          <cell r="D1882"/>
        </row>
        <row r="1883">
          <cell r="A1883"/>
          <cell r="B1883"/>
          <cell r="C1883"/>
          <cell r="D1883"/>
        </row>
        <row r="1884">
          <cell r="A1884"/>
          <cell r="B1884"/>
          <cell r="C1884"/>
          <cell r="D1884"/>
        </row>
        <row r="1885">
          <cell r="A1885"/>
          <cell r="B1885"/>
          <cell r="C1885"/>
          <cell r="D1885"/>
        </row>
        <row r="1886">
          <cell r="A1886"/>
          <cell r="B1886"/>
          <cell r="C1886"/>
          <cell r="D1886"/>
        </row>
        <row r="1887">
          <cell r="A1887"/>
          <cell r="B1887"/>
          <cell r="C1887"/>
          <cell r="D1887"/>
        </row>
        <row r="1888">
          <cell r="A1888"/>
          <cell r="B1888"/>
          <cell r="C1888"/>
          <cell r="D1888"/>
        </row>
        <row r="1889">
          <cell r="A1889"/>
          <cell r="B1889"/>
          <cell r="C1889"/>
          <cell r="D1889"/>
        </row>
        <row r="1890">
          <cell r="A1890"/>
          <cell r="B1890"/>
          <cell r="C1890"/>
          <cell r="D1890"/>
        </row>
        <row r="1891">
          <cell r="A1891"/>
          <cell r="B1891"/>
          <cell r="C1891"/>
          <cell r="D1891"/>
        </row>
        <row r="1892">
          <cell r="A1892"/>
          <cell r="B1892"/>
          <cell r="C1892"/>
          <cell r="D1892"/>
        </row>
        <row r="1893">
          <cell r="A1893"/>
          <cell r="B1893"/>
          <cell r="C1893"/>
          <cell r="D1893"/>
        </row>
        <row r="1894">
          <cell r="A1894"/>
          <cell r="B1894"/>
          <cell r="C1894"/>
          <cell r="D1894"/>
        </row>
        <row r="1895">
          <cell r="A1895"/>
          <cell r="B1895"/>
          <cell r="C1895"/>
          <cell r="D1895"/>
        </row>
        <row r="1896">
          <cell r="A1896"/>
          <cell r="B1896"/>
          <cell r="C1896"/>
          <cell r="D1896"/>
        </row>
        <row r="1897">
          <cell r="A1897"/>
          <cell r="B1897"/>
          <cell r="C1897"/>
          <cell r="D1897"/>
        </row>
        <row r="1898">
          <cell r="A1898"/>
          <cell r="B1898"/>
          <cell r="C1898"/>
          <cell r="D1898"/>
        </row>
        <row r="1899">
          <cell r="A1899"/>
          <cell r="B1899"/>
          <cell r="C1899"/>
          <cell r="D1899"/>
        </row>
        <row r="1900">
          <cell r="A1900"/>
          <cell r="B1900"/>
          <cell r="C1900"/>
          <cell r="D1900"/>
        </row>
        <row r="1901">
          <cell r="A1901"/>
          <cell r="B1901"/>
          <cell r="C1901"/>
          <cell r="D1901"/>
        </row>
        <row r="1902">
          <cell r="A1902"/>
          <cell r="B1902"/>
          <cell r="C1902"/>
          <cell r="D1902"/>
        </row>
        <row r="1903">
          <cell r="A1903"/>
          <cell r="B1903"/>
          <cell r="C1903"/>
          <cell r="D1903"/>
        </row>
        <row r="1904">
          <cell r="A1904"/>
          <cell r="B1904"/>
          <cell r="C1904"/>
          <cell r="D1904"/>
        </row>
        <row r="1905">
          <cell r="A1905"/>
          <cell r="B1905"/>
          <cell r="C1905"/>
          <cell r="D1905"/>
        </row>
        <row r="1906">
          <cell r="A1906"/>
          <cell r="B1906"/>
          <cell r="C1906"/>
          <cell r="D1906"/>
        </row>
        <row r="1907">
          <cell r="A1907"/>
          <cell r="B1907"/>
          <cell r="C1907"/>
          <cell r="D1907"/>
        </row>
        <row r="1908">
          <cell r="A1908"/>
          <cell r="B1908"/>
          <cell r="C1908"/>
          <cell r="D1908"/>
        </row>
        <row r="1909">
          <cell r="A1909"/>
          <cell r="B1909"/>
          <cell r="C1909"/>
          <cell r="D1909"/>
        </row>
        <row r="1910">
          <cell r="A1910"/>
          <cell r="B1910"/>
          <cell r="C1910"/>
          <cell r="D1910"/>
        </row>
        <row r="1911">
          <cell r="A1911"/>
          <cell r="B1911"/>
          <cell r="C1911"/>
          <cell r="D1911"/>
        </row>
        <row r="1912">
          <cell r="A1912"/>
          <cell r="B1912"/>
          <cell r="C1912"/>
          <cell r="D1912"/>
        </row>
        <row r="1913">
          <cell r="A1913"/>
          <cell r="B1913"/>
          <cell r="C1913"/>
          <cell r="D1913"/>
        </row>
        <row r="1914">
          <cell r="A1914"/>
          <cell r="B1914"/>
          <cell r="C1914"/>
          <cell r="D1914"/>
        </row>
        <row r="1915">
          <cell r="A1915"/>
          <cell r="B1915"/>
          <cell r="C1915"/>
          <cell r="D1915"/>
        </row>
        <row r="1916">
          <cell r="A1916"/>
          <cell r="B1916"/>
          <cell r="C1916"/>
          <cell r="D1916"/>
        </row>
        <row r="1917">
          <cell r="A1917"/>
          <cell r="B1917"/>
          <cell r="C1917"/>
          <cell r="D1917"/>
        </row>
        <row r="1918">
          <cell r="A1918"/>
          <cell r="B1918"/>
          <cell r="C1918"/>
          <cell r="D1918"/>
        </row>
        <row r="1919">
          <cell r="A1919"/>
          <cell r="B1919"/>
          <cell r="C1919"/>
          <cell r="D1919"/>
        </row>
        <row r="1920">
          <cell r="A1920"/>
          <cell r="B1920"/>
          <cell r="C1920"/>
          <cell r="D1920"/>
        </row>
        <row r="1921">
          <cell r="A1921"/>
          <cell r="B1921"/>
          <cell r="C1921"/>
          <cell r="D1921"/>
        </row>
        <row r="1922">
          <cell r="A1922"/>
          <cell r="B1922"/>
          <cell r="C1922"/>
          <cell r="D1922"/>
        </row>
        <row r="1923">
          <cell r="A1923"/>
          <cell r="B1923"/>
          <cell r="C1923"/>
          <cell r="D1923"/>
        </row>
        <row r="1924">
          <cell r="A1924"/>
          <cell r="B1924"/>
          <cell r="C1924"/>
          <cell r="D1924"/>
        </row>
        <row r="1925">
          <cell r="A1925"/>
          <cell r="B1925"/>
          <cell r="C1925"/>
          <cell r="D1925"/>
        </row>
        <row r="1926">
          <cell r="A1926"/>
          <cell r="B1926"/>
          <cell r="C1926"/>
          <cell r="D1926"/>
        </row>
        <row r="1927">
          <cell r="A1927"/>
          <cell r="B1927"/>
          <cell r="C1927"/>
          <cell r="D1927"/>
        </row>
        <row r="1928">
          <cell r="A1928"/>
          <cell r="B1928"/>
          <cell r="C1928"/>
          <cell r="D1928"/>
        </row>
        <row r="1929">
          <cell r="A1929"/>
          <cell r="B1929"/>
          <cell r="C1929"/>
          <cell r="D1929"/>
        </row>
        <row r="1930">
          <cell r="A1930"/>
          <cell r="B1930"/>
          <cell r="C1930"/>
          <cell r="D1930"/>
        </row>
        <row r="1931">
          <cell r="A1931"/>
          <cell r="B1931"/>
          <cell r="C1931"/>
          <cell r="D1931"/>
        </row>
        <row r="1932">
          <cell r="A1932"/>
          <cell r="B1932"/>
          <cell r="C1932"/>
          <cell r="D1932"/>
        </row>
        <row r="1933">
          <cell r="A1933"/>
          <cell r="B1933"/>
          <cell r="C1933"/>
          <cell r="D1933"/>
        </row>
        <row r="1934">
          <cell r="A1934"/>
          <cell r="B1934"/>
          <cell r="C1934"/>
          <cell r="D1934"/>
        </row>
        <row r="1935">
          <cell r="A1935"/>
          <cell r="B1935"/>
          <cell r="C1935"/>
          <cell r="D1935"/>
        </row>
        <row r="1936">
          <cell r="A1936"/>
          <cell r="B1936"/>
          <cell r="C1936"/>
          <cell r="D1936"/>
        </row>
        <row r="1937">
          <cell r="A1937"/>
          <cell r="B1937"/>
          <cell r="C1937"/>
          <cell r="D1937"/>
        </row>
        <row r="1938">
          <cell r="A1938"/>
          <cell r="B1938"/>
          <cell r="C1938"/>
          <cell r="D1938"/>
        </row>
        <row r="1939">
          <cell r="A1939"/>
          <cell r="B1939"/>
          <cell r="C1939"/>
          <cell r="D1939"/>
        </row>
        <row r="1940">
          <cell r="A1940"/>
          <cell r="B1940"/>
          <cell r="C1940"/>
          <cell r="D1940"/>
        </row>
        <row r="1941">
          <cell r="A1941"/>
          <cell r="B1941"/>
          <cell r="C1941"/>
          <cell r="D1941"/>
        </row>
        <row r="1942">
          <cell r="A1942"/>
          <cell r="B1942"/>
          <cell r="C1942"/>
          <cell r="D1942"/>
        </row>
        <row r="1943">
          <cell r="A1943"/>
          <cell r="B1943"/>
          <cell r="C1943"/>
          <cell r="D1943"/>
        </row>
        <row r="1944">
          <cell r="A1944"/>
          <cell r="B1944"/>
          <cell r="C1944"/>
          <cell r="D1944"/>
        </row>
        <row r="1945">
          <cell r="A1945"/>
          <cell r="B1945"/>
          <cell r="C1945"/>
          <cell r="D1945"/>
        </row>
        <row r="1946">
          <cell r="A1946"/>
          <cell r="B1946"/>
          <cell r="C1946"/>
          <cell r="D1946"/>
        </row>
        <row r="1947">
          <cell r="A1947"/>
          <cell r="B1947"/>
          <cell r="C1947"/>
          <cell r="D1947"/>
        </row>
        <row r="1948">
          <cell r="A1948"/>
          <cell r="B1948"/>
          <cell r="C1948"/>
          <cell r="D1948"/>
        </row>
        <row r="1949">
          <cell r="A1949"/>
          <cell r="B1949"/>
          <cell r="C1949"/>
          <cell r="D1949"/>
        </row>
        <row r="1950">
          <cell r="A1950"/>
          <cell r="B1950"/>
          <cell r="C1950"/>
          <cell r="D1950"/>
        </row>
        <row r="1951">
          <cell r="A1951"/>
          <cell r="B1951"/>
          <cell r="C1951"/>
          <cell r="D1951"/>
        </row>
        <row r="1952">
          <cell r="A1952"/>
          <cell r="B1952"/>
          <cell r="C1952"/>
          <cell r="D1952"/>
        </row>
        <row r="1953">
          <cell r="A1953"/>
          <cell r="B1953"/>
          <cell r="C1953"/>
          <cell r="D1953"/>
        </row>
        <row r="1954">
          <cell r="A1954"/>
          <cell r="B1954"/>
          <cell r="C1954"/>
          <cell r="D1954"/>
        </row>
        <row r="1955">
          <cell r="A1955"/>
          <cell r="B1955"/>
          <cell r="C1955"/>
          <cell r="D1955"/>
        </row>
        <row r="1956">
          <cell r="A1956"/>
          <cell r="B1956"/>
          <cell r="C1956"/>
          <cell r="D1956"/>
        </row>
        <row r="1957">
          <cell r="A1957"/>
          <cell r="B1957"/>
          <cell r="C1957"/>
          <cell r="D1957"/>
        </row>
        <row r="1958">
          <cell r="A1958"/>
          <cell r="B1958"/>
          <cell r="C1958"/>
          <cell r="D1958"/>
        </row>
        <row r="1959">
          <cell r="A1959"/>
          <cell r="B1959"/>
          <cell r="C1959"/>
          <cell r="D1959"/>
        </row>
        <row r="1960">
          <cell r="A1960"/>
          <cell r="B1960"/>
          <cell r="C1960"/>
          <cell r="D1960"/>
        </row>
        <row r="1961">
          <cell r="A1961"/>
          <cell r="B1961"/>
          <cell r="C1961"/>
          <cell r="D1961"/>
        </row>
        <row r="1962">
          <cell r="A1962"/>
          <cell r="B1962"/>
          <cell r="C1962"/>
          <cell r="D1962"/>
        </row>
        <row r="1963">
          <cell r="A1963"/>
          <cell r="B1963"/>
          <cell r="C1963"/>
          <cell r="D1963"/>
        </row>
        <row r="1964">
          <cell r="A1964"/>
          <cell r="B1964"/>
          <cell r="C1964"/>
          <cell r="D1964"/>
        </row>
        <row r="1965">
          <cell r="A1965"/>
          <cell r="B1965"/>
          <cell r="C1965"/>
          <cell r="D1965"/>
        </row>
        <row r="1966">
          <cell r="A1966"/>
          <cell r="B1966"/>
          <cell r="C1966"/>
          <cell r="D1966"/>
        </row>
        <row r="1967">
          <cell r="A1967"/>
          <cell r="B1967"/>
          <cell r="C1967"/>
          <cell r="D1967"/>
        </row>
        <row r="1968">
          <cell r="A1968"/>
          <cell r="B1968"/>
          <cell r="C1968"/>
          <cell r="D1968"/>
        </row>
        <row r="1969">
          <cell r="A1969"/>
          <cell r="B1969"/>
          <cell r="C1969"/>
          <cell r="D1969"/>
        </row>
        <row r="1970">
          <cell r="A1970"/>
          <cell r="B1970"/>
          <cell r="C1970"/>
          <cell r="D1970"/>
        </row>
        <row r="1971">
          <cell r="A1971"/>
          <cell r="B1971"/>
          <cell r="C1971"/>
          <cell r="D1971"/>
        </row>
        <row r="1972">
          <cell r="A1972"/>
          <cell r="B1972"/>
          <cell r="C1972"/>
          <cell r="D1972"/>
        </row>
        <row r="1973">
          <cell r="A1973"/>
          <cell r="B1973"/>
          <cell r="C1973"/>
          <cell r="D1973"/>
        </row>
        <row r="1974">
          <cell r="A1974"/>
          <cell r="B1974"/>
          <cell r="C1974"/>
          <cell r="D1974"/>
        </row>
        <row r="1975">
          <cell r="A1975"/>
          <cell r="B1975"/>
          <cell r="C1975"/>
          <cell r="D1975"/>
        </row>
        <row r="1976">
          <cell r="A1976"/>
          <cell r="B1976"/>
          <cell r="C1976"/>
          <cell r="D1976"/>
        </row>
        <row r="1977">
          <cell r="A1977"/>
          <cell r="B1977"/>
          <cell r="C1977"/>
          <cell r="D1977"/>
        </row>
        <row r="1978">
          <cell r="A1978"/>
          <cell r="B1978"/>
          <cell r="C1978"/>
          <cell r="D1978"/>
        </row>
        <row r="1979">
          <cell r="A1979"/>
          <cell r="B1979"/>
          <cell r="C1979"/>
          <cell r="D1979"/>
        </row>
        <row r="1980">
          <cell r="A1980"/>
          <cell r="B1980"/>
          <cell r="C1980"/>
          <cell r="D1980"/>
        </row>
        <row r="1981">
          <cell r="A1981"/>
          <cell r="B1981"/>
          <cell r="C1981"/>
          <cell r="D1981"/>
        </row>
        <row r="1982">
          <cell r="A1982"/>
          <cell r="B1982"/>
          <cell r="C1982"/>
          <cell r="D1982"/>
        </row>
        <row r="1983">
          <cell r="A1983"/>
          <cell r="B1983"/>
          <cell r="C1983"/>
          <cell r="D1983"/>
        </row>
        <row r="1984">
          <cell r="A1984"/>
          <cell r="B1984"/>
          <cell r="C1984"/>
          <cell r="D1984"/>
        </row>
        <row r="1985">
          <cell r="A1985"/>
          <cell r="B1985"/>
          <cell r="C1985"/>
          <cell r="D1985"/>
        </row>
        <row r="1986">
          <cell r="A1986"/>
          <cell r="B1986"/>
          <cell r="C1986"/>
          <cell r="D1986"/>
        </row>
        <row r="1987">
          <cell r="A1987"/>
          <cell r="B1987"/>
          <cell r="C1987"/>
          <cell r="D1987"/>
        </row>
        <row r="1988">
          <cell r="A1988"/>
          <cell r="B1988"/>
          <cell r="C1988"/>
          <cell r="D1988"/>
        </row>
        <row r="1989">
          <cell r="A1989"/>
          <cell r="B1989"/>
          <cell r="C1989"/>
          <cell r="D1989"/>
        </row>
        <row r="1990">
          <cell r="A1990"/>
          <cell r="B1990"/>
          <cell r="C1990"/>
          <cell r="D1990"/>
        </row>
        <row r="1991">
          <cell r="A1991"/>
          <cell r="B1991"/>
          <cell r="C1991"/>
          <cell r="D1991"/>
        </row>
        <row r="1992">
          <cell r="A1992"/>
          <cell r="B1992"/>
          <cell r="C1992"/>
          <cell r="D1992"/>
        </row>
        <row r="1993">
          <cell r="A1993"/>
          <cell r="B1993"/>
          <cell r="C1993"/>
          <cell r="D1993"/>
        </row>
        <row r="1994">
          <cell r="A1994"/>
          <cell r="B1994"/>
          <cell r="C1994"/>
          <cell r="D1994"/>
        </row>
        <row r="1995">
          <cell r="A1995"/>
          <cell r="B1995"/>
          <cell r="C1995"/>
          <cell r="D1995"/>
        </row>
        <row r="1996">
          <cell r="A1996"/>
          <cell r="B1996"/>
          <cell r="C1996"/>
          <cell r="D1996"/>
        </row>
        <row r="1997">
          <cell r="A1997"/>
          <cell r="B1997"/>
          <cell r="C1997"/>
          <cell r="D1997"/>
        </row>
        <row r="1998">
          <cell r="A1998"/>
          <cell r="B1998"/>
          <cell r="C1998"/>
          <cell r="D1998"/>
        </row>
        <row r="1999">
          <cell r="A1999"/>
          <cell r="B1999"/>
          <cell r="C1999"/>
          <cell r="D1999"/>
        </row>
        <row r="2000">
          <cell r="A2000"/>
          <cell r="B2000"/>
          <cell r="C2000"/>
          <cell r="D2000"/>
        </row>
        <row r="2001">
          <cell r="A2001"/>
          <cell r="B2001"/>
          <cell r="C2001"/>
          <cell r="D2001"/>
        </row>
        <row r="2002">
          <cell r="A2002"/>
          <cell r="B2002"/>
          <cell r="C2002"/>
          <cell r="D2002"/>
        </row>
        <row r="2003">
          <cell r="A2003"/>
          <cell r="B2003"/>
          <cell r="C2003"/>
          <cell r="D2003"/>
        </row>
        <row r="2004">
          <cell r="A2004"/>
          <cell r="B2004"/>
          <cell r="C2004"/>
          <cell r="D2004"/>
        </row>
        <row r="2005">
          <cell r="A2005"/>
          <cell r="B2005"/>
          <cell r="C2005"/>
          <cell r="D2005"/>
        </row>
        <row r="2006">
          <cell r="A2006"/>
          <cell r="B2006"/>
          <cell r="C2006"/>
          <cell r="D2006"/>
        </row>
        <row r="2007">
          <cell r="A2007"/>
          <cell r="B2007"/>
          <cell r="C2007"/>
          <cell r="D2007"/>
        </row>
        <row r="2008">
          <cell r="A2008"/>
          <cell r="B2008"/>
          <cell r="C2008"/>
          <cell r="D2008"/>
        </row>
        <row r="2009">
          <cell r="A2009"/>
          <cell r="B2009"/>
          <cell r="C2009"/>
          <cell r="D2009"/>
        </row>
        <row r="2010">
          <cell r="A2010"/>
          <cell r="B2010"/>
          <cell r="C2010"/>
          <cell r="D2010"/>
        </row>
        <row r="2011">
          <cell r="A2011"/>
          <cell r="B2011"/>
          <cell r="C2011"/>
          <cell r="D2011"/>
        </row>
        <row r="2012">
          <cell r="A2012"/>
          <cell r="B2012"/>
          <cell r="C2012"/>
          <cell r="D2012"/>
        </row>
        <row r="2013">
          <cell r="A2013"/>
          <cell r="B2013"/>
          <cell r="C2013"/>
          <cell r="D2013"/>
        </row>
        <row r="2014">
          <cell r="A2014"/>
          <cell r="B2014"/>
          <cell r="C2014"/>
          <cell r="D2014"/>
        </row>
        <row r="2015">
          <cell r="A2015"/>
          <cell r="B2015"/>
          <cell r="C2015"/>
          <cell r="D2015"/>
        </row>
        <row r="2016">
          <cell r="A2016"/>
          <cell r="B2016"/>
          <cell r="C2016"/>
          <cell r="D2016"/>
        </row>
        <row r="2017">
          <cell r="A2017"/>
          <cell r="B2017"/>
          <cell r="C2017"/>
          <cell r="D2017"/>
        </row>
        <row r="2018">
          <cell r="A2018"/>
          <cell r="B2018"/>
          <cell r="C2018"/>
          <cell r="D2018"/>
        </row>
        <row r="2019">
          <cell r="A2019"/>
          <cell r="B2019"/>
          <cell r="C2019"/>
          <cell r="D2019"/>
        </row>
        <row r="2020">
          <cell r="A2020"/>
          <cell r="B2020"/>
          <cell r="C2020"/>
          <cell r="D2020"/>
        </row>
        <row r="2021">
          <cell r="A2021"/>
          <cell r="B2021"/>
          <cell r="C2021"/>
          <cell r="D2021"/>
        </row>
        <row r="2022">
          <cell r="A2022"/>
          <cell r="B2022"/>
          <cell r="C2022"/>
          <cell r="D2022"/>
        </row>
        <row r="2023">
          <cell r="A2023"/>
          <cell r="B2023"/>
          <cell r="C2023"/>
          <cell r="D2023"/>
        </row>
        <row r="2024">
          <cell r="A2024"/>
          <cell r="B2024"/>
          <cell r="C2024"/>
          <cell r="D2024"/>
        </row>
        <row r="2025">
          <cell r="A2025"/>
          <cell r="B2025"/>
          <cell r="C2025"/>
          <cell r="D2025"/>
        </row>
        <row r="2026">
          <cell r="A2026"/>
          <cell r="B2026"/>
          <cell r="C2026"/>
          <cell r="D2026"/>
        </row>
        <row r="2027">
          <cell r="A2027"/>
          <cell r="B2027"/>
          <cell r="C2027"/>
          <cell r="D2027"/>
        </row>
        <row r="2028">
          <cell r="A2028"/>
          <cell r="B2028"/>
          <cell r="C2028"/>
          <cell r="D2028"/>
        </row>
        <row r="2029">
          <cell r="A2029"/>
          <cell r="B2029"/>
          <cell r="C2029"/>
          <cell r="D2029"/>
        </row>
        <row r="2030">
          <cell r="A2030"/>
          <cell r="B2030"/>
          <cell r="C2030"/>
          <cell r="D2030"/>
        </row>
        <row r="2031">
          <cell r="A2031"/>
          <cell r="B2031"/>
          <cell r="C2031"/>
          <cell r="D2031"/>
        </row>
        <row r="2032">
          <cell r="A2032"/>
          <cell r="B2032"/>
          <cell r="C2032"/>
          <cell r="D2032"/>
        </row>
        <row r="2033">
          <cell r="A2033"/>
          <cell r="B2033"/>
          <cell r="C2033"/>
          <cell r="D2033"/>
        </row>
        <row r="2034">
          <cell r="A2034"/>
          <cell r="B2034"/>
          <cell r="C2034"/>
          <cell r="D2034"/>
        </row>
        <row r="2035">
          <cell r="A2035"/>
          <cell r="B2035"/>
          <cell r="C2035"/>
          <cell r="D2035"/>
        </row>
        <row r="2036">
          <cell r="A2036"/>
          <cell r="B2036"/>
          <cell r="C2036"/>
          <cell r="D2036"/>
        </row>
        <row r="2037">
          <cell r="A2037"/>
          <cell r="B2037"/>
          <cell r="C2037"/>
          <cell r="D2037"/>
        </row>
        <row r="2038">
          <cell r="A2038"/>
          <cell r="B2038"/>
          <cell r="C2038"/>
          <cell r="D2038"/>
        </row>
        <row r="2039">
          <cell r="A2039"/>
          <cell r="B2039"/>
          <cell r="C2039"/>
          <cell r="D2039"/>
        </row>
        <row r="2040">
          <cell r="A2040"/>
          <cell r="B2040"/>
          <cell r="C2040"/>
          <cell r="D2040"/>
        </row>
        <row r="2041">
          <cell r="A2041"/>
          <cell r="B2041"/>
          <cell r="C2041"/>
          <cell r="D2041"/>
        </row>
        <row r="2042">
          <cell r="A2042"/>
          <cell r="B2042"/>
          <cell r="C2042"/>
          <cell r="D2042"/>
        </row>
        <row r="2043">
          <cell r="A2043"/>
          <cell r="B2043"/>
          <cell r="C2043"/>
          <cell r="D2043"/>
        </row>
        <row r="2044">
          <cell r="A2044"/>
          <cell r="B2044"/>
          <cell r="C2044"/>
          <cell r="D2044"/>
        </row>
        <row r="2045">
          <cell r="A2045"/>
          <cell r="B2045"/>
          <cell r="C2045"/>
          <cell r="D2045"/>
        </row>
        <row r="2046">
          <cell r="A2046"/>
          <cell r="B2046"/>
          <cell r="C2046"/>
          <cell r="D2046"/>
        </row>
        <row r="2047">
          <cell r="A2047"/>
          <cell r="B2047"/>
          <cell r="C2047"/>
          <cell r="D2047"/>
        </row>
        <row r="2048">
          <cell r="A2048"/>
          <cell r="B2048"/>
          <cell r="C2048"/>
          <cell r="D2048"/>
        </row>
        <row r="2049">
          <cell r="A2049"/>
          <cell r="B2049"/>
          <cell r="C2049"/>
          <cell r="D2049"/>
        </row>
        <row r="2050">
          <cell r="A2050"/>
          <cell r="B2050"/>
          <cell r="C2050"/>
          <cell r="D2050"/>
        </row>
        <row r="2051">
          <cell r="A2051"/>
          <cell r="B2051"/>
          <cell r="C2051"/>
          <cell r="D2051"/>
        </row>
        <row r="2052">
          <cell r="A2052"/>
          <cell r="B2052"/>
          <cell r="C2052"/>
          <cell r="D2052"/>
        </row>
        <row r="2053">
          <cell r="A2053"/>
          <cell r="B2053"/>
          <cell r="C2053"/>
          <cell r="D2053"/>
        </row>
        <row r="2054">
          <cell r="A2054"/>
          <cell r="B2054"/>
          <cell r="C2054"/>
          <cell r="D2054"/>
        </row>
        <row r="2055">
          <cell r="A2055"/>
          <cell r="B2055"/>
          <cell r="C2055"/>
          <cell r="D2055"/>
        </row>
        <row r="2056">
          <cell r="A2056"/>
          <cell r="B2056"/>
          <cell r="C2056"/>
          <cell r="D2056"/>
        </row>
        <row r="2057">
          <cell r="A2057"/>
          <cell r="B2057"/>
          <cell r="C2057"/>
          <cell r="D2057"/>
        </row>
        <row r="2058">
          <cell r="A2058"/>
          <cell r="B2058"/>
          <cell r="C2058"/>
          <cell r="D2058"/>
        </row>
        <row r="2059">
          <cell r="A2059"/>
          <cell r="B2059"/>
          <cell r="C2059"/>
          <cell r="D2059"/>
        </row>
        <row r="2060">
          <cell r="A2060"/>
          <cell r="B2060"/>
          <cell r="C2060"/>
          <cell r="D2060"/>
        </row>
        <row r="2061">
          <cell r="A2061"/>
          <cell r="B2061"/>
          <cell r="C2061"/>
          <cell r="D2061"/>
        </row>
        <row r="2062">
          <cell r="A2062"/>
          <cell r="B2062"/>
          <cell r="C2062"/>
          <cell r="D2062"/>
        </row>
        <row r="2063">
          <cell r="A2063"/>
          <cell r="B2063"/>
          <cell r="C2063"/>
          <cell r="D2063"/>
        </row>
        <row r="2064">
          <cell r="A2064"/>
          <cell r="B2064"/>
          <cell r="C2064"/>
          <cell r="D2064"/>
        </row>
        <row r="2065">
          <cell r="A2065"/>
          <cell r="B2065"/>
          <cell r="C2065"/>
          <cell r="D2065"/>
        </row>
        <row r="2066">
          <cell r="A2066"/>
          <cell r="B2066"/>
          <cell r="C2066"/>
          <cell r="D2066"/>
        </row>
        <row r="2067">
          <cell r="A2067"/>
          <cell r="B2067"/>
          <cell r="C2067"/>
          <cell r="D2067"/>
        </row>
        <row r="2068">
          <cell r="A2068"/>
          <cell r="B2068"/>
          <cell r="C2068"/>
          <cell r="D2068"/>
        </row>
        <row r="2069">
          <cell r="A2069"/>
          <cell r="B2069"/>
          <cell r="C2069"/>
          <cell r="D2069"/>
        </row>
        <row r="2070">
          <cell r="A2070"/>
          <cell r="B2070"/>
          <cell r="C2070"/>
          <cell r="D2070"/>
        </row>
        <row r="2071">
          <cell r="A2071"/>
          <cell r="B2071"/>
          <cell r="C2071"/>
          <cell r="D2071"/>
        </row>
        <row r="2072">
          <cell r="A2072"/>
          <cell r="B2072"/>
          <cell r="C2072"/>
          <cell r="D2072"/>
        </row>
        <row r="2073">
          <cell r="A2073"/>
          <cell r="B2073"/>
          <cell r="C2073"/>
          <cell r="D2073"/>
        </row>
        <row r="2074">
          <cell r="A2074"/>
          <cell r="B2074"/>
          <cell r="C2074"/>
          <cell r="D2074"/>
        </row>
        <row r="2075">
          <cell r="A2075"/>
          <cell r="B2075"/>
          <cell r="C2075"/>
          <cell r="D2075"/>
        </row>
        <row r="2076">
          <cell r="A2076"/>
          <cell r="B2076"/>
          <cell r="C2076"/>
          <cell r="D2076"/>
        </row>
        <row r="2077">
          <cell r="A2077"/>
          <cell r="B2077"/>
          <cell r="C2077"/>
          <cell r="D2077"/>
        </row>
        <row r="2078">
          <cell r="A2078"/>
          <cell r="B2078"/>
          <cell r="C2078"/>
          <cell r="D2078"/>
        </row>
        <row r="2079">
          <cell r="A2079"/>
          <cell r="B2079"/>
          <cell r="C2079"/>
          <cell r="D2079"/>
        </row>
        <row r="2080">
          <cell r="A2080"/>
          <cell r="B2080"/>
          <cell r="C2080"/>
          <cell r="D2080"/>
        </row>
        <row r="2081">
          <cell r="A2081"/>
          <cell r="B2081"/>
          <cell r="C2081"/>
          <cell r="D2081"/>
        </row>
        <row r="2082">
          <cell r="A2082"/>
          <cell r="B2082"/>
          <cell r="C2082"/>
          <cell r="D2082"/>
        </row>
        <row r="2083">
          <cell r="A2083"/>
          <cell r="B2083"/>
          <cell r="C2083"/>
          <cell r="D2083"/>
        </row>
        <row r="2084">
          <cell r="A2084"/>
          <cell r="B2084"/>
          <cell r="C2084"/>
          <cell r="D2084"/>
        </row>
        <row r="2085">
          <cell r="A2085"/>
          <cell r="B2085"/>
          <cell r="C2085"/>
          <cell r="D2085"/>
        </row>
        <row r="2086">
          <cell r="A2086"/>
          <cell r="B2086"/>
          <cell r="C2086"/>
          <cell r="D2086"/>
        </row>
        <row r="2087">
          <cell r="A2087"/>
          <cell r="B2087"/>
          <cell r="C2087"/>
          <cell r="D2087"/>
        </row>
        <row r="2088">
          <cell r="A2088"/>
          <cell r="B2088"/>
          <cell r="C2088"/>
          <cell r="D2088"/>
        </row>
        <row r="2089">
          <cell r="A2089"/>
          <cell r="B2089"/>
          <cell r="C2089"/>
          <cell r="D2089"/>
        </row>
        <row r="2090">
          <cell r="A2090"/>
          <cell r="B2090"/>
          <cell r="C2090"/>
          <cell r="D2090"/>
        </row>
        <row r="2091">
          <cell r="A2091"/>
          <cell r="B2091"/>
          <cell r="C2091"/>
          <cell r="D2091"/>
        </row>
        <row r="2092">
          <cell r="A2092"/>
          <cell r="B2092"/>
          <cell r="C2092"/>
          <cell r="D2092"/>
        </row>
        <row r="2093">
          <cell r="A2093"/>
          <cell r="B2093"/>
          <cell r="C2093"/>
          <cell r="D2093"/>
        </row>
        <row r="2094">
          <cell r="A2094"/>
          <cell r="B2094"/>
          <cell r="C2094"/>
          <cell r="D2094"/>
        </row>
        <row r="2095">
          <cell r="A2095"/>
          <cell r="B2095"/>
          <cell r="C2095"/>
          <cell r="D2095"/>
        </row>
        <row r="2096">
          <cell r="A2096"/>
          <cell r="B2096"/>
          <cell r="C2096"/>
          <cell r="D2096"/>
        </row>
        <row r="2097">
          <cell r="A2097"/>
          <cell r="B2097"/>
          <cell r="C2097"/>
          <cell r="D2097"/>
        </row>
        <row r="2098">
          <cell r="A2098"/>
          <cell r="B2098"/>
          <cell r="C2098"/>
          <cell r="D2098"/>
        </row>
        <row r="2099">
          <cell r="A2099"/>
          <cell r="B2099"/>
          <cell r="C2099"/>
          <cell r="D2099"/>
        </row>
        <row r="2100">
          <cell r="A2100"/>
          <cell r="B2100"/>
          <cell r="C2100"/>
          <cell r="D2100"/>
        </row>
        <row r="2101">
          <cell r="A2101"/>
          <cell r="B2101"/>
          <cell r="C2101"/>
          <cell r="D2101"/>
        </row>
        <row r="2102">
          <cell r="A2102"/>
          <cell r="B2102"/>
          <cell r="C2102"/>
          <cell r="D2102"/>
        </row>
        <row r="2103">
          <cell r="A2103"/>
          <cell r="B2103"/>
          <cell r="C2103"/>
          <cell r="D2103"/>
        </row>
        <row r="2104">
          <cell r="A2104"/>
          <cell r="B2104"/>
          <cell r="C2104"/>
          <cell r="D2104"/>
        </row>
        <row r="2105">
          <cell r="A2105"/>
          <cell r="B2105"/>
          <cell r="C2105"/>
          <cell r="D2105"/>
        </row>
        <row r="2106">
          <cell r="A2106"/>
          <cell r="B2106"/>
          <cell r="C2106"/>
          <cell r="D2106"/>
        </row>
        <row r="2107">
          <cell r="A2107"/>
          <cell r="B2107"/>
          <cell r="C2107"/>
          <cell r="D2107"/>
        </row>
        <row r="2108">
          <cell r="A2108"/>
          <cell r="B2108"/>
          <cell r="C2108"/>
          <cell r="D2108"/>
        </row>
        <row r="2109">
          <cell r="A2109"/>
          <cell r="B2109"/>
          <cell r="C2109"/>
          <cell r="D2109"/>
        </row>
        <row r="2110">
          <cell r="A2110"/>
          <cell r="B2110"/>
          <cell r="C2110"/>
          <cell r="D2110"/>
        </row>
        <row r="2111">
          <cell r="A2111"/>
          <cell r="B2111"/>
          <cell r="C2111"/>
          <cell r="D2111"/>
        </row>
        <row r="2112">
          <cell r="A2112"/>
          <cell r="B2112"/>
          <cell r="C2112"/>
          <cell r="D2112"/>
        </row>
        <row r="2113">
          <cell r="A2113"/>
          <cell r="B2113"/>
          <cell r="C2113"/>
          <cell r="D2113"/>
        </row>
        <row r="2114">
          <cell r="A2114"/>
          <cell r="B2114"/>
          <cell r="C2114"/>
          <cell r="D2114"/>
        </row>
        <row r="2115">
          <cell r="A2115"/>
          <cell r="B2115"/>
          <cell r="C2115"/>
          <cell r="D2115"/>
        </row>
        <row r="2116">
          <cell r="A2116"/>
          <cell r="B2116"/>
          <cell r="C2116"/>
          <cell r="D2116"/>
        </row>
        <row r="2117">
          <cell r="A2117"/>
          <cell r="B2117"/>
          <cell r="C2117"/>
          <cell r="D2117"/>
        </row>
        <row r="2118">
          <cell r="A2118"/>
          <cell r="B2118"/>
          <cell r="C2118"/>
          <cell r="D2118"/>
        </row>
        <row r="2119">
          <cell r="A2119"/>
          <cell r="B2119"/>
          <cell r="C2119"/>
          <cell r="D2119"/>
        </row>
        <row r="2120">
          <cell r="A2120"/>
          <cell r="B2120"/>
          <cell r="C2120"/>
          <cell r="D2120"/>
        </row>
        <row r="2121">
          <cell r="A2121"/>
          <cell r="B2121"/>
          <cell r="C2121"/>
          <cell r="D2121"/>
        </row>
        <row r="2122">
          <cell r="A2122"/>
          <cell r="B2122"/>
          <cell r="C2122"/>
          <cell r="D2122"/>
        </row>
        <row r="2123">
          <cell r="A2123"/>
          <cell r="B2123"/>
          <cell r="C2123"/>
          <cell r="D2123"/>
        </row>
        <row r="2124">
          <cell r="A2124"/>
          <cell r="B2124"/>
          <cell r="C2124"/>
          <cell r="D2124"/>
        </row>
        <row r="2125">
          <cell r="A2125"/>
          <cell r="B2125"/>
          <cell r="C2125"/>
          <cell r="D2125"/>
        </row>
        <row r="2126">
          <cell r="A2126"/>
          <cell r="B2126"/>
          <cell r="C2126"/>
          <cell r="D2126"/>
        </row>
        <row r="2127">
          <cell r="A2127"/>
          <cell r="B2127"/>
          <cell r="C2127"/>
          <cell r="D2127"/>
        </row>
        <row r="2128">
          <cell r="A2128"/>
          <cell r="B2128"/>
          <cell r="C2128"/>
          <cell r="D2128"/>
        </row>
        <row r="2129">
          <cell r="A2129"/>
          <cell r="B2129"/>
          <cell r="C2129"/>
          <cell r="D2129"/>
        </row>
        <row r="2130">
          <cell r="A2130"/>
          <cell r="B2130"/>
          <cell r="C2130"/>
          <cell r="D2130"/>
        </row>
        <row r="2131">
          <cell r="A2131"/>
          <cell r="B2131"/>
          <cell r="C2131"/>
          <cell r="D2131"/>
        </row>
        <row r="2132">
          <cell r="A2132"/>
          <cell r="B2132"/>
          <cell r="C2132"/>
          <cell r="D2132"/>
        </row>
        <row r="2133">
          <cell r="A2133"/>
          <cell r="B2133"/>
          <cell r="C2133"/>
          <cell r="D2133"/>
        </row>
        <row r="2134">
          <cell r="A2134"/>
          <cell r="B2134"/>
          <cell r="C2134"/>
          <cell r="D2134"/>
        </row>
        <row r="2135">
          <cell r="A2135"/>
          <cell r="B2135"/>
          <cell r="C2135"/>
          <cell r="D2135"/>
        </row>
        <row r="2136">
          <cell r="A2136"/>
          <cell r="B2136"/>
          <cell r="C2136"/>
          <cell r="D2136"/>
        </row>
        <row r="2137">
          <cell r="A2137"/>
          <cell r="B2137"/>
          <cell r="C2137"/>
          <cell r="D2137"/>
        </row>
        <row r="2138">
          <cell r="A2138"/>
          <cell r="B2138"/>
          <cell r="C2138"/>
          <cell r="D2138"/>
        </row>
        <row r="2139">
          <cell r="A2139"/>
          <cell r="B2139"/>
          <cell r="C2139"/>
          <cell r="D2139"/>
        </row>
        <row r="2140">
          <cell r="A2140"/>
          <cell r="B2140"/>
          <cell r="C2140"/>
          <cell r="D2140"/>
        </row>
        <row r="2141">
          <cell r="A2141"/>
          <cell r="B2141"/>
          <cell r="C2141"/>
          <cell r="D2141"/>
        </row>
        <row r="2142">
          <cell r="A2142"/>
          <cell r="B2142"/>
          <cell r="C2142"/>
          <cell r="D2142"/>
        </row>
        <row r="2143">
          <cell r="A2143"/>
          <cell r="B2143"/>
          <cell r="C2143"/>
          <cell r="D2143"/>
        </row>
        <row r="2144">
          <cell r="A2144"/>
          <cell r="B2144"/>
          <cell r="C2144"/>
          <cell r="D2144"/>
        </row>
        <row r="2145">
          <cell r="A2145"/>
          <cell r="B2145"/>
          <cell r="C2145"/>
          <cell r="D2145"/>
        </row>
        <row r="2146">
          <cell r="A2146"/>
          <cell r="B2146"/>
          <cell r="C2146"/>
          <cell r="D2146"/>
        </row>
        <row r="2147">
          <cell r="A2147"/>
          <cell r="B2147"/>
          <cell r="C2147"/>
          <cell r="D2147"/>
        </row>
        <row r="2148">
          <cell r="A2148"/>
          <cell r="B2148"/>
          <cell r="C2148"/>
          <cell r="D2148"/>
        </row>
        <row r="2149">
          <cell r="A2149"/>
          <cell r="B2149"/>
          <cell r="C2149"/>
          <cell r="D2149"/>
        </row>
        <row r="2150">
          <cell r="A2150"/>
          <cell r="B2150"/>
          <cell r="C2150"/>
          <cell r="D2150"/>
        </row>
        <row r="2151">
          <cell r="A2151"/>
          <cell r="B2151"/>
          <cell r="C2151"/>
          <cell r="D2151"/>
        </row>
        <row r="2152">
          <cell r="A2152"/>
          <cell r="B2152"/>
          <cell r="C2152"/>
          <cell r="D2152"/>
        </row>
        <row r="2153">
          <cell r="A2153"/>
          <cell r="B2153"/>
          <cell r="C2153"/>
          <cell r="D2153"/>
        </row>
        <row r="2154">
          <cell r="A2154"/>
          <cell r="B2154"/>
          <cell r="C2154"/>
          <cell r="D2154"/>
        </row>
        <row r="2155">
          <cell r="A2155"/>
          <cell r="B2155"/>
          <cell r="C2155"/>
          <cell r="D2155"/>
        </row>
        <row r="2156">
          <cell r="A2156"/>
          <cell r="B2156"/>
          <cell r="C2156"/>
          <cell r="D2156"/>
        </row>
        <row r="2157">
          <cell r="A2157"/>
          <cell r="B2157"/>
          <cell r="C2157"/>
          <cell r="D2157"/>
        </row>
        <row r="2158">
          <cell r="A2158"/>
          <cell r="B2158"/>
          <cell r="C2158"/>
          <cell r="D2158"/>
        </row>
        <row r="2159">
          <cell r="A2159"/>
          <cell r="B2159"/>
          <cell r="C2159"/>
          <cell r="D2159"/>
        </row>
        <row r="2160">
          <cell r="A2160"/>
          <cell r="B2160"/>
          <cell r="C2160"/>
          <cell r="D2160"/>
        </row>
        <row r="2161">
          <cell r="A2161"/>
          <cell r="B2161"/>
          <cell r="C2161"/>
          <cell r="D2161"/>
        </row>
        <row r="2162">
          <cell r="A2162"/>
          <cell r="B2162"/>
          <cell r="C2162"/>
          <cell r="D2162"/>
        </row>
        <row r="2163">
          <cell r="A2163"/>
          <cell r="B2163"/>
          <cell r="C2163"/>
          <cell r="D2163"/>
        </row>
        <row r="2164">
          <cell r="A2164"/>
          <cell r="B2164"/>
          <cell r="C2164"/>
          <cell r="D2164"/>
        </row>
        <row r="2165">
          <cell r="A2165"/>
          <cell r="B2165"/>
          <cell r="C2165"/>
          <cell r="D2165"/>
        </row>
        <row r="2166">
          <cell r="A2166"/>
          <cell r="B2166"/>
          <cell r="C2166"/>
          <cell r="D2166"/>
        </row>
        <row r="2167">
          <cell r="A2167"/>
          <cell r="B2167"/>
          <cell r="C2167"/>
          <cell r="D2167"/>
        </row>
        <row r="2168">
          <cell r="A2168"/>
          <cell r="B2168"/>
          <cell r="C2168"/>
          <cell r="D2168"/>
        </row>
        <row r="2169">
          <cell r="A2169"/>
          <cell r="B2169"/>
          <cell r="C2169"/>
          <cell r="D2169"/>
        </row>
        <row r="2170">
          <cell r="A2170"/>
          <cell r="B2170"/>
          <cell r="C2170"/>
          <cell r="D2170"/>
        </row>
        <row r="2171">
          <cell r="A2171"/>
          <cell r="B2171"/>
          <cell r="C2171"/>
          <cell r="D2171"/>
        </row>
        <row r="2172">
          <cell r="A2172"/>
          <cell r="B2172"/>
          <cell r="C2172"/>
          <cell r="D2172"/>
        </row>
        <row r="2173">
          <cell r="A2173"/>
          <cell r="B2173"/>
          <cell r="C2173"/>
          <cell r="D2173"/>
        </row>
        <row r="2174">
          <cell r="A2174"/>
          <cell r="B2174"/>
          <cell r="C2174"/>
          <cell r="D2174"/>
        </row>
        <row r="2175">
          <cell r="A2175"/>
          <cell r="B2175"/>
          <cell r="C2175"/>
          <cell r="D2175"/>
        </row>
        <row r="2176">
          <cell r="A2176"/>
          <cell r="B2176"/>
          <cell r="C2176"/>
          <cell r="D2176"/>
        </row>
        <row r="2177">
          <cell r="A2177"/>
          <cell r="B2177"/>
          <cell r="C2177"/>
          <cell r="D2177"/>
        </row>
        <row r="2178">
          <cell r="A2178"/>
          <cell r="B2178"/>
          <cell r="C2178"/>
          <cell r="D2178"/>
        </row>
        <row r="2179">
          <cell r="A2179"/>
          <cell r="B2179"/>
          <cell r="C2179"/>
          <cell r="D2179"/>
        </row>
        <row r="2180">
          <cell r="A2180"/>
          <cell r="B2180"/>
          <cell r="C2180"/>
          <cell r="D2180"/>
        </row>
        <row r="2181">
          <cell r="A2181"/>
          <cell r="B2181"/>
          <cell r="C2181"/>
          <cell r="D2181"/>
        </row>
        <row r="2182">
          <cell r="A2182"/>
          <cell r="B2182"/>
          <cell r="C2182"/>
          <cell r="D2182"/>
        </row>
        <row r="2183">
          <cell r="A2183"/>
          <cell r="B2183"/>
          <cell r="C2183"/>
          <cell r="D2183"/>
        </row>
        <row r="2184">
          <cell r="A2184"/>
          <cell r="B2184"/>
          <cell r="C2184"/>
          <cell r="D2184"/>
        </row>
        <row r="2185">
          <cell r="A2185"/>
          <cell r="B2185"/>
          <cell r="C2185"/>
          <cell r="D2185"/>
        </row>
        <row r="2186">
          <cell r="A2186"/>
          <cell r="B2186"/>
          <cell r="C2186"/>
          <cell r="D2186"/>
        </row>
        <row r="2187">
          <cell r="A2187"/>
          <cell r="B2187"/>
          <cell r="C2187"/>
          <cell r="D2187"/>
        </row>
        <row r="2188">
          <cell r="A2188"/>
          <cell r="B2188"/>
          <cell r="C2188"/>
          <cell r="D2188"/>
        </row>
        <row r="2189">
          <cell r="A2189"/>
          <cell r="B2189"/>
          <cell r="C2189"/>
          <cell r="D2189"/>
        </row>
        <row r="2190">
          <cell r="A2190"/>
          <cell r="B2190"/>
          <cell r="C2190"/>
          <cell r="D2190"/>
        </row>
        <row r="2191">
          <cell r="A2191"/>
          <cell r="B2191"/>
          <cell r="C2191"/>
          <cell r="D2191"/>
        </row>
        <row r="2192">
          <cell r="A2192"/>
          <cell r="B2192"/>
          <cell r="C2192"/>
          <cell r="D2192"/>
        </row>
        <row r="2193">
          <cell r="A2193"/>
          <cell r="B2193"/>
          <cell r="C2193"/>
          <cell r="D2193"/>
        </row>
        <row r="2194">
          <cell r="A2194"/>
          <cell r="B2194"/>
          <cell r="C2194"/>
          <cell r="D2194"/>
        </row>
        <row r="2195">
          <cell r="A2195"/>
          <cell r="B2195"/>
          <cell r="C2195"/>
          <cell r="D2195"/>
        </row>
        <row r="2196">
          <cell r="A2196"/>
          <cell r="B2196"/>
          <cell r="C2196"/>
          <cell r="D2196"/>
        </row>
        <row r="2197">
          <cell r="A2197"/>
          <cell r="B2197"/>
          <cell r="C2197"/>
          <cell r="D2197"/>
        </row>
        <row r="2198">
          <cell r="A2198"/>
          <cell r="B2198"/>
          <cell r="C2198"/>
          <cell r="D2198"/>
        </row>
        <row r="2199">
          <cell r="A2199"/>
          <cell r="B2199"/>
          <cell r="C2199"/>
          <cell r="D2199"/>
        </row>
        <row r="2200">
          <cell r="A2200"/>
          <cell r="B2200"/>
          <cell r="C2200"/>
          <cell r="D2200"/>
        </row>
        <row r="2201">
          <cell r="A2201"/>
          <cell r="B2201"/>
          <cell r="C2201"/>
          <cell r="D2201"/>
        </row>
        <row r="2202">
          <cell r="A2202"/>
          <cell r="B2202"/>
          <cell r="C2202"/>
          <cell r="D2202"/>
        </row>
        <row r="2203">
          <cell r="A2203"/>
          <cell r="B2203"/>
          <cell r="C2203"/>
          <cell r="D2203"/>
        </row>
        <row r="2204">
          <cell r="A2204"/>
          <cell r="B2204"/>
          <cell r="C2204"/>
          <cell r="D2204"/>
        </row>
        <row r="2205">
          <cell r="A2205"/>
          <cell r="B2205"/>
          <cell r="C2205"/>
          <cell r="D2205"/>
        </row>
        <row r="2206">
          <cell r="A2206"/>
          <cell r="B2206"/>
          <cell r="C2206"/>
          <cell r="D2206"/>
        </row>
        <row r="2207">
          <cell r="A2207"/>
          <cell r="B2207"/>
          <cell r="C2207"/>
          <cell r="D2207"/>
        </row>
        <row r="2208">
          <cell r="A2208"/>
          <cell r="B2208"/>
          <cell r="C2208"/>
          <cell r="D2208"/>
        </row>
        <row r="2209">
          <cell r="A2209"/>
          <cell r="B2209"/>
          <cell r="C2209"/>
          <cell r="D2209"/>
        </row>
        <row r="2210">
          <cell r="A2210"/>
          <cell r="B2210"/>
          <cell r="C2210"/>
          <cell r="D2210"/>
        </row>
        <row r="2211">
          <cell r="A2211"/>
          <cell r="B2211"/>
          <cell r="C2211"/>
          <cell r="D2211"/>
        </row>
        <row r="2212">
          <cell r="A2212"/>
          <cell r="B2212"/>
          <cell r="C2212"/>
          <cell r="D2212"/>
        </row>
        <row r="2213">
          <cell r="A2213"/>
          <cell r="B2213"/>
          <cell r="C2213"/>
          <cell r="D2213"/>
        </row>
        <row r="2214">
          <cell r="A2214"/>
          <cell r="B2214"/>
          <cell r="C2214"/>
          <cell r="D2214"/>
        </row>
        <row r="2215">
          <cell r="A2215"/>
          <cell r="B2215"/>
          <cell r="C2215"/>
          <cell r="D2215"/>
        </row>
        <row r="2216">
          <cell r="A2216"/>
          <cell r="B2216"/>
          <cell r="C2216"/>
          <cell r="D2216"/>
        </row>
        <row r="2217">
          <cell r="A2217"/>
          <cell r="B2217"/>
          <cell r="C2217"/>
          <cell r="D2217"/>
        </row>
        <row r="2218">
          <cell r="A2218"/>
          <cell r="B2218"/>
          <cell r="C2218"/>
          <cell r="D2218"/>
        </row>
        <row r="2219">
          <cell r="A2219"/>
          <cell r="B2219"/>
          <cell r="C2219"/>
          <cell r="D2219"/>
        </row>
        <row r="2220">
          <cell r="A2220"/>
          <cell r="B2220"/>
          <cell r="C2220"/>
          <cell r="D2220"/>
        </row>
        <row r="2221">
          <cell r="A2221"/>
          <cell r="B2221"/>
          <cell r="C2221"/>
          <cell r="D2221"/>
        </row>
        <row r="2222">
          <cell r="A2222"/>
          <cell r="B2222"/>
          <cell r="C2222"/>
          <cell r="D2222"/>
        </row>
        <row r="2223">
          <cell r="A2223"/>
          <cell r="B2223"/>
          <cell r="C2223"/>
          <cell r="D2223"/>
        </row>
        <row r="2224">
          <cell r="A2224"/>
          <cell r="B2224"/>
          <cell r="C2224"/>
          <cell r="D2224"/>
        </row>
        <row r="2225">
          <cell r="A2225"/>
          <cell r="B2225"/>
          <cell r="C2225"/>
          <cell r="D2225"/>
        </row>
        <row r="2226">
          <cell r="A2226"/>
          <cell r="B2226"/>
          <cell r="C2226"/>
          <cell r="D2226"/>
        </row>
        <row r="2227">
          <cell r="A2227"/>
          <cell r="B2227"/>
          <cell r="C2227"/>
          <cell r="D2227"/>
        </row>
        <row r="2228">
          <cell r="A2228"/>
          <cell r="B2228"/>
          <cell r="C2228"/>
          <cell r="D2228"/>
        </row>
        <row r="2229">
          <cell r="A2229"/>
          <cell r="B2229"/>
          <cell r="C2229"/>
          <cell r="D2229"/>
        </row>
        <row r="2230">
          <cell r="A2230"/>
          <cell r="B2230"/>
          <cell r="C2230"/>
          <cell r="D2230"/>
        </row>
        <row r="2231">
          <cell r="A2231"/>
          <cell r="B2231"/>
          <cell r="C2231"/>
          <cell r="D2231"/>
        </row>
        <row r="2232">
          <cell r="A2232"/>
          <cell r="B2232"/>
          <cell r="C2232"/>
          <cell r="D2232"/>
        </row>
        <row r="2233">
          <cell r="A2233"/>
          <cell r="B2233"/>
          <cell r="C2233"/>
          <cell r="D2233"/>
        </row>
        <row r="2234">
          <cell r="A2234"/>
          <cell r="B2234"/>
          <cell r="C2234"/>
          <cell r="D2234"/>
        </row>
        <row r="2235">
          <cell r="A2235"/>
          <cell r="B2235"/>
          <cell r="C2235"/>
          <cell r="D2235"/>
        </row>
        <row r="2236">
          <cell r="A2236"/>
          <cell r="B2236"/>
          <cell r="C2236"/>
          <cell r="D2236"/>
        </row>
        <row r="2237">
          <cell r="A2237"/>
          <cell r="B2237"/>
          <cell r="C2237"/>
          <cell r="D2237"/>
        </row>
        <row r="2238">
          <cell r="A2238"/>
          <cell r="B2238"/>
          <cell r="C2238"/>
          <cell r="D2238"/>
        </row>
        <row r="2239">
          <cell r="A2239"/>
          <cell r="B2239"/>
          <cell r="C2239"/>
          <cell r="D2239"/>
        </row>
        <row r="2240">
          <cell r="A2240"/>
          <cell r="B2240"/>
          <cell r="C2240"/>
          <cell r="D2240"/>
        </row>
        <row r="2241">
          <cell r="A2241"/>
          <cell r="B2241"/>
          <cell r="C2241"/>
          <cell r="D2241"/>
        </row>
        <row r="2242">
          <cell r="A2242"/>
          <cell r="B2242"/>
          <cell r="C2242"/>
          <cell r="D2242"/>
        </row>
        <row r="2243">
          <cell r="A2243"/>
          <cell r="B2243"/>
          <cell r="C2243"/>
          <cell r="D2243"/>
        </row>
        <row r="2244">
          <cell r="A2244"/>
          <cell r="B2244"/>
          <cell r="C2244"/>
          <cell r="D2244"/>
        </row>
        <row r="2245">
          <cell r="A2245"/>
          <cell r="B2245"/>
          <cell r="C2245"/>
          <cell r="D2245"/>
        </row>
        <row r="2246">
          <cell r="A2246"/>
          <cell r="B2246"/>
          <cell r="C2246"/>
          <cell r="D2246"/>
        </row>
        <row r="2247">
          <cell r="A2247"/>
          <cell r="B2247"/>
          <cell r="C2247"/>
          <cell r="D2247"/>
        </row>
        <row r="2248">
          <cell r="A2248"/>
          <cell r="B2248"/>
          <cell r="C2248"/>
          <cell r="D2248"/>
        </row>
        <row r="2249">
          <cell r="A2249"/>
          <cell r="B2249"/>
          <cell r="C2249"/>
          <cell r="D2249"/>
        </row>
        <row r="2250">
          <cell r="A2250"/>
          <cell r="B2250"/>
          <cell r="C2250"/>
          <cell r="D2250"/>
        </row>
        <row r="2251">
          <cell r="A2251"/>
          <cell r="B2251"/>
          <cell r="C2251"/>
          <cell r="D2251"/>
        </row>
        <row r="2252">
          <cell r="A2252"/>
          <cell r="B2252"/>
          <cell r="C2252"/>
          <cell r="D2252"/>
        </row>
        <row r="2253">
          <cell r="A2253"/>
          <cell r="B2253"/>
          <cell r="C2253"/>
          <cell r="D2253"/>
        </row>
        <row r="2254">
          <cell r="A2254"/>
          <cell r="B2254"/>
          <cell r="C2254"/>
          <cell r="D2254"/>
        </row>
        <row r="2255">
          <cell r="A2255"/>
          <cell r="B2255"/>
          <cell r="C2255"/>
          <cell r="D2255"/>
        </row>
        <row r="2256">
          <cell r="A2256"/>
          <cell r="B2256"/>
          <cell r="C2256"/>
          <cell r="D2256"/>
        </row>
        <row r="2257">
          <cell r="A2257"/>
          <cell r="B2257"/>
          <cell r="C2257"/>
          <cell r="D2257"/>
        </row>
        <row r="2258">
          <cell r="A2258"/>
          <cell r="B2258"/>
          <cell r="C2258"/>
          <cell r="D2258"/>
        </row>
        <row r="2259">
          <cell r="A2259"/>
          <cell r="B2259"/>
          <cell r="C2259"/>
          <cell r="D2259"/>
        </row>
        <row r="2260">
          <cell r="A2260"/>
          <cell r="B2260"/>
          <cell r="C2260"/>
          <cell r="D2260"/>
        </row>
        <row r="2261">
          <cell r="A2261"/>
          <cell r="B2261"/>
          <cell r="C2261"/>
          <cell r="D2261"/>
        </row>
        <row r="2262">
          <cell r="A2262"/>
          <cell r="B2262"/>
          <cell r="C2262"/>
          <cell r="D2262"/>
        </row>
        <row r="2263">
          <cell r="A2263"/>
          <cell r="B2263"/>
          <cell r="C2263"/>
          <cell r="D2263"/>
        </row>
        <row r="2264">
          <cell r="A2264"/>
          <cell r="B2264"/>
          <cell r="C2264"/>
          <cell r="D2264"/>
        </row>
        <row r="2265">
          <cell r="A2265"/>
          <cell r="B2265"/>
          <cell r="C2265"/>
          <cell r="D2265"/>
        </row>
        <row r="2266">
          <cell r="A2266"/>
          <cell r="B2266"/>
          <cell r="C2266"/>
          <cell r="D2266"/>
        </row>
        <row r="2267">
          <cell r="A2267"/>
          <cell r="B2267"/>
          <cell r="C2267"/>
          <cell r="D2267"/>
        </row>
        <row r="2268">
          <cell r="A2268"/>
          <cell r="B2268"/>
          <cell r="C2268"/>
          <cell r="D2268"/>
        </row>
        <row r="2269">
          <cell r="A2269"/>
          <cell r="B2269"/>
          <cell r="C2269"/>
          <cell r="D2269"/>
        </row>
        <row r="2270">
          <cell r="A2270"/>
          <cell r="B2270"/>
          <cell r="C2270"/>
          <cell r="D2270"/>
        </row>
        <row r="2271">
          <cell r="A2271"/>
          <cell r="B2271"/>
          <cell r="C2271"/>
          <cell r="D2271"/>
        </row>
        <row r="2272">
          <cell r="A2272"/>
          <cell r="B2272"/>
          <cell r="C2272"/>
          <cell r="D2272"/>
        </row>
        <row r="2273">
          <cell r="A2273"/>
          <cell r="B2273"/>
          <cell r="C2273"/>
          <cell r="D2273"/>
        </row>
        <row r="2274">
          <cell r="A2274"/>
          <cell r="B2274"/>
          <cell r="C2274"/>
          <cell r="D2274"/>
        </row>
        <row r="2275">
          <cell r="A2275"/>
          <cell r="B2275"/>
          <cell r="C2275"/>
          <cell r="D2275"/>
        </row>
        <row r="2276">
          <cell r="A2276"/>
          <cell r="B2276"/>
          <cell r="C2276"/>
          <cell r="D2276"/>
        </row>
        <row r="2277">
          <cell r="A2277"/>
          <cell r="B2277"/>
          <cell r="C2277"/>
          <cell r="D2277"/>
        </row>
        <row r="2278">
          <cell r="A2278"/>
          <cell r="B2278"/>
          <cell r="C2278"/>
          <cell r="D2278"/>
        </row>
        <row r="2279">
          <cell r="A2279"/>
          <cell r="B2279"/>
          <cell r="C2279"/>
          <cell r="D2279"/>
        </row>
        <row r="2280">
          <cell r="A2280"/>
          <cell r="B2280"/>
          <cell r="C2280"/>
          <cell r="D2280"/>
        </row>
        <row r="2281">
          <cell r="A2281"/>
          <cell r="B2281"/>
          <cell r="C2281"/>
          <cell r="D2281"/>
        </row>
        <row r="2282">
          <cell r="A2282"/>
          <cell r="B2282"/>
          <cell r="C2282"/>
          <cell r="D2282"/>
        </row>
        <row r="2283">
          <cell r="A2283"/>
          <cell r="B2283"/>
          <cell r="C2283"/>
          <cell r="D2283"/>
        </row>
        <row r="2284">
          <cell r="A2284"/>
          <cell r="B2284"/>
          <cell r="C2284"/>
          <cell r="D2284"/>
        </row>
        <row r="2285">
          <cell r="A2285"/>
          <cell r="B2285"/>
          <cell r="C2285"/>
          <cell r="D2285"/>
        </row>
        <row r="2286">
          <cell r="A2286"/>
          <cell r="B2286"/>
          <cell r="C2286"/>
          <cell r="D2286"/>
        </row>
        <row r="2287">
          <cell r="A2287"/>
          <cell r="B2287"/>
          <cell r="C2287"/>
          <cell r="D2287"/>
        </row>
        <row r="2288">
          <cell r="A2288"/>
          <cell r="B2288"/>
          <cell r="C2288"/>
          <cell r="D2288"/>
        </row>
        <row r="2289">
          <cell r="A2289"/>
          <cell r="B2289"/>
          <cell r="C2289"/>
          <cell r="D2289"/>
        </row>
        <row r="2290">
          <cell r="A2290"/>
          <cell r="B2290"/>
          <cell r="C2290"/>
          <cell r="D2290"/>
        </row>
        <row r="2291">
          <cell r="A2291"/>
          <cell r="B2291"/>
          <cell r="C2291"/>
          <cell r="D2291"/>
        </row>
        <row r="2292">
          <cell r="A2292"/>
          <cell r="B2292"/>
          <cell r="C2292"/>
          <cell r="D2292"/>
        </row>
        <row r="2293">
          <cell r="A2293"/>
          <cell r="B2293"/>
          <cell r="C2293"/>
          <cell r="D2293"/>
        </row>
        <row r="2294">
          <cell r="A2294"/>
          <cell r="B2294"/>
          <cell r="C2294"/>
          <cell r="D2294"/>
        </row>
        <row r="2295">
          <cell r="A2295"/>
          <cell r="B2295"/>
          <cell r="C2295"/>
          <cell r="D2295"/>
        </row>
        <row r="2296">
          <cell r="A2296"/>
          <cell r="B2296"/>
          <cell r="C2296"/>
          <cell r="D2296"/>
        </row>
        <row r="2297">
          <cell r="A2297"/>
          <cell r="B2297"/>
          <cell r="C2297"/>
          <cell r="D2297"/>
        </row>
        <row r="2298">
          <cell r="A2298"/>
          <cell r="B2298"/>
          <cell r="C2298"/>
          <cell r="D2298"/>
        </row>
        <row r="2299">
          <cell r="A2299"/>
          <cell r="B2299"/>
          <cell r="C2299"/>
          <cell r="D2299"/>
        </row>
        <row r="2300">
          <cell r="A2300"/>
          <cell r="B2300"/>
          <cell r="C2300"/>
          <cell r="D2300"/>
        </row>
        <row r="2301">
          <cell r="A2301"/>
          <cell r="B2301"/>
          <cell r="C2301"/>
          <cell r="D2301"/>
        </row>
        <row r="2302">
          <cell r="A2302"/>
          <cell r="B2302"/>
          <cell r="C2302"/>
          <cell r="D2302"/>
        </row>
        <row r="2303">
          <cell r="A2303"/>
          <cell r="B2303"/>
          <cell r="C2303"/>
          <cell r="D2303"/>
        </row>
        <row r="2304">
          <cell r="A2304"/>
          <cell r="B2304"/>
          <cell r="C2304"/>
          <cell r="D2304"/>
        </row>
        <row r="2305">
          <cell r="A2305"/>
          <cell r="B2305"/>
          <cell r="C2305"/>
          <cell r="D2305"/>
        </row>
        <row r="2306">
          <cell r="A2306"/>
          <cell r="B2306"/>
          <cell r="C2306"/>
          <cell r="D2306"/>
        </row>
        <row r="2307">
          <cell r="A2307"/>
          <cell r="B2307"/>
          <cell r="C2307"/>
          <cell r="D2307"/>
        </row>
        <row r="2308">
          <cell r="A2308"/>
          <cell r="B2308"/>
          <cell r="C2308"/>
          <cell r="D2308"/>
        </row>
        <row r="2309">
          <cell r="A2309"/>
          <cell r="B2309"/>
          <cell r="C2309"/>
          <cell r="D2309"/>
        </row>
        <row r="2310">
          <cell r="A2310"/>
          <cell r="B2310"/>
          <cell r="C2310"/>
          <cell r="D2310"/>
        </row>
        <row r="2311">
          <cell r="A2311"/>
          <cell r="B2311"/>
          <cell r="C2311"/>
          <cell r="D2311"/>
        </row>
        <row r="2312">
          <cell r="A2312"/>
          <cell r="B2312"/>
          <cell r="C2312"/>
          <cell r="D2312"/>
        </row>
        <row r="2313">
          <cell r="A2313"/>
          <cell r="B2313"/>
          <cell r="C2313"/>
          <cell r="D2313"/>
        </row>
        <row r="2314">
          <cell r="A2314"/>
          <cell r="B2314"/>
          <cell r="C2314"/>
          <cell r="D2314"/>
        </row>
        <row r="2315">
          <cell r="A2315"/>
          <cell r="B2315"/>
          <cell r="C2315"/>
          <cell r="D2315"/>
        </row>
        <row r="2316">
          <cell r="A2316"/>
          <cell r="B2316"/>
          <cell r="C2316"/>
          <cell r="D2316"/>
        </row>
        <row r="2317">
          <cell r="A2317"/>
          <cell r="B2317"/>
          <cell r="C2317"/>
          <cell r="D2317"/>
        </row>
        <row r="2318">
          <cell r="A2318"/>
          <cell r="B2318"/>
          <cell r="C2318"/>
          <cell r="D2318"/>
        </row>
        <row r="2319">
          <cell r="A2319"/>
          <cell r="B2319"/>
          <cell r="C2319"/>
          <cell r="D2319"/>
        </row>
        <row r="2320">
          <cell r="A2320"/>
          <cell r="B2320"/>
          <cell r="C2320"/>
          <cell r="D2320"/>
        </row>
        <row r="2321">
          <cell r="A2321"/>
          <cell r="B2321"/>
          <cell r="C2321"/>
          <cell r="D2321"/>
        </row>
        <row r="2322">
          <cell r="A2322"/>
          <cell r="B2322"/>
          <cell r="C2322"/>
          <cell r="D2322"/>
        </row>
        <row r="2323">
          <cell r="A2323"/>
          <cell r="B2323"/>
          <cell r="C2323"/>
          <cell r="D2323"/>
        </row>
        <row r="2324">
          <cell r="A2324"/>
          <cell r="B2324"/>
          <cell r="C2324"/>
          <cell r="D2324"/>
        </row>
        <row r="2325">
          <cell r="A2325"/>
          <cell r="B2325"/>
          <cell r="C2325"/>
          <cell r="D2325"/>
        </row>
        <row r="2326">
          <cell r="A2326"/>
          <cell r="B2326"/>
          <cell r="C2326"/>
          <cell r="D2326"/>
        </row>
        <row r="2327">
          <cell r="A2327"/>
          <cell r="B2327"/>
          <cell r="C2327"/>
          <cell r="D2327"/>
        </row>
        <row r="2328">
          <cell r="A2328"/>
          <cell r="B2328"/>
          <cell r="C2328"/>
          <cell r="D2328"/>
        </row>
        <row r="2329">
          <cell r="A2329"/>
          <cell r="B2329"/>
          <cell r="C2329"/>
          <cell r="D2329"/>
        </row>
        <row r="2330">
          <cell r="A2330"/>
          <cell r="B2330"/>
          <cell r="C2330"/>
          <cell r="D2330"/>
        </row>
        <row r="2331">
          <cell r="A2331"/>
          <cell r="B2331"/>
          <cell r="C2331"/>
          <cell r="D2331"/>
        </row>
        <row r="2332">
          <cell r="A2332"/>
          <cell r="B2332"/>
          <cell r="C2332"/>
          <cell r="D2332"/>
        </row>
        <row r="2333">
          <cell r="A2333"/>
          <cell r="B2333"/>
          <cell r="C2333"/>
          <cell r="D2333"/>
        </row>
        <row r="2334">
          <cell r="A2334"/>
          <cell r="B2334"/>
          <cell r="C2334"/>
          <cell r="D2334"/>
        </row>
        <row r="2335">
          <cell r="A2335"/>
          <cell r="B2335"/>
          <cell r="C2335"/>
          <cell r="D2335"/>
        </row>
        <row r="2336">
          <cell r="A2336"/>
          <cell r="B2336"/>
          <cell r="C2336"/>
          <cell r="D2336"/>
        </row>
        <row r="2337">
          <cell r="A2337"/>
          <cell r="B2337"/>
          <cell r="C2337"/>
          <cell r="D2337"/>
        </row>
        <row r="2338">
          <cell r="A2338"/>
          <cell r="B2338"/>
          <cell r="C2338"/>
          <cell r="D2338"/>
        </row>
        <row r="2339">
          <cell r="A2339"/>
          <cell r="B2339"/>
          <cell r="C2339"/>
          <cell r="D2339"/>
        </row>
        <row r="2340">
          <cell r="A2340"/>
          <cell r="B2340"/>
          <cell r="C2340"/>
          <cell r="D2340"/>
        </row>
        <row r="2341">
          <cell r="A2341"/>
          <cell r="B2341"/>
          <cell r="C2341"/>
          <cell r="D2341"/>
        </row>
        <row r="2342">
          <cell r="A2342"/>
          <cell r="B2342"/>
          <cell r="C2342"/>
          <cell r="D2342"/>
        </row>
        <row r="2343">
          <cell r="A2343"/>
          <cell r="B2343"/>
          <cell r="C2343"/>
          <cell r="D2343"/>
        </row>
        <row r="2344">
          <cell r="A2344"/>
          <cell r="B2344"/>
          <cell r="C2344"/>
          <cell r="D2344"/>
        </row>
        <row r="2345">
          <cell r="A2345"/>
          <cell r="B2345"/>
          <cell r="C2345"/>
          <cell r="D2345"/>
        </row>
        <row r="2346">
          <cell r="A2346"/>
          <cell r="B2346"/>
          <cell r="C2346"/>
          <cell r="D2346"/>
        </row>
        <row r="2347">
          <cell r="A2347"/>
          <cell r="B2347"/>
          <cell r="C2347"/>
          <cell r="D2347"/>
        </row>
        <row r="2348">
          <cell r="A2348"/>
          <cell r="B2348"/>
          <cell r="C2348"/>
          <cell r="D2348"/>
        </row>
        <row r="2349">
          <cell r="A2349"/>
          <cell r="B2349"/>
          <cell r="C2349"/>
          <cell r="D2349"/>
        </row>
        <row r="2350">
          <cell r="A2350"/>
          <cell r="B2350"/>
          <cell r="C2350"/>
          <cell r="D2350"/>
        </row>
        <row r="2351">
          <cell r="A2351"/>
          <cell r="B2351"/>
          <cell r="C2351"/>
          <cell r="D2351"/>
        </row>
        <row r="2352">
          <cell r="A2352"/>
          <cell r="B2352"/>
          <cell r="C2352"/>
          <cell r="D2352"/>
        </row>
        <row r="2353">
          <cell r="A2353"/>
          <cell r="B2353"/>
          <cell r="C2353"/>
          <cell r="D2353"/>
        </row>
        <row r="2354">
          <cell r="A2354"/>
          <cell r="B2354"/>
          <cell r="C2354"/>
          <cell r="D2354"/>
        </row>
        <row r="2355">
          <cell r="A2355"/>
          <cell r="B2355"/>
          <cell r="C2355"/>
          <cell r="D2355"/>
        </row>
        <row r="2356">
          <cell r="A2356"/>
          <cell r="B2356"/>
          <cell r="C2356"/>
          <cell r="D2356"/>
        </row>
        <row r="2357">
          <cell r="A2357"/>
          <cell r="B2357"/>
          <cell r="C2357"/>
          <cell r="D2357"/>
        </row>
        <row r="2358">
          <cell r="A2358"/>
          <cell r="B2358"/>
          <cell r="C2358"/>
          <cell r="D2358"/>
        </row>
        <row r="2359">
          <cell r="A2359"/>
          <cell r="B2359"/>
          <cell r="C2359"/>
          <cell r="D2359"/>
        </row>
        <row r="2360">
          <cell r="A2360"/>
          <cell r="B2360"/>
          <cell r="C2360"/>
          <cell r="D2360"/>
        </row>
        <row r="2361">
          <cell r="A2361"/>
          <cell r="B2361"/>
          <cell r="C2361"/>
          <cell r="D2361"/>
        </row>
        <row r="2362">
          <cell r="A2362"/>
          <cell r="B2362"/>
          <cell r="C2362"/>
          <cell r="D2362"/>
        </row>
        <row r="2363">
          <cell r="A2363"/>
          <cell r="B2363"/>
          <cell r="C2363"/>
          <cell r="D2363"/>
        </row>
        <row r="2364">
          <cell r="A2364"/>
          <cell r="B2364"/>
          <cell r="C2364"/>
          <cell r="D2364"/>
        </row>
        <row r="2365">
          <cell r="A2365"/>
          <cell r="B2365"/>
          <cell r="C2365"/>
          <cell r="D2365"/>
        </row>
        <row r="2366">
          <cell r="A2366"/>
          <cell r="B2366"/>
          <cell r="C2366"/>
          <cell r="D2366"/>
        </row>
        <row r="2367">
          <cell r="A2367"/>
          <cell r="B2367"/>
          <cell r="C2367"/>
          <cell r="D2367"/>
        </row>
        <row r="2368">
          <cell r="A2368"/>
          <cell r="B2368"/>
          <cell r="C2368"/>
          <cell r="D2368"/>
        </row>
        <row r="2369">
          <cell r="A2369"/>
          <cell r="B2369"/>
          <cell r="C2369"/>
          <cell r="D2369"/>
        </row>
        <row r="2370">
          <cell r="A2370"/>
          <cell r="B2370"/>
          <cell r="C2370"/>
          <cell r="D2370"/>
        </row>
        <row r="2371">
          <cell r="A2371"/>
          <cell r="B2371"/>
          <cell r="C2371"/>
          <cell r="D2371"/>
        </row>
        <row r="2372">
          <cell r="A2372"/>
          <cell r="B2372"/>
          <cell r="C2372"/>
          <cell r="D2372"/>
        </row>
        <row r="2373">
          <cell r="A2373"/>
          <cell r="B2373"/>
          <cell r="C2373"/>
          <cell r="D2373"/>
        </row>
        <row r="2374">
          <cell r="A2374"/>
          <cell r="B2374"/>
          <cell r="C2374"/>
          <cell r="D2374"/>
        </row>
        <row r="2375">
          <cell r="A2375"/>
          <cell r="B2375"/>
          <cell r="C2375"/>
          <cell r="D2375"/>
        </row>
        <row r="2376">
          <cell r="A2376"/>
          <cell r="B2376"/>
          <cell r="C2376"/>
          <cell r="D2376"/>
        </row>
        <row r="2377">
          <cell r="A2377"/>
          <cell r="B2377"/>
          <cell r="C2377"/>
          <cell r="D2377"/>
        </row>
        <row r="2378">
          <cell r="A2378"/>
          <cell r="B2378"/>
          <cell r="C2378"/>
          <cell r="D2378"/>
        </row>
        <row r="2379">
          <cell r="A2379"/>
          <cell r="B2379"/>
          <cell r="C2379"/>
          <cell r="D2379"/>
        </row>
        <row r="2380">
          <cell r="A2380"/>
          <cell r="B2380"/>
          <cell r="C2380"/>
          <cell r="D2380"/>
        </row>
        <row r="2381">
          <cell r="A2381"/>
          <cell r="B2381"/>
          <cell r="C2381"/>
          <cell r="D2381"/>
        </row>
        <row r="2382">
          <cell r="A2382"/>
          <cell r="B2382"/>
          <cell r="C2382"/>
          <cell r="D2382"/>
        </row>
        <row r="2383">
          <cell r="A2383"/>
          <cell r="B2383"/>
          <cell r="C2383"/>
          <cell r="D2383"/>
        </row>
        <row r="2384">
          <cell r="A2384"/>
          <cell r="B2384"/>
          <cell r="C2384"/>
          <cell r="D2384"/>
        </row>
        <row r="2385">
          <cell r="A2385"/>
          <cell r="B2385"/>
          <cell r="C2385"/>
          <cell r="D2385"/>
        </row>
        <row r="2386">
          <cell r="A2386"/>
          <cell r="B2386"/>
          <cell r="C2386"/>
          <cell r="D2386"/>
        </row>
        <row r="2387">
          <cell r="A2387"/>
          <cell r="B2387"/>
          <cell r="C2387"/>
          <cell r="D2387"/>
        </row>
        <row r="2388">
          <cell r="A2388"/>
          <cell r="B2388"/>
          <cell r="C2388"/>
          <cell r="D2388"/>
        </row>
        <row r="2389">
          <cell r="A2389"/>
          <cell r="B2389"/>
          <cell r="C2389"/>
          <cell r="D2389"/>
        </row>
        <row r="2390">
          <cell r="A2390"/>
          <cell r="B2390"/>
          <cell r="C2390"/>
          <cell r="D2390"/>
        </row>
        <row r="2391">
          <cell r="A2391"/>
          <cell r="B2391"/>
          <cell r="C2391"/>
          <cell r="D2391"/>
        </row>
        <row r="2392">
          <cell r="A2392"/>
          <cell r="B2392"/>
          <cell r="C2392"/>
          <cell r="D2392"/>
        </row>
        <row r="2393">
          <cell r="A2393"/>
          <cell r="B2393"/>
          <cell r="C2393"/>
          <cell r="D2393"/>
        </row>
        <row r="2394">
          <cell r="A2394"/>
          <cell r="B2394"/>
          <cell r="C2394"/>
          <cell r="D2394"/>
        </row>
        <row r="2395">
          <cell r="A2395"/>
          <cell r="B2395"/>
          <cell r="C2395"/>
          <cell r="D2395"/>
        </row>
        <row r="2396">
          <cell r="A2396"/>
          <cell r="B2396"/>
          <cell r="C2396"/>
          <cell r="D2396"/>
        </row>
        <row r="2397">
          <cell r="A2397"/>
          <cell r="B2397"/>
          <cell r="C2397"/>
          <cell r="D2397"/>
        </row>
        <row r="2398">
          <cell r="A2398"/>
          <cell r="B2398"/>
          <cell r="C2398"/>
          <cell r="D2398"/>
        </row>
        <row r="2399">
          <cell r="A2399"/>
          <cell r="B2399"/>
          <cell r="C2399"/>
          <cell r="D2399"/>
        </row>
        <row r="2400">
          <cell r="A2400"/>
          <cell r="B2400"/>
          <cell r="C2400"/>
          <cell r="D2400"/>
        </row>
        <row r="2401">
          <cell r="A2401"/>
          <cell r="B2401"/>
          <cell r="C2401"/>
          <cell r="D2401"/>
        </row>
        <row r="2402">
          <cell r="A2402"/>
          <cell r="B2402"/>
          <cell r="C2402"/>
          <cell r="D2402"/>
        </row>
        <row r="2403">
          <cell r="A2403"/>
          <cell r="B2403"/>
          <cell r="C2403"/>
          <cell r="D2403"/>
        </row>
        <row r="2404">
          <cell r="A2404"/>
          <cell r="B2404"/>
          <cell r="C2404"/>
          <cell r="D2404"/>
        </row>
        <row r="2405">
          <cell r="A2405"/>
          <cell r="B2405"/>
          <cell r="C2405"/>
          <cell r="D2405"/>
        </row>
        <row r="2406">
          <cell r="A2406"/>
          <cell r="B2406"/>
          <cell r="C2406"/>
          <cell r="D2406"/>
        </row>
        <row r="2407">
          <cell r="A2407"/>
          <cell r="B2407"/>
          <cell r="C2407"/>
          <cell r="D2407"/>
        </row>
        <row r="2408">
          <cell r="A2408"/>
          <cell r="B2408"/>
          <cell r="C2408"/>
          <cell r="D2408"/>
        </row>
        <row r="2409">
          <cell r="A2409"/>
          <cell r="B2409"/>
          <cell r="C2409"/>
          <cell r="D2409"/>
        </row>
        <row r="2410">
          <cell r="A2410"/>
          <cell r="B2410"/>
          <cell r="C2410"/>
          <cell r="D2410"/>
        </row>
        <row r="2411">
          <cell r="A2411"/>
          <cell r="B2411"/>
          <cell r="C2411"/>
          <cell r="D2411"/>
        </row>
        <row r="2412">
          <cell r="A2412"/>
          <cell r="B2412"/>
          <cell r="C2412"/>
          <cell r="D2412"/>
        </row>
        <row r="2413">
          <cell r="A2413"/>
          <cell r="B2413"/>
          <cell r="C2413"/>
          <cell r="D2413"/>
        </row>
        <row r="2414">
          <cell r="A2414"/>
          <cell r="B2414"/>
          <cell r="C2414"/>
          <cell r="D2414"/>
        </row>
        <row r="2415">
          <cell r="A2415"/>
          <cell r="B2415"/>
          <cell r="C2415"/>
          <cell r="D2415"/>
        </row>
        <row r="2416">
          <cell r="A2416"/>
          <cell r="B2416"/>
          <cell r="C2416"/>
          <cell r="D2416"/>
        </row>
        <row r="2417">
          <cell r="A2417"/>
          <cell r="B2417"/>
          <cell r="C2417"/>
          <cell r="D2417"/>
        </row>
        <row r="2418">
          <cell r="A2418"/>
          <cell r="B2418"/>
          <cell r="C2418"/>
          <cell r="D2418"/>
        </row>
        <row r="2419">
          <cell r="A2419"/>
          <cell r="B2419"/>
          <cell r="C2419"/>
          <cell r="D2419"/>
        </row>
        <row r="2420">
          <cell r="A2420"/>
          <cell r="B2420"/>
          <cell r="C2420"/>
          <cell r="D2420"/>
        </row>
        <row r="2421">
          <cell r="A2421"/>
          <cell r="B2421"/>
          <cell r="C2421"/>
          <cell r="D2421"/>
        </row>
        <row r="2422">
          <cell r="A2422"/>
          <cell r="B2422"/>
          <cell r="C2422"/>
          <cell r="D2422"/>
        </row>
        <row r="2423">
          <cell r="A2423"/>
          <cell r="B2423"/>
          <cell r="C2423"/>
          <cell r="D2423"/>
        </row>
        <row r="2424">
          <cell r="A2424"/>
          <cell r="B2424"/>
          <cell r="C2424"/>
          <cell r="D2424"/>
        </row>
        <row r="2425">
          <cell r="A2425"/>
          <cell r="B2425"/>
          <cell r="C2425"/>
          <cell r="D2425"/>
        </row>
        <row r="2426">
          <cell r="A2426"/>
          <cell r="B2426"/>
          <cell r="C2426"/>
          <cell r="D2426"/>
        </row>
        <row r="2427">
          <cell r="A2427"/>
          <cell r="B2427"/>
          <cell r="C2427"/>
          <cell r="D2427"/>
        </row>
        <row r="2428">
          <cell r="A2428"/>
          <cell r="B2428"/>
          <cell r="C2428"/>
          <cell r="D2428"/>
        </row>
        <row r="2429">
          <cell r="A2429"/>
          <cell r="B2429"/>
          <cell r="C2429"/>
          <cell r="D2429"/>
        </row>
        <row r="2430">
          <cell r="A2430"/>
          <cell r="B2430"/>
          <cell r="C2430"/>
          <cell r="D2430"/>
        </row>
        <row r="2431">
          <cell r="A2431"/>
          <cell r="B2431"/>
          <cell r="C2431"/>
          <cell r="D2431"/>
        </row>
        <row r="2432">
          <cell r="A2432"/>
          <cell r="B2432"/>
          <cell r="C2432"/>
          <cell r="D2432"/>
        </row>
        <row r="2433">
          <cell r="A2433"/>
          <cell r="B2433"/>
          <cell r="C2433"/>
          <cell r="D2433"/>
        </row>
        <row r="2434">
          <cell r="A2434"/>
          <cell r="B2434"/>
          <cell r="C2434"/>
          <cell r="D2434"/>
        </row>
        <row r="2435">
          <cell r="A2435"/>
          <cell r="B2435"/>
          <cell r="C2435"/>
          <cell r="D2435"/>
        </row>
        <row r="2436">
          <cell r="A2436"/>
          <cell r="B2436"/>
          <cell r="C2436"/>
          <cell r="D2436"/>
        </row>
        <row r="2437">
          <cell r="A2437"/>
          <cell r="B2437"/>
          <cell r="C2437"/>
          <cell r="D2437"/>
        </row>
        <row r="2438">
          <cell r="A2438"/>
          <cell r="B2438"/>
          <cell r="C2438"/>
          <cell r="D2438"/>
        </row>
        <row r="2439">
          <cell r="A2439"/>
          <cell r="B2439"/>
          <cell r="C2439"/>
          <cell r="D2439"/>
        </row>
        <row r="2440">
          <cell r="A2440"/>
          <cell r="B2440"/>
          <cell r="C2440"/>
          <cell r="D2440"/>
        </row>
        <row r="2441">
          <cell r="A2441"/>
          <cell r="B2441"/>
          <cell r="C2441"/>
          <cell r="D2441"/>
        </row>
        <row r="2442">
          <cell r="A2442"/>
          <cell r="B2442"/>
          <cell r="C2442"/>
          <cell r="D2442"/>
        </row>
        <row r="2443">
          <cell r="A2443"/>
          <cell r="B2443"/>
          <cell r="C2443"/>
          <cell r="D2443"/>
        </row>
        <row r="2444">
          <cell r="A2444"/>
          <cell r="B2444"/>
          <cell r="C2444"/>
          <cell r="D2444"/>
        </row>
        <row r="2445">
          <cell r="A2445"/>
          <cell r="B2445"/>
          <cell r="C2445"/>
          <cell r="D2445"/>
        </row>
        <row r="2446">
          <cell r="A2446"/>
          <cell r="B2446"/>
          <cell r="C2446"/>
          <cell r="D2446"/>
        </row>
        <row r="2447">
          <cell r="A2447"/>
          <cell r="B2447"/>
          <cell r="C2447"/>
          <cell r="D2447"/>
        </row>
        <row r="2448">
          <cell r="A2448"/>
          <cell r="B2448"/>
          <cell r="C2448"/>
          <cell r="D2448"/>
        </row>
        <row r="2449">
          <cell r="A2449"/>
          <cell r="B2449"/>
          <cell r="C2449"/>
          <cell r="D2449"/>
        </row>
        <row r="2450">
          <cell r="A2450"/>
          <cell r="B2450"/>
          <cell r="C2450"/>
          <cell r="D2450"/>
        </row>
        <row r="2451">
          <cell r="A2451"/>
          <cell r="B2451"/>
          <cell r="C2451"/>
          <cell r="D2451"/>
        </row>
        <row r="2452">
          <cell r="A2452"/>
          <cell r="B2452"/>
          <cell r="C2452"/>
          <cell r="D2452"/>
        </row>
        <row r="2453">
          <cell r="A2453"/>
          <cell r="B2453"/>
          <cell r="C2453"/>
          <cell r="D2453"/>
        </row>
        <row r="2454">
          <cell r="A2454"/>
          <cell r="B2454"/>
          <cell r="C2454"/>
          <cell r="D2454"/>
        </row>
        <row r="2455">
          <cell r="A2455"/>
          <cell r="B2455"/>
          <cell r="C2455"/>
          <cell r="D2455"/>
        </row>
        <row r="2456">
          <cell r="A2456"/>
          <cell r="B2456"/>
          <cell r="C2456"/>
          <cell r="D2456"/>
        </row>
        <row r="2457">
          <cell r="A2457"/>
          <cell r="B2457"/>
          <cell r="C2457"/>
          <cell r="D2457"/>
        </row>
        <row r="2458">
          <cell r="A2458"/>
          <cell r="B2458"/>
          <cell r="C2458"/>
          <cell r="D2458"/>
        </row>
        <row r="2459">
          <cell r="A2459"/>
          <cell r="B2459"/>
          <cell r="C2459"/>
          <cell r="D2459"/>
        </row>
        <row r="2460">
          <cell r="A2460"/>
          <cell r="B2460"/>
          <cell r="C2460"/>
          <cell r="D2460"/>
        </row>
        <row r="2461">
          <cell r="A2461"/>
          <cell r="B2461"/>
          <cell r="C2461"/>
          <cell r="D2461"/>
        </row>
        <row r="2462">
          <cell r="A2462"/>
          <cell r="B2462"/>
          <cell r="C2462"/>
          <cell r="D2462"/>
        </row>
        <row r="2463">
          <cell r="A2463"/>
          <cell r="B2463"/>
          <cell r="C2463"/>
          <cell r="D2463"/>
        </row>
        <row r="2464">
          <cell r="A2464"/>
          <cell r="B2464"/>
          <cell r="C2464"/>
          <cell r="D2464"/>
        </row>
        <row r="2465">
          <cell r="A2465"/>
          <cell r="B2465"/>
          <cell r="C2465"/>
          <cell r="D2465"/>
        </row>
        <row r="2466">
          <cell r="A2466"/>
          <cell r="B2466"/>
          <cell r="C2466"/>
          <cell r="D2466"/>
        </row>
        <row r="2467">
          <cell r="A2467"/>
          <cell r="B2467"/>
          <cell r="C2467"/>
          <cell r="D2467"/>
        </row>
        <row r="2468">
          <cell r="A2468"/>
          <cell r="B2468"/>
          <cell r="C2468"/>
          <cell r="D2468"/>
        </row>
        <row r="2469">
          <cell r="A2469"/>
          <cell r="B2469"/>
          <cell r="C2469"/>
          <cell r="D2469"/>
        </row>
        <row r="2470">
          <cell r="A2470"/>
          <cell r="B2470"/>
          <cell r="C2470"/>
          <cell r="D2470"/>
        </row>
        <row r="2471">
          <cell r="A2471"/>
          <cell r="B2471"/>
          <cell r="C2471"/>
          <cell r="D2471"/>
        </row>
        <row r="2472">
          <cell r="A2472"/>
          <cell r="B2472"/>
          <cell r="C2472"/>
          <cell r="D2472"/>
        </row>
        <row r="2473">
          <cell r="A2473"/>
          <cell r="B2473"/>
          <cell r="C2473"/>
          <cell r="D2473"/>
        </row>
        <row r="2474">
          <cell r="A2474"/>
          <cell r="B2474"/>
          <cell r="C2474"/>
          <cell r="D2474"/>
        </row>
        <row r="2475">
          <cell r="A2475"/>
          <cell r="B2475"/>
          <cell r="C2475"/>
          <cell r="D2475"/>
        </row>
        <row r="2476">
          <cell r="A2476"/>
          <cell r="B2476"/>
          <cell r="C2476"/>
          <cell r="D2476"/>
        </row>
        <row r="2477">
          <cell r="A2477"/>
          <cell r="B2477"/>
          <cell r="C2477"/>
          <cell r="D2477"/>
        </row>
        <row r="2478">
          <cell r="A2478"/>
          <cell r="B2478"/>
          <cell r="C2478"/>
          <cell r="D2478"/>
        </row>
        <row r="2479">
          <cell r="A2479"/>
          <cell r="B2479"/>
          <cell r="C2479"/>
          <cell r="D2479"/>
        </row>
        <row r="2480">
          <cell r="A2480"/>
          <cell r="B2480"/>
          <cell r="C2480"/>
          <cell r="D2480"/>
        </row>
        <row r="2481">
          <cell r="A2481"/>
          <cell r="B2481"/>
          <cell r="C2481"/>
          <cell r="D2481"/>
        </row>
        <row r="2482">
          <cell r="A2482"/>
          <cell r="B2482"/>
          <cell r="C2482"/>
          <cell r="D2482"/>
        </row>
        <row r="2483">
          <cell r="A2483"/>
          <cell r="B2483"/>
          <cell r="C2483"/>
          <cell r="D2483"/>
        </row>
        <row r="2484">
          <cell r="A2484"/>
          <cell r="B2484"/>
          <cell r="C2484"/>
          <cell r="D2484"/>
        </row>
        <row r="2485">
          <cell r="A2485"/>
          <cell r="B2485"/>
          <cell r="C2485"/>
          <cell r="D2485"/>
        </row>
        <row r="2486">
          <cell r="A2486"/>
          <cell r="B2486"/>
          <cell r="C2486"/>
          <cell r="D2486"/>
        </row>
        <row r="2487">
          <cell r="A2487"/>
          <cell r="B2487"/>
          <cell r="C2487"/>
          <cell r="D2487"/>
        </row>
        <row r="2488">
          <cell r="A2488"/>
          <cell r="B2488"/>
          <cell r="C2488"/>
          <cell r="D2488"/>
        </row>
        <row r="2489">
          <cell r="A2489"/>
          <cell r="B2489"/>
          <cell r="C2489"/>
          <cell r="D2489"/>
        </row>
        <row r="2490">
          <cell r="A2490"/>
          <cell r="B2490"/>
          <cell r="C2490"/>
          <cell r="D2490"/>
        </row>
        <row r="2491">
          <cell r="A2491"/>
          <cell r="B2491"/>
          <cell r="C2491"/>
          <cell r="D2491"/>
        </row>
        <row r="2492">
          <cell r="A2492"/>
          <cell r="B2492"/>
          <cell r="C2492"/>
          <cell r="D2492"/>
        </row>
        <row r="2493">
          <cell r="A2493"/>
          <cell r="B2493"/>
          <cell r="C2493"/>
          <cell r="D2493"/>
        </row>
        <row r="2494">
          <cell r="A2494"/>
          <cell r="B2494"/>
          <cell r="C2494"/>
          <cell r="D2494"/>
        </row>
        <row r="2495">
          <cell r="A2495"/>
          <cell r="B2495"/>
          <cell r="C2495"/>
          <cell r="D2495"/>
        </row>
        <row r="2496">
          <cell r="A2496"/>
          <cell r="B2496"/>
          <cell r="C2496"/>
          <cell r="D2496"/>
        </row>
        <row r="2497">
          <cell r="A2497"/>
          <cell r="B2497"/>
          <cell r="C2497"/>
          <cell r="D2497"/>
        </row>
        <row r="2498">
          <cell r="A2498"/>
          <cell r="B2498"/>
          <cell r="C2498"/>
          <cell r="D2498"/>
        </row>
        <row r="2499">
          <cell r="A2499"/>
          <cell r="B2499"/>
          <cell r="C2499"/>
          <cell r="D2499"/>
        </row>
        <row r="2500">
          <cell r="A2500"/>
          <cell r="B2500"/>
          <cell r="C2500"/>
          <cell r="D2500"/>
        </row>
        <row r="2501">
          <cell r="A2501"/>
          <cell r="B2501"/>
          <cell r="C2501"/>
          <cell r="D2501"/>
        </row>
        <row r="2502">
          <cell r="A2502"/>
          <cell r="B2502"/>
          <cell r="C2502"/>
          <cell r="D2502"/>
        </row>
        <row r="2503">
          <cell r="A2503"/>
          <cell r="B2503"/>
          <cell r="C2503"/>
          <cell r="D2503"/>
        </row>
        <row r="2504">
          <cell r="A2504"/>
          <cell r="B2504"/>
          <cell r="C2504"/>
          <cell r="D2504"/>
        </row>
        <row r="2505">
          <cell r="A2505"/>
          <cell r="B2505"/>
          <cell r="C2505"/>
          <cell r="D2505"/>
        </row>
        <row r="2506">
          <cell r="A2506"/>
          <cell r="B2506"/>
          <cell r="C2506"/>
          <cell r="D2506"/>
        </row>
        <row r="2507">
          <cell r="A2507"/>
          <cell r="B2507"/>
          <cell r="C2507"/>
          <cell r="D2507"/>
        </row>
        <row r="2508">
          <cell r="A2508"/>
          <cell r="B2508"/>
          <cell r="C2508"/>
          <cell r="D2508"/>
        </row>
        <row r="2509">
          <cell r="A2509"/>
          <cell r="B2509"/>
          <cell r="C2509"/>
          <cell r="D2509"/>
        </row>
        <row r="2510">
          <cell r="A2510"/>
          <cell r="B2510"/>
          <cell r="C2510"/>
          <cell r="D2510"/>
        </row>
        <row r="2511">
          <cell r="A2511"/>
          <cell r="B2511"/>
          <cell r="C2511"/>
          <cell r="D2511"/>
        </row>
        <row r="2512">
          <cell r="A2512"/>
          <cell r="B2512"/>
          <cell r="C2512"/>
          <cell r="D2512"/>
        </row>
        <row r="2513">
          <cell r="A2513"/>
          <cell r="B2513"/>
          <cell r="C2513"/>
          <cell r="D2513"/>
        </row>
        <row r="2514">
          <cell r="A2514"/>
          <cell r="B2514"/>
          <cell r="C2514"/>
          <cell r="D2514"/>
        </row>
        <row r="2515">
          <cell r="A2515"/>
          <cell r="B2515"/>
          <cell r="C2515"/>
          <cell r="D2515"/>
        </row>
        <row r="2516">
          <cell r="A2516"/>
          <cell r="B2516"/>
          <cell r="C2516"/>
          <cell r="D2516"/>
        </row>
        <row r="2517">
          <cell r="A2517"/>
          <cell r="B2517"/>
          <cell r="C2517"/>
          <cell r="D2517"/>
        </row>
        <row r="2518">
          <cell r="A2518"/>
          <cell r="B2518"/>
          <cell r="C2518"/>
          <cell r="D2518"/>
        </row>
        <row r="2519">
          <cell r="A2519"/>
          <cell r="B2519"/>
          <cell r="C2519"/>
          <cell r="D2519"/>
        </row>
        <row r="2520">
          <cell r="A2520"/>
          <cell r="B2520"/>
          <cell r="C2520"/>
          <cell r="D2520"/>
        </row>
        <row r="2521">
          <cell r="A2521"/>
          <cell r="B2521"/>
          <cell r="C2521"/>
          <cell r="D2521"/>
        </row>
        <row r="2522">
          <cell r="A2522"/>
          <cell r="B2522"/>
          <cell r="C2522"/>
          <cell r="D2522"/>
        </row>
        <row r="2523">
          <cell r="A2523"/>
          <cell r="B2523"/>
          <cell r="C2523"/>
          <cell r="D2523"/>
        </row>
        <row r="2524">
          <cell r="A2524"/>
          <cell r="B2524"/>
          <cell r="C2524"/>
          <cell r="D2524"/>
        </row>
        <row r="2525">
          <cell r="A2525"/>
          <cell r="B2525"/>
          <cell r="C2525"/>
          <cell r="D2525"/>
        </row>
        <row r="2526">
          <cell r="A2526"/>
          <cell r="B2526"/>
          <cell r="C2526"/>
          <cell r="D2526"/>
        </row>
        <row r="2527">
          <cell r="A2527"/>
          <cell r="B2527"/>
          <cell r="C2527"/>
          <cell r="D2527"/>
        </row>
        <row r="2528">
          <cell r="A2528"/>
          <cell r="B2528"/>
          <cell r="C2528"/>
          <cell r="D2528"/>
        </row>
        <row r="2529">
          <cell r="A2529"/>
          <cell r="B2529"/>
          <cell r="C2529"/>
          <cell r="D2529"/>
        </row>
        <row r="2530">
          <cell r="A2530"/>
          <cell r="B2530"/>
          <cell r="C2530"/>
          <cell r="D2530"/>
        </row>
        <row r="2531">
          <cell r="A2531"/>
          <cell r="B2531"/>
          <cell r="C2531"/>
          <cell r="D2531"/>
        </row>
        <row r="2532">
          <cell r="A2532"/>
          <cell r="B2532"/>
          <cell r="C2532"/>
          <cell r="D2532"/>
        </row>
        <row r="2533">
          <cell r="A2533"/>
          <cell r="B2533"/>
          <cell r="C2533"/>
          <cell r="D2533"/>
        </row>
        <row r="2534">
          <cell r="A2534"/>
          <cell r="B2534"/>
          <cell r="C2534"/>
          <cell r="D2534"/>
        </row>
        <row r="2535">
          <cell r="A2535"/>
          <cell r="B2535"/>
          <cell r="C2535"/>
          <cell r="D2535"/>
        </row>
        <row r="2536">
          <cell r="A2536"/>
          <cell r="B2536"/>
          <cell r="C2536"/>
          <cell r="D2536"/>
        </row>
        <row r="2537">
          <cell r="A2537"/>
          <cell r="B2537"/>
          <cell r="C2537"/>
          <cell r="D2537"/>
        </row>
        <row r="2538">
          <cell r="A2538"/>
          <cell r="B2538"/>
          <cell r="C2538"/>
          <cell r="D2538"/>
        </row>
        <row r="2539">
          <cell r="A2539"/>
          <cell r="B2539"/>
          <cell r="C2539"/>
          <cell r="D2539"/>
        </row>
        <row r="2540">
          <cell r="A2540"/>
          <cell r="B2540"/>
          <cell r="C2540"/>
          <cell r="D2540"/>
        </row>
        <row r="2541">
          <cell r="A2541"/>
          <cell r="B2541"/>
          <cell r="C2541"/>
          <cell r="D2541"/>
        </row>
        <row r="2542">
          <cell r="A2542"/>
          <cell r="B2542"/>
          <cell r="C2542"/>
          <cell r="D2542"/>
        </row>
        <row r="2543">
          <cell r="A2543"/>
          <cell r="B2543"/>
          <cell r="C2543"/>
          <cell r="D2543"/>
        </row>
        <row r="2544">
          <cell r="A2544"/>
          <cell r="B2544"/>
          <cell r="C2544"/>
          <cell r="D2544"/>
        </row>
        <row r="2545">
          <cell r="A2545"/>
          <cell r="B2545"/>
          <cell r="C2545"/>
          <cell r="D2545"/>
        </row>
        <row r="2546">
          <cell r="A2546"/>
          <cell r="B2546"/>
          <cell r="C2546"/>
          <cell r="D2546"/>
        </row>
        <row r="2547">
          <cell r="A2547"/>
          <cell r="B2547"/>
          <cell r="C2547"/>
          <cell r="D2547"/>
        </row>
        <row r="2548">
          <cell r="A2548"/>
          <cell r="B2548"/>
          <cell r="C2548"/>
          <cell r="D2548"/>
        </row>
        <row r="2549">
          <cell r="A2549"/>
          <cell r="B2549"/>
          <cell r="C2549"/>
          <cell r="D2549"/>
        </row>
        <row r="2550">
          <cell r="A2550"/>
          <cell r="B2550"/>
          <cell r="C2550"/>
          <cell r="D2550"/>
        </row>
        <row r="2551">
          <cell r="A2551"/>
          <cell r="B2551"/>
          <cell r="C2551"/>
          <cell r="D2551"/>
        </row>
        <row r="2552">
          <cell r="A2552"/>
          <cell r="B2552"/>
          <cell r="C2552"/>
          <cell r="D2552"/>
        </row>
        <row r="2553">
          <cell r="A2553"/>
          <cell r="B2553"/>
          <cell r="C2553"/>
          <cell r="D2553"/>
        </row>
        <row r="2554">
          <cell r="A2554"/>
          <cell r="B2554"/>
          <cell r="C2554"/>
          <cell r="D2554"/>
        </row>
        <row r="2555">
          <cell r="A2555"/>
          <cell r="B2555"/>
          <cell r="C2555"/>
          <cell r="D2555"/>
        </row>
        <row r="2556">
          <cell r="A2556"/>
          <cell r="B2556"/>
          <cell r="C2556"/>
          <cell r="D2556"/>
        </row>
        <row r="2557">
          <cell r="A2557"/>
          <cell r="B2557"/>
          <cell r="C2557"/>
          <cell r="D2557"/>
        </row>
        <row r="2558">
          <cell r="A2558"/>
          <cell r="B2558"/>
          <cell r="C2558"/>
          <cell r="D2558"/>
        </row>
        <row r="2559">
          <cell r="A2559"/>
          <cell r="B2559"/>
          <cell r="C2559"/>
          <cell r="D2559"/>
        </row>
        <row r="2560">
          <cell r="A2560"/>
          <cell r="B2560"/>
          <cell r="C2560"/>
          <cell r="D2560"/>
        </row>
        <row r="2561">
          <cell r="A2561"/>
          <cell r="B2561"/>
          <cell r="C2561"/>
          <cell r="D2561"/>
        </row>
        <row r="2562">
          <cell r="A2562"/>
          <cell r="B2562"/>
          <cell r="C2562"/>
          <cell r="D2562"/>
        </row>
        <row r="2563">
          <cell r="A2563"/>
          <cell r="B2563"/>
          <cell r="C2563"/>
          <cell r="D2563"/>
        </row>
        <row r="2564">
          <cell r="A2564"/>
          <cell r="B2564"/>
          <cell r="C2564"/>
          <cell r="D2564"/>
        </row>
        <row r="2565">
          <cell r="A2565"/>
          <cell r="B2565"/>
          <cell r="C2565"/>
          <cell r="D2565"/>
        </row>
        <row r="2566">
          <cell r="A2566"/>
          <cell r="B2566"/>
          <cell r="C2566"/>
          <cell r="D2566"/>
        </row>
        <row r="2567">
          <cell r="A2567"/>
          <cell r="B2567"/>
          <cell r="C2567"/>
          <cell r="D2567"/>
        </row>
        <row r="2568">
          <cell r="A2568"/>
          <cell r="B2568"/>
          <cell r="C2568"/>
          <cell r="D2568"/>
        </row>
        <row r="2569">
          <cell r="A2569"/>
          <cell r="B2569"/>
          <cell r="C2569"/>
          <cell r="D2569"/>
        </row>
        <row r="2570">
          <cell r="A2570"/>
          <cell r="B2570"/>
          <cell r="C2570"/>
          <cell r="D2570"/>
        </row>
        <row r="2571">
          <cell r="A2571"/>
          <cell r="B2571"/>
          <cell r="C2571"/>
          <cell r="D2571"/>
        </row>
        <row r="2572">
          <cell r="A2572"/>
          <cell r="B2572"/>
          <cell r="C2572"/>
          <cell r="D2572"/>
        </row>
        <row r="2573">
          <cell r="A2573"/>
          <cell r="B2573"/>
          <cell r="C2573"/>
          <cell r="D2573"/>
        </row>
        <row r="2574">
          <cell r="A2574"/>
          <cell r="B2574"/>
          <cell r="C2574"/>
          <cell r="D2574"/>
        </row>
        <row r="2575">
          <cell r="A2575"/>
          <cell r="B2575"/>
          <cell r="C2575"/>
          <cell r="D2575"/>
        </row>
        <row r="2576">
          <cell r="A2576"/>
          <cell r="B2576"/>
          <cell r="C2576"/>
          <cell r="D2576"/>
        </row>
        <row r="2577">
          <cell r="A2577"/>
          <cell r="B2577"/>
          <cell r="C2577"/>
          <cell r="D2577"/>
        </row>
        <row r="2578">
          <cell r="A2578"/>
          <cell r="B2578"/>
          <cell r="C2578"/>
          <cell r="D2578"/>
        </row>
        <row r="2579">
          <cell r="A2579"/>
          <cell r="B2579"/>
          <cell r="C2579"/>
          <cell r="D2579"/>
        </row>
        <row r="2580">
          <cell r="A2580"/>
          <cell r="B2580"/>
          <cell r="C2580"/>
          <cell r="D2580"/>
        </row>
        <row r="2581">
          <cell r="A2581"/>
          <cell r="B2581"/>
          <cell r="C2581"/>
          <cell r="D2581"/>
        </row>
        <row r="2582">
          <cell r="A2582"/>
          <cell r="B2582"/>
          <cell r="C2582"/>
          <cell r="D2582"/>
        </row>
        <row r="2583">
          <cell r="A2583"/>
          <cell r="B2583"/>
          <cell r="C2583"/>
          <cell r="D2583"/>
        </row>
        <row r="2584">
          <cell r="A2584"/>
          <cell r="B2584"/>
          <cell r="C2584"/>
          <cell r="D2584"/>
        </row>
        <row r="2585">
          <cell r="A2585"/>
          <cell r="B2585"/>
          <cell r="C2585"/>
          <cell r="D2585"/>
        </row>
        <row r="2586">
          <cell r="A2586"/>
          <cell r="B2586"/>
          <cell r="C2586"/>
          <cell r="D2586"/>
        </row>
        <row r="2587">
          <cell r="A2587"/>
          <cell r="B2587"/>
          <cell r="C2587"/>
          <cell r="D2587"/>
        </row>
        <row r="2588">
          <cell r="A2588"/>
          <cell r="B2588"/>
          <cell r="C2588"/>
          <cell r="D2588"/>
        </row>
        <row r="2589">
          <cell r="A2589"/>
          <cell r="B2589"/>
          <cell r="C2589"/>
          <cell r="D2589"/>
        </row>
        <row r="2590">
          <cell r="A2590"/>
          <cell r="B2590"/>
          <cell r="C2590"/>
          <cell r="D2590"/>
        </row>
        <row r="2591">
          <cell r="A2591"/>
          <cell r="B2591"/>
          <cell r="C2591"/>
          <cell r="D2591"/>
        </row>
        <row r="2592">
          <cell r="A2592"/>
          <cell r="B2592"/>
          <cell r="C2592"/>
          <cell r="D2592"/>
        </row>
        <row r="2593">
          <cell r="A2593"/>
          <cell r="B2593"/>
          <cell r="C2593"/>
          <cell r="D2593"/>
        </row>
        <row r="2594">
          <cell r="A2594"/>
          <cell r="B2594"/>
          <cell r="C2594"/>
          <cell r="D2594"/>
        </row>
        <row r="2595">
          <cell r="A2595"/>
          <cell r="B2595"/>
          <cell r="C2595"/>
          <cell r="D2595"/>
        </row>
        <row r="2596">
          <cell r="A2596"/>
          <cell r="B2596"/>
          <cell r="C2596"/>
          <cell r="D2596"/>
        </row>
        <row r="2597">
          <cell r="A2597"/>
          <cell r="B2597"/>
          <cell r="C2597"/>
          <cell r="D2597"/>
        </row>
        <row r="2598">
          <cell r="A2598"/>
          <cell r="B2598"/>
          <cell r="C2598"/>
          <cell r="D2598"/>
        </row>
        <row r="2599">
          <cell r="A2599"/>
          <cell r="B2599"/>
          <cell r="C2599"/>
          <cell r="D2599"/>
        </row>
        <row r="2600">
          <cell r="A2600"/>
          <cell r="B2600"/>
          <cell r="C2600"/>
          <cell r="D2600"/>
        </row>
        <row r="2601">
          <cell r="A2601"/>
          <cell r="B2601"/>
          <cell r="C2601"/>
          <cell r="D2601"/>
        </row>
        <row r="2602">
          <cell r="A2602"/>
          <cell r="B2602"/>
          <cell r="C2602"/>
          <cell r="D2602"/>
        </row>
        <row r="2603">
          <cell r="A2603"/>
          <cell r="B2603"/>
          <cell r="C2603"/>
          <cell r="D2603"/>
        </row>
        <row r="2604">
          <cell r="A2604"/>
          <cell r="B2604"/>
          <cell r="C2604"/>
          <cell r="D2604"/>
        </row>
        <row r="2605">
          <cell r="A2605"/>
          <cell r="B2605"/>
          <cell r="C2605"/>
          <cell r="D2605"/>
        </row>
        <row r="2606">
          <cell r="A2606"/>
          <cell r="B2606"/>
          <cell r="C2606"/>
          <cell r="D2606"/>
        </row>
        <row r="2607">
          <cell r="A2607"/>
          <cell r="B2607"/>
          <cell r="C2607"/>
          <cell r="D2607"/>
        </row>
        <row r="2608">
          <cell r="A2608"/>
          <cell r="B2608"/>
          <cell r="C2608"/>
          <cell r="D2608"/>
        </row>
        <row r="2609">
          <cell r="A2609"/>
          <cell r="B2609"/>
          <cell r="C2609"/>
          <cell r="D2609"/>
        </row>
        <row r="2610">
          <cell r="A2610"/>
          <cell r="B2610"/>
          <cell r="C2610"/>
          <cell r="D2610"/>
        </row>
        <row r="2611">
          <cell r="A2611"/>
          <cell r="B2611"/>
          <cell r="C2611"/>
          <cell r="D2611"/>
        </row>
        <row r="2612">
          <cell r="A2612"/>
          <cell r="B2612"/>
          <cell r="C2612"/>
          <cell r="D2612"/>
        </row>
        <row r="2613">
          <cell r="A2613"/>
          <cell r="B2613"/>
          <cell r="C2613"/>
          <cell r="D2613"/>
        </row>
        <row r="2614">
          <cell r="A2614"/>
          <cell r="B2614"/>
          <cell r="C2614"/>
          <cell r="D2614"/>
        </row>
        <row r="2615">
          <cell r="A2615"/>
          <cell r="B2615"/>
          <cell r="C2615"/>
          <cell r="D2615"/>
        </row>
        <row r="2616">
          <cell r="A2616"/>
          <cell r="B2616"/>
          <cell r="C2616"/>
          <cell r="D2616"/>
        </row>
        <row r="2617">
          <cell r="A2617"/>
          <cell r="B2617"/>
          <cell r="C2617"/>
          <cell r="D2617"/>
        </row>
        <row r="2618">
          <cell r="A2618"/>
          <cell r="B2618"/>
          <cell r="C2618"/>
          <cell r="D2618"/>
        </row>
        <row r="2619">
          <cell r="A2619"/>
          <cell r="B2619"/>
          <cell r="C2619"/>
          <cell r="D2619"/>
        </row>
        <row r="2620">
          <cell r="A2620"/>
          <cell r="B2620"/>
          <cell r="C2620"/>
          <cell r="D2620"/>
        </row>
        <row r="2621">
          <cell r="A2621"/>
          <cell r="B2621"/>
          <cell r="C2621"/>
          <cell r="D2621"/>
        </row>
        <row r="2622">
          <cell r="A2622"/>
          <cell r="B2622"/>
          <cell r="C2622"/>
          <cell r="D2622"/>
        </row>
        <row r="2623">
          <cell r="A2623"/>
          <cell r="B2623"/>
          <cell r="C2623"/>
          <cell r="D2623"/>
        </row>
        <row r="2624">
          <cell r="A2624"/>
          <cell r="B2624"/>
          <cell r="C2624"/>
          <cell r="D2624"/>
        </row>
        <row r="2625">
          <cell r="A2625"/>
          <cell r="B2625"/>
          <cell r="C2625"/>
          <cell r="D2625"/>
        </row>
        <row r="2626">
          <cell r="A2626"/>
          <cell r="B2626"/>
          <cell r="C2626"/>
          <cell r="D2626"/>
        </row>
        <row r="2627">
          <cell r="A2627"/>
          <cell r="B2627"/>
          <cell r="C2627"/>
          <cell r="D2627"/>
        </row>
        <row r="2628">
          <cell r="A2628"/>
          <cell r="B2628"/>
          <cell r="C2628"/>
          <cell r="D2628"/>
        </row>
        <row r="2629">
          <cell r="A2629"/>
          <cell r="B2629"/>
          <cell r="C2629"/>
          <cell r="D2629"/>
        </row>
        <row r="2630">
          <cell r="A2630"/>
          <cell r="B2630"/>
          <cell r="C2630"/>
          <cell r="D2630"/>
        </row>
        <row r="2631">
          <cell r="A2631"/>
          <cell r="B2631"/>
          <cell r="C2631"/>
          <cell r="D2631"/>
        </row>
        <row r="2632">
          <cell r="A2632"/>
          <cell r="B2632"/>
          <cell r="C2632"/>
          <cell r="D2632"/>
        </row>
        <row r="2633">
          <cell r="A2633"/>
          <cell r="B2633"/>
          <cell r="C2633"/>
          <cell r="D2633"/>
        </row>
        <row r="2634">
          <cell r="A2634"/>
          <cell r="B2634"/>
          <cell r="C2634"/>
          <cell r="D2634"/>
        </row>
        <row r="2635">
          <cell r="A2635"/>
          <cell r="B2635"/>
          <cell r="C2635"/>
          <cell r="D2635"/>
        </row>
        <row r="2636">
          <cell r="A2636"/>
          <cell r="B2636"/>
          <cell r="C2636"/>
          <cell r="D2636"/>
        </row>
        <row r="2637">
          <cell r="A2637"/>
          <cell r="B2637"/>
          <cell r="C2637"/>
          <cell r="D2637"/>
        </row>
        <row r="2638">
          <cell r="A2638"/>
          <cell r="B2638"/>
          <cell r="C2638"/>
          <cell r="D2638"/>
        </row>
        <row r="2639">
          <cell r="A2639"/>
          <cell r="B2639"/>
          <cell r="C2639"/>
          <cell r="D2639"/>
        </row>
        <row r="2640">
          <cell r="A2640"/>
          <cell r="B2640"/>
          <cell r="C2640"/>
          <cell r="D2640"/>
        </row>
        <row r="2641">
          <cell r="A2641"/>
          <cell r="B2641"/>
          <cell r="C2641"/>
          <cell r="D2641"/>
        </row>
        <row r="2642">
          <cell r="A2642"/>
          <cell r="B2642"/>
          <cell r="C2642"/>
          <cell r="D2642"/>
        </row>
        <row r="2643">
          <cell r="A2643"/>
          <cell r="B2643"/>
          <cell r="C2643"/>
          <cell r="D2643"/>
        </row>
        <row r="2644">
          <cell r="A2644"/>
          <cell r="B2644"/>
          <cell r="C2644"/>
          <cell r="D2644"/>
        </row>
        <row r="2645">
          <cell r="A2645"/>
          <cell r="B2645"/>
          <cell r="C2645"/>
          <cell r="D2645"/>
        </row>
        <row r="2646">
          <cell r="A2646"/>
          <cell r="B2646"/>
          <cell r="C2646"/>
          <cell r="D2646"/>
        </row>
        <row r="2647">
          <cell r="A2647"/>
          <cell r="B2647"/>
          <cell r="C2647"/>
          <cell r="D2647"/>
        </row>
        <row r="2648">
          <cell r="A2648"/>
          <cell r="B2648"/>
          <cell r="C2648"/>
          <cell r="D2648"/>
        </row>
        <row r="2649">
          <cell r="A2649"/>
          <cell r="B2649"/>
          <cell r="C2649"/>
          <cell r="D2649"/>
        </row>
        <row r="2650">
          <cell r="A2650"/>
          <cell r="B2650"/>
          <cell r="C2650"/>
          <cell r="D2650"/>
        </row>
        <row r="2651">
          <cell r="A2651"/>
          <cell r="B2651"/>
          <cell r="C2651"/>
          <cell r="D2651"/>
        </row>
        <row r="2652">
          <cell r="A2652"/>
          <cell r="B2652"/>
          <cell r="C2652"/>
          <cell r="D2652"/>
        </row>
        <row r="2653">
          <cell r="A2653"/>
          <cell r="B2653"/>
          <cell r="C2653"/>
          <cell r="D2653"/>
        </row>
        <row r="2654">
          <cell r="A2654"/>
          <cell r="B2654"/>
          <cell r="C2654"/>
          <cell r="D2654"/>
        </row>
        <row r="2655">
          <cell r="A2655"/>
          <cell r="B2655"/>
          <cell r="C2655"/>
          <cell r="D2655"/>
        </row>
        <row r="2656">
          <cell r="A2656"/>
          <cell r="B2656"/>
          <cell r="C2656"/>
          <cell r="D2656"/>
        </row>
        <row r="2657">
          <cell r="A2657"/>
          <cell r="B2657"/>
          <cell r="C2657"/>
          <cell r="D2657"/>
        </row>
        <row r="2658">
          <cell r="A2658"/>
          <cell r="B2658"/>
          <cell r="C2658"/>
          <cell r="D2658"/>
        </row>
        <row r="2659">
          <cell r="A2659"/>
          <cell r="B2659"/>
          <cell r="C2659"/>
          <cell r="D2659"/>
        </row>
        <row r="2660">
          <cell r="A2660"/>
          <cell r="B2660"/>
          <cell r="C2660"/>
          <cell r="D2660"/>
        </row>
        <row r="2661">
          <cell r="A2661"/>
          <cell r="B2661"/>
          <cell r="C2661"/>
          <cell r="D2661"/>
        </row>
        <row r="2662">
          <cell r="A2662"/>
          <cell r="B2662"/>
          <cell r="C2662"/>
          <cell r="D2662"/>
        </row>
        <row r="2663">
          <cell r="A2663"/>
          <cell r="B2663"/>
          <cell r="C2663"/>
          <cell r="D2663"/>
        </row>
        <row r="2664">
          <cell r="A2664"/>
          <cell r="B2664"/>
          <cell r="C2664"/>
          <cell r="D2664"/>
        </row>
        <row r="2665">
          <cell r="A2665"/>
          <cell r="B2665"/>
          <cell r="C2665"/>
          <cell r="D2665"/>
        </row>
        <row r="2666">
          <cell r="A2666"/>
          <cell r="B2666"/>
          <cell r="C2666"/>
          <cell r="D2666"/>
        </row>
        <row r="2667">
          <cell r="A2667"/>
          <cell r="B2667"/>
          <cell r="C2667"/>
          <cell r="D2667"/>
        </row>
        <row r="2668">
          <cell r="A2668"/>
          <cell r="B2668"/>
          <cell r="C2668"/>
          <cell r="D2668"/>
        </row>
        <row r="2669">
          <cell r="A2669"/>
          <cell r="B2669"/>
          <cell r="C2669"/>
          <cell r="D2669"/>
        </row>
        <row r="2670">
          <cell r="A2670"/>
          <cell r="B2670"/>
          <cell r="C2670"/>
          <cell r="D2670"/>
        </row>
        <row r="2671">
          <cell r="A2671"/>
          <cell r="B2671"/>
          <cell r="C2671"/>
          <cell r="D2671"/>
        </row>
        <row r="2672">
          <cell r="A2672"/>
          <cell r="B2672"/>
          <cell r="C2672"/>
          <cell r="D2672"/>
        </row>
        <row r="2673">
          <cell r="A2673"/>
          <cell r="B2673"/>
          <cell r="C2673"/>
          <cell r="D2673"/>
        </row>
        <row r="2674">
          <cell r="A2674"/>
          <cell r="B2674"/>
          <cell r="C2674"/>
          <cell r="D2674"/>
        </row>
        <row r="2675">
          <cell r="A2675"/>
          <cell r="B2675"/>
          <cell r="C2675"/>
          <cell r="D2675"/>
        </row>
        <row r="2676">
          <cell r="A2676"/>
          <cell r="B2676"/>
          <cell r="C2676"/>
          <cell r="D2676"/>
        </row>
        <row r="2677">
          <cell r="A2677"/>
          <cell r="B2677"/>
          <cell r="C2677"/>
          <cell r="D2677"/>
        </row>
        <row r="2678">
          <cell r="A2678"/>
          <cell r="B2678"/>
          <cell r="C2678"/>
          <cell r="D2678"/>
        </row>
        <row r="2679">
          <cell r="A2679"/>
          <cell r="B2679"/>
          <cell r="C2679"/>
          <cell r="D2679"/>
        </row>
        <row r="2680">
          <cell r="A2680"/>
          <cell r="B2680"/>
          <cell r="C2680"/>
          <cell r="D2680"/>
        </row>
        <row r="2681">
          <cell r="A2681"/>
          <cell r="B2681"/>
          <cell r="C2681"/>
          <cell r="D2681"/>
        </row>
        <row r="2682">
          <cell r="A2682"/>
          <cell r="B2682"/>
          <cell r="C2682"/>
          <cell r="D2682"/>
        </row>
        <row r="2683">
          <cell r="A2683"/>
          <cell r="B2683"/>
          <cell r="C2683"/>
          <cell r="D2683"/>
        </row>
        <row r="2684">
          <cell r="A2684"/>
          <cell r="B2684"/>
          <cell r="C2684"/>
          <cell r="D2684"/>
        </row>
        <row r="2685">
          <cell r="A2685"/>
          <cell r="B2685"/>
          <cell r="C2685"/>
          <cell r="D2685"/>
        </row>
        <row r="2686">
          <cell r="A2686"/>
          <cell r="B2686"/>
          <cell r="C2686"/>
          <cell r="D2686"/>
        </row>
        <row r="2687">
          <cell r="A2687"/>
          <cell r="B2687"/>
          <cell r="C2687"/>
          <cell r="D2687"/>
        </row>
        <row r="2688">
          <cell r="A2688"/>
          <cell r="B2688"/>
          <cell r="C2688"/>
          <cell r="D2688"/>
        </row>
        <row r="2689">
          <cell r="A2689"/>
          <cell r="B2689"/>
          <cell r="C2689"/>
          <cell r="D2689"/>
        </row>
        <row r="2690">
          <cell r="A2690"/>
          <cell r="B2690"/>
          <cell r="C2690"/>
          <cell r="D2690"/>
        </row>
        <row r="2691">
          <cell r="A2691"/>
          <cell r="B2691"/>
          <cell r="C2691"/>
          <cell r="D2691"/>
        </row>
        <row r="2692">
          <cell r="A2692"/>
          <cell r="B2692"/>
          <cell r="C2692"/>
          <cell r="D2692"/>
        </row>
        <row r="2693">
          <cell r="A2693"/>
          <cell r="B2693"/>
          <cell r="C2693"/>
          <cell r="D2693"/>
        </row>
        <row r="2694">
          <cell r="A2694"/>
          <cell r="B2694"/>
          <cell r="C2694"/>
          <cell r="D2694"/>
        </row>
        <row r="2695">
          <cell r="A2695"/>
          <cell r="B2695"/>
          <cell r="C2695"/>
          <cell r="D2695"/>
        </row>
        <row r="2696">
          <cell r="A2696"/>
          <cell r="B2696"/>
          <cell r="C2696"/>
          <cell r="D2696"/>
        </row>
        <row r="2697">
          <cell r="A2697"/>
          <cell r="B2697"/>
          <cell r="C2697"/>
          <cell r="D2697"/>
        </row>
        <row r="2698">
          <cell r="A2698"/>
          <cell r="B2698"/>
          <cell r="C2698"/>
          <cell r="D2698"/>
        </row>
        <row r="2699">
          <cell r="A2699"/>
          <cell r="B2699"/>
          <cell r="C2699"/>
          <cell r="D2699"/>
        </row>
        <row r="2700">
          <cell r="A2700"/>
          <cell r="B2700"/>
          <cell r="C2700"/>
          <cell r="D2700"/>
        </row>
        <row r="2701">
          <cell r="A2701"/>
          <cell r="B2701"/>
          <cell r="C2701"/>
          <cell r="D2701"/>
        </row>
        <row r="2702">
          <cell r="A2702"/>
          <cell r="B2702"/>
          <cell r="C2702"/>
          <cell r="D2702"/>
        </row>
        <row r="2703">
          <cell r="A2703"/>
          <cell r="B2703"/>
          <cell r="C2703"/>
          <cell r="D2703"/>
        </row>
        <row r="2704">
          <cell r="A2704"/>
          <cell r="B2704"/>
          <cell r="C2704"/>
          <cell r="D2704"/>
        </row>
        <row r="2705">
          <cell r="A2705"/>
          <cell r="B2705"/>
          <cell r="C2705"/>
          <cell r="D2705"/>
        </row>
        <row r="2706">
          <cell r="A2706"/>
          <cell r="B2706"/>
          <cell r="C2706"/>
          <cell r="D2706"/>
        </row>
        <row r="2707">
          <cell r="A2707"/>
          <cell r="B2707"/>
          <cell r="C2707"/>
          <cell r="D2707"/>
        </row>
        <row r="2708">
          <cell r="A2708"/>
          <cell r="B2708"/>
          <cell r="C2708"/>
          <cell r="D2708"/>
        </row>
        <row r="2709">
          <cell r="A2709"/>
          <cell r="B2709"/>
          <cell r="C2709"/>
          <cell r="D2709"/>
        </row>
        <row r="2710">
          <cell r="A2710"/>
          <cell r="B2710"/>
          <cell r="C2710"/>
          <cell r="D2710"/>
        </row>
        <row r="2711">
          <cell r="A2711"/>
          <cell r="B2711"/>
          <cell r="C2711"/>
          <cell r="D2711"/>
        </row>
        <row r="2712">
          <cell r="A2712"/>
          <cell r="B2712"/>
          <cell r="C2712"/>
          <cell r="D2712"/>
        </row>
        <row r="2713">
          <cell r="A2713"/>
          <cell r="B2713"/>
          <cell r="C2713"/>
          <cell r="D2713"/>
        </row>
        <row r="2714">
          <cell r="A2714"/>
          <cell r="B2714"/>
          <cell r="C2714"/>
          <cell r="D2714"/>
        </row>
        <row r="2715">
          <cell r="A2715"/>
          <cell r="B2715"/>
          <cell r="C2715"/>
          <cell r="D2715"/>
        </row>
        <row r="2716">
          <cell r="A2716"/>
          <cell r="B2716"/>
          <cell r="C2716"/>
          <cell r="D2716"/>
        </row>
        <row r="2717">
          <cell r="A2717"/>
          <cell r="B2717"/>
          <cell r="C2717"/>
          <cell r="D2717"/>
        </row>
        <row r="2718">
          <cell r="A2718"/>
          <cell r="B2718"/>
          <cell r="C2718"/>
          <cell r="D2718"/>
        </row>
        <row r="2719">
          <cell r="A2719"/>
          <cell r="B2719"/>
          <cell r="C2719"/>
          <cell r="D2719"/>
        </row>
        <row r="2720">
          <cell r="A2720"/>
          <cell r="B2720"/>
          <cell r="C2720"/>
          <cell r="D2720"/>
        </row>
        <row r="2721">
          <cell r="A2721"/>
          <cell r="B2721"/>
          <cell r="C2721"/>
          <cell r="D2721"/>
        </row>
        <row r="2722">
          <cell r="A2722"/>
          <cell r="B2722"/>
          <cell r="C2722"/>
          <cell r="D2722"/>
        </row>
        <row r="2723">
          <cell r="A2723"/>
          <cell r="B2723"/>
          <cell r="C2723"/>
          <cell r="D2723"/>
        </row>
        <row r="2724">
          <cell r="A2724"/>
          <cell r="B2724"/>
          <cell r="C2724"/>
          <cell r="D2724"/>
        </row>
        <row r="2725">
          <cell r="A2725"/>
          <cell r="B2725"/>
          <cell r="C2725"/>
          <cell r="D2725"/>
        </row>
        <row r="2726">
          <cell r="A2726"/>
          <cell r="B2726"/>
          <cell r="C2726"/>
          <cell r="D2726"/>
        </row>
        <row r="2727">
          <cell r="A2727"/>
          <cell r="B2727"/>
          <cell r="C2727"/>
          <cell r="D2727"/>
        </row>
        <row r="2728">
          <cell r="A2728"/>
          <cell r="B2728"/>
          <cell r="C2728"/>
          <cell r="D2728"/>
        </row>
        <row r="2729">
          <cell r="A2729"/>
          <cell r="B2729"/>
          <cell r="C2729"/>
          <cell r="D2729"/>
        </row>
        <row r="2730">
          <cell r="A2730"/>
          <cell r="B2730"/>
          <cell r="C2730"/>
          <cell r="D2730"/>
        </row>
        <row r="2731">
          <cell r="A2731"/>
          <cell r="B2731"/>
          <cell r="C2731"/>
          <cell r="D2731"/>
        </row>
        <row r="2732">
          <cell r="A2732"/>
          <cell r="B2732"/>
          <cell r="C2732"/>
          <cell r="D2732"/>
        </row>
        <row r="2733">
          <cell r="A2733"/>
          <cell r="B2733"/>
          <cell r="C2733"/>
          <cell r="D2733"/>
        </row>
        <row r="2734">
          <cell r="A2734"/>
          <cell r="B2734"/>
          <cell r="C2734"/>
          <cell r="D2734"/>
        </row>
        <row r="2735">
          <cell r="A2735"/>
          <cell r="B2735"/>
          <cell r="C2735"/>
          <cell r="D2735"/>
        </row>
        <row r="2736">
          <cell r="A2736"/>
          <cell r="B2736"/>
          <cell r="C2736"/>
          <cell r="D2736"/>
        </row>
        <row r="2737">
          <cell r="A2737"/>
          <cell r="B2737"/>
          <cell r="C2737"/>
          <cell r="D2737"/>
        </row>
        <row r="2738">
          <cell r="A2738"/>
          <cell r="B2738"/>
          <cell r="C2738"/>
          <cell r="D2738"/>
        </row>
        <row r="2739">
          <cell r="A2739"/>
          <cell r="B2739"/>
          <cell r="C2739"/>
          <cell r="D2739"/>
        </row>
        <row r="2740">
          <cell r="A2740"/>
          <cell r="B2740"/>
          <cell r="C2740"/>
          <cell r="D2740"/>
        </row>
        <row r="2741">
          <cell r="A2741"/>
          <cell r="B2741"/>
          <cell r="C2741"/>
          <cell r="D2741"/>
        </row>
        <row r="2742">
          <cell r="A2742"/>
          <cell r="B2742"/>
          <cell r="C2742"/>
          <cell r="D2742"/>
        </row>
        <row r="2743">
          <cell r="A2743"/>
          <cell r="B2743"/>
          <cell r="C2743"/>
          <cell r="D2743"/>
        </row>
        <row r="2744">
          <cell r="A2744"/>
          <cell r="B2744"/>
          <cell r="C2744"/>
          <cell r="D2744"/>
        </row>
        <row r="2745">
          <cell r="A2745"/>
          <cell r="B2745"/>
          <cell r="C2745"/>
          <cell r="D2745"/>
        </row>
        <row r="2746">
          <cell r="A2746"/>
          <cell r="B2746"/>
          <cell r="C2746"/>
          <cell r="D2746"/>
        </row>
        <row r="2747">
          <cell r="A2747"/>
          <cell r="B2747"/>
          <cell r="C2747"/>
          <cell r="D2747"/>
        </row>
        <row r="2748">
          <cell r="A2748"/>
          <cell r="B2748"/>
          <cell r="C2748"/>
          <cell r="D2748"/>
        </row>
        <row r="2749">
          <cell r="A2749"/>
          <cell r="B2749"/>
          <cell r="C2749"/>
          <cell r="D2749"/>
        </row>
        <row r="2750">
          <cell r="A2750"/>
          <cell r="B2750"/>
          <cell r="C2750"/>
          <cell r="D2750"/>
        </row>
        <row r="2751">
          <cell r="A2751"/>
          <cell r="B2751"/>
          <cell r="C2751"/>
          <cell r="D2751"/>
        </row>
        <row r="2752">
          <cell r="A2752"/>
          <cell r="B2752"/>
          <cell r="C2752"/>
          <cell r="D2752"/>
        </row>
        <row r="2753">
          <cell r="A2753"/>
          <cell r="B2753"/>
          <cell r="C2753"/>
          <cell r="D2753"/>
        </row>
        <row r="2754">
          <cell r="A2754"/>
          <cell r="B2754"/>
          <cell r="C2754"/>
          <cell r="D2754"/>
        </row>
        <row r="2755">
          <cell r="A2755"/>
          <cell r="B2755"/>
          <cell r="C2755"/>
          <cell r="D2755"/>
        </row>
        <row r="2756">
          <cell r="A2756"/>
          <cell r="B2756"/>
          <cell r="C2756"/>
          <cell r="D2756"/>
        </row>
        <row r="2757">
          <cell r="A2757"/>
          <cell r="B2757"/>
          <cell r="C2757"/>
          <cell r="D2757"/>
        </row>
        <row r="2758">
          <cell r="A2758"/>
          <cell r="B2758"/>
          <cell r="C2758"/>
          <cell r="D2758"/>
        </row>
        <row r="2759">
          <cell r="A2759"/>
          <cell r="B2759"/>
          <cell r="C2759"/>
          <cell r="D2759"/>
        </row>
        <row r="2760">
          <cell r="A2760"/>
          <cell r="B2760"/>
          <cell r="C2760"/>
          <cell r="D2760"/>
        </row>
        <row r="2761">
          <cell r="A2761"/>
          <cell r="B2761"/>
          <cell r="C2761"/>
          <cell r="D2761"/>
        </row>
        <row r="2762">
          <cell r="A2762"/>
          <cell r="B2762"/>
          <cell r="C2762"/>
          <cell r="D2762"/>
        </row>
        <row r="2763">
          <cell r="A2763"/>
          <cell r="B2763"/>
          <cell r="C2763"/>
          <cell r="D2763"/>
        </row>
        <row r="2764">
          <cell r="A2764"/>
          <cell r="B2764"/>
          <cell r="C2764"/>
          <cell r="D2764"/>
        </row>
        <row r="2765">
          <cell r="A2765"/>
          <cell r="B2765"/>
          <cell r="C2765"/>
          <cell r="D2765"/>
        </row>
        <row r="2766">
          <cell r="A2766"/>
          <cell r="B2766"/>
          <cell r="C2766"/>
          <cell r="D2766"/>
        </row>
        <row r="2767">
          <cell r="A2767"/>
          <cell r="B2767"/>
          <cell r="C2767"/>
          <cell r="D2767"/>
        </row>
        <row r="2768">
          <cell r="A2768"/>
          <cell r="B2768"/>
          <cell r="C2768"/>
          <cell r="D2768"/>
        </row>
        <row r="2769">
          <cell r="A2769"/>
          <cell r="B2769"/>
          <cell r="C2769"/>
          <cell r="D2769"/>
        </row>
        <row r="2770">
          <cell r="A2770"/>
          <cell r="B2770"/>
          <cell r="C2770"/>
          <cell r="D2770"/>
        </row>
        <row r="2771">
          <cell r="A2771"/>
          <cell r="B2771"/>
          <cell r="C2771"/>
          <cell r="D2771"/>
        </row>
        <row r="2772">
          <cell r="A2772"/>
          <cell r="B2772"/>
          <cell r="C2772"/>
          <cell r="D2772"/>
        </row>
        <row r="2773">
          <cell r="A2773"/>
          <cell r="B2773"/>
          <cell r="C2773"/>
          <cell r="D2773"/>
        </row>
        <row r="2774">
          <cell r="A2774"/>
          <cell r="B2774"/>
          <cell r="C2774"/>
          <cell r="D2774"/>
        </row>
        <row r="2775">
          <cell r="A2775"/>
          <cell r="B2775"/>
          <cell r="C2775"/>
          <cell r="D2775"/>
        </row>
        <row r="2776">
          <cell r="A2776"/>
          <cell r="B2776"/>
          <cell r="C2776"/>
          <cell r="D2776"/>
        </row>
        <row r="2777">
          <cell r="A2777"/>
          <cell r="B2777"/>
          <cell r="C2777"/>
          <cell r="D2777"/>
        </row>
        <row r="2778">
          <cell r="A2778"/>
          <cell r="B2778"/>
          <cell r="C2778"/>
          <cell r="D2778"/>
        </row>
        <row r="2779">
          <cell r="A2779"/>
          <cell r="B2779"/>
          <cell r="C2779"/>
          <cell r="D2779"/>
        </row>
        <row r="2780">
          <cell r="A2780"/>
          <cell r="B2780"/>
          <cell r="C2780"/>
          <cell r="D2780"/>
        </row>
        <row r="2781">
          <cell r="A2781"/>
          <cell r="B2781"/>
          <cell r="C2781"/>
          <cell r="D2781"/>
        </row>
        <row r="2782">
          <cell r="A2782"/>
          <cell r="B2782"/>
          <cell r="C2782"/>
          <cell r="D2782"/>
        </row>
        <row r="2783">
          <cell r="A2783"/>
          <cell r="B2783"/>
          <cell r="C2783"/>
          <cell r="D2783"/>
        </row>
        <row r="2784">
          <cell r="A2784"/>
          <cell r="B2784"/>
          <cell r="C2784"/>
          <cell r="D2784"/>
        </row>
        <row r="2785">
          <cell r="A2785"/>
          <cell r="B2785"/>
          <cell r="C2785"/>
          <cell r="D2785"/>
        </row>
        <row r="2786">
          <cell r="A2786"/>
          <cell r="B2786"/>
          <cell r="C2786"/>
          <cell r="D2786"/>
        </row>
        <row r="2787">
          <cell r="A2787"/>
          <cell r="B2787"/>
          <cell r="C2787"/>
          <cell r="D2787"/>
        </row>
        <row r="2788">
          <cell r="A2788"/>
          <cell r="B2788"/>
          <cell r="C2788"/>
          <cell r="D2788"/>
        </row>
        <row r="2789">
          <cell r="A2789"/>
          <cell r="B2789"/>
          <cell r="C2789"/>
          <cell r="D2789"/>
        </row>
        <row r="2790">
          <cell r="A2790"/>
          <cell r="B2790"/>
          <cell r="C2790"/>
          <cell r="D2790"/>
        </row>
        <row r="2791">
          <cell r="A2791"/>
          <cell r="B2791"/>
          <cell r="C2791"/>
          <cell r="D2791"/>
        </row>
        <row r="2792">
          <cell r="A2792"/>
          <cell r="B2792"/>
          <cell r="C2792"/>
          <cell r="D2792"/>
        </row>
        <row r="2793">
          <cell r="A2793"/>
          <cell r="B2793"/>
          <cell r="C2793"/>
          <cell r="D2793"/>
        </row>
        <row r="2794">
          <cell r="A2794"/>
          <cell r="B2794"/>
          <cell r="C2794"/>
          <cell r="D2794"/>
        </row>
        <row r="2795">
          <cell r="A2795"/>
          <cell r="B2795"/>
          <cell r="C2795"/>
          <cell r="D2795"/>
        </row>
        <row r="2796">
          <cell r="A2796"/>
          <cell r="B2796"/>
          <cell r="C2796"/>
          <cell r="D2796"/>
        </row>
        <row r="2797">
          <cell r="A2797"/>
          <cell r="B2797"/>
          <cell r="C2797"/>
          <cell r="D2797"/>
        </row>
        <row r="2798">
          <cell r="A2798"/>
          <cell r="B2798"/>
          <cell r="C2798"/>
          <cell r="D2798"/>
        </row>
        <row r="2799">
          <cell r="A2799"/>
          <cell r="B2799"/>
          <cell r="C2799"/>
          <cell r="D2799"/>
        </row>
        <row r="2800">
          <cell r="A2800"/>
          <cell r="B2800"/>
          <cell r="C2800"/>
          <cell r="D2800"/>
        </row>
        <row r="2801">
          <cell r="A2801"/>
          <cell r="B2801"/>
          <cell r="C2801"/>
          <cell r="D2801"/>
        </row>
        <row r="2802">
          <cell r="A2802"/>
          <cell r="B2802"/>
          <cell r="C2802"/>
          <cell r="D2802"/>
        </row>
        <row r="2803">
          <cell r="A2803"/>
          <cell r="B2803"/>
          <cell r="C2803"/>
          <cell r="D2803"/>
        </row>
        <row r="2804">
          <cell r="A2804"/>
          <cell r="B2804"/>
          <cell r="C2804"/>
          <cell r="D2804"/>
        </row>
        <row r="2805">
          <cell r="A2805"/>
          <cell r="B2805"/>
          <cell r="C2805"/>
          <cell r="D2805"/>
        </row>
        <row r="2806">
          <cell r="A2806"/>
          <cell r="B2806"/>
          <cell r="C2806"/>
          <cell r="D2806"/>
        </row>
        <row r="2807">
          <cell r="A2807"/>
          <cell r="B2807"/>
          <cell r="C2807"/>
          <cell r="D2807"/>
        </row>
        <row r="2808">
          <cell r="A2808"/>
          <cell r="B2808"/>
          <cell r="C2808"/>
          <cell r="D2808"/>
        </row>
        <row r="2809">
          <cell r="A2809"/>
          <cell r="B2809"/>
          <cell r="C2809"/>
          <cell r="D2809"/>
        </row>
        <row r="2810">
          <cell r="A2810"/>
          <cell r="B2810"/>
          <cell r="C2810"/>
          <cell r="D2810"/>
        </row>
        <row r="2811">
          <cell r="A2811"/>
          <cell r="B2811"/>
          <cell r="C2811"/>
          <cell r="D2811"/>
        </row>
        <row r="2812">
          <cell r="A2812"/>
          <cell r="B2812"/>
          <cell r="C2812"/>
          <cell r="D2812"/>
        </row>
        <row r="2813">
          <cell r="A2813"/>
          <cell r="B2813"/>
          <cell r="C2813"/>
          <cell r="D2813"/>
        </row>
        <row r="2814">
          <cell r="A2814"/>
          <cell r="B2814"/>
          <cell r="C2814"/>
          <cell r="D2814"/>
        </row>
        <row r="2815">
          <cell r="A2815"/>
          <cell r="B2815"/>
          <cell r="C2815"/>
          <cell r="D2815"/>
        </row>
        <row r="2816">
          <cell r="A2816"/>
          <cell r="B2816"/>
          <cell r="C2816"/>
          <cell r="D2816"/>
        </row>
        <row r="2817">
          <cell r="A2817"/>
          <cell r="B2817"/>
          <cell r="C2817"/>
          <cell r="D2817"/>
        </row>
        <row r="2818">
          <cell r="A2818"/>
          <cell r="B2818"/>
          <cell r="C2818"/>
          <cell r="D2818"/>
        </row>
        <row r="2819">
          <cell r="A2819"/>
          <cell r="B2819"/>
          <cell r="C2819"/>
          <cell r="D2819"/>
        </row>
        <row r="2820">
          <cell r="A2820"/>
          <cell r="B2820"/>
          <cell r="C2820"/>
          <cell r="D2820"/>
        </row>
        <row r="2821">
          <cell r="A2821"/>
          <cell r="B2821"/>
          <cell r="C2821"/>
          <cell r="D2821"/>
        </row>
        <row r="2822">
          <cell r="A2822"/>
          <cell r="B2822"/>
          <cell r="C2822"/>
          <cell r="D2822"/>
        </row>
        <row r="2823">
          <cell r="A2823"/>
          <cell r="B2823"/>
          <cell r="C2823"/>
          <cell r="D2823"/>
        </row>
        <row r="2824">
          <cell r="A2824"/>
          <cell r="B2824"/>
          <cell r="C2824"/>
          <cell r="D2824"/>
        </row>
        <row r="2825">
          <cell r="A2825"/>
          <cell r="B2825"/>
          <cell r="C2825"/>
          <cell r="D2825"/>
        </row>
        <row r="2826">
          <cell r="A2826"/>
          <cell r="B2826"/>
          <cell r="C2826"/>
          <cell r="D2826"/>
        </row>
        <row r="2827">
          <cell r="A2827"/>
          <cell r="B2827"/>
          <cell r="C2827"/>
          <cell r="D2827"/>
        </row>
        <row r="2828">
          <cell r="A2828"/>
          <cell r="B2828"/>
          <cell r="C2828"/>
          <cell r="D2828"/>
        </row>
        <row r="2829">
          <cell r="A2829"/>
          <cell r="B2829"/>
          <cell r="C2829"/>
          <cell r="D2829"/>
        </row>
        <row r="2830">
          <cell r="A2830"/>
          <cell r="B2830"/>
          <cell r="C2830"/>
          <cell r="D2830"/>
        </row>
        <row r="2831">
          <cell r="A2831"/>
          <cell r="B2831"/>
          <cell r="C2831"/>
          <cell r="D2831"/>
        </row>
        <row r="2832">
          <cell r="A2832"/>
          <cell r="B2832"/>
          <cell r="C2832"/>
          <cell r="D2832"/>
        </row>
        <row r="2833">
          <cell r="A2833"/>
          <cell r="B2833"/>
          <cell r="C2833"/>
          <cell r="D2833"/>
        </row>
        <row r="2834">
          <cell r="A2834"/>
          <cell r="B2834"/>
          <cell r="C2834"/>
          <cell r="D2834"/>
        </row>
        <row r="2835">
          <cell r="A2835"/>
          <cell r="B2835"/>
          <cell r="C2835"/>
          <cell r="D2835"/>
        </row>
        <row r="2836">
          <cell r="A2836"/>
          <cell r="B2836"/>
          <cell r="C2836"/>
          <cell r="D2836"/>
        </row>
        <row r="2837">
          <cell r="A2837"/>
          <cell r="B2837"/>
          <cell r="C2837"/>
          <cell r="D2837"/>
        </row>
        <row r="2838">
          <cell r="A2838"/>
          <cell r="B2838"/>
          <cell r="C2838"/>
          <cell r="D2838"/>
        </row>
        <row r="2839">
          <cell r="A2839"/>
          <cell r="B2839"/>
          <cell r="C2839"/>
          <cell r="D2839"/>
        </row>
        <row r="2840">
          <cell r="A2840"/>
          <cell r="B2840"/>
          <cell r="C2840"/>
          <cell r="D2840"/>
        </row>
        <row r="2841">
          <cell r="A2841"/>
          <cell r="B2841"/>
          <cell r="C2841"/>
          <cell r="D2841"/>
        </row>
        <row r="2842">
          <cell r="A2842"/>
          <cell r="B2842"/>
          <cell r="C2842"/>
          <cell r="D2842"/>
        </row>
        <row r="2843">
          <cell r="A2843"/>
          <cell r="B2843"/>
          <cell r="C2843"/>
          <cell r="D2843"/>
        </row>
        <row r="2844">
          <cell r="A2844"/>
          <cell r="B2844"/>
          <cell r="C2844"/>
          <cell r="D2844"/>
        </row>
        <row r="2845">
          <cell r="A2845"/>
          <cell r="B2845"/>
          <cell r="C2845"/>
          <cell r="D2845"/>
        </row>
        <row r="2846">
          <cell r="A2846"/>
          <cell r="B2846"/>
          <cell r="C2846"/>
          <cell r="D2846"/>
        </row>
        <row r="2847">
          <cell r="A2847"/>
          <cell r="B2847"/>
          <cell r="C2847"/>
          <cell r="D2847"/>
        </row>
        <row r="2848">
          <cell r="A2848"/>
          <cell r="B2848"/>
          <cell r="C2848"/>
          <cell r="D2848"/>
        </row>
        <row r="2849">
          <cell r="A2849"/>
          <cell r="B2849"/>
          <cell r="C2849"/>
          <cell r="D2849"/>
        </row>
        <row r="2850">
          <cell r="A2850"/>
          <cell r="B2850"/>
          <cell r="C2850"/>
          <cell r="D2850"/>
        </row>
        <row r="2851">
          <cell r="A2851"/>
          <cell r="B2851"/>
          <cell r="C2851"/>
          <cell r="D2851"/>
        </row>
        <row r="2852">
          <cell r="A2852"/>
          <cell r="B2852"/>
          <cell r="C2852"/>
          <cell r="D2852"/>
        </row>
        <row r="2853">
          <cell r="A2853"/>
          <cell r="B2853"/>
          <cell r="C2853"/>
          <cell r="D2853"/>
        </row>
        <row r="2854">
          <cell r="A2854"/>
          <cell r="B2854"/>
          <cell r="C2854"/>
          <cell r="D2854"/>
        </row>
        <row r="2855">
          <cell r="A2855"/>
          <cell r="B2855"/>
          <cell r="C2855"/>
          <cell r="D2855"/>
        </row>
        <row r="2856">
          <cell r="A2856"/>
          <cell r="B2856"/>
          <cell r="C2856"/>
          <cell r="D2856"/>
        </row>
        <row r="2857">
          <cell r="A2857"/>
          <cell r="B2857"/>
          <cell r="C2857"/>
          <cell r="D2857"/>
        </row>
        <row r="2858">
          <cell r="A2858"/>
          <cell r="B2858"/>
          <cell r="C2858"/>
          <cell r="D2858"/>
        </row>
        <row r="2859">
          <cell r="A2859"/>
          <cell r="B2859"/>
          <cell r="C2859"/>
          <cell r="D2859"/>
        </row>
        <row r="2860">
          <cell r="A2860"/>
          <cell r="B2860"/>
          <cell r="C2860"/>
          <cell r="D2860"/>
        </row>
        <row r="2861">
          <cell r="A2861"/>
          <cell r="B2861"/>
          <cell r="C2861"/>
          <cell r="D2861"/>
        </row>
        <row r="2862">
          <cell r="A2862"/>
          <cell r="B2862"/>
          <cell r="C2862"/>
          <cell r="D2862"/>
        </row>
        <row r="2863">
          <cell r="A2863"/>
          <cell r="B2863"/>
          <cell r="C2863"/>
          <cell r="D2863"/>
        </row>
        <row r="2864">
          <cell r="A2864"/>
          <cell r="B2864"/>
          <cell r="C2864"/>
          <cell r="D2864"/>
        </row>
        <row r="2865">
          <cell r="A2865"/>
          <cell r="B2865"/>
          <cell r="C2865"/>
          <cell r="D2865"/>
        </row>
        <row r="2866">
          <cell r="A2866"/>
          <cell r="B2866"/>
          <cell r="C2866"/>
          <cell r="D2866"/>
        </row>
        <row r="2867">
          <cell r="A2867"/>
          <cell r="B2867"/>
          <cell r="C2867"/>
          <cell r="D2867"/>
        </row>
        <row r="2868">
          <cell r="A2868"/>
          <cell r="B2868"/>
          <cell r="C2868"/>
          <cell r="D2868"/>
        </row>
        <row r="2869">
          <cell r="A2869"/>
          <cell r="B2869"/>
          <cell r="C2869"/>
          <cell r="D2869"/>
        </row>
        <row r="2870">
          <cell r="A2870"/>
          <cell r="B2870"/>
          <cell r="C2870"/>
          <cell r="D2870"/>
        </row>
        <row r="2871">
          <cell r="A2871"/>
          <cell r="B2871"/>
          <cell r="C2871"/>
          <cell r="D2871"/>
        </row>
        <row r="2872">
          <cell r="A2872"/>
          <cell r="B2872"/>
          <cell r="C2872"/>
          <cell r="D2872"/>
        </row>
        <row r="2873">
          <cell r="A2873"/>
          <cell r="B2873"/>
          <cell r="C2873"/>
          <cell r="D2873"/>
        </row>
        <row r="2874">
          <cell r="A2874"/>
          <cell r="B2874"/>
          <cell r="C2874"/>
          <cell r="D2874"/>
        </row>
        <row r="2875">
          <cell r="A2875"/>
          <cell r="B2875"/>
          <cell r="C2875"/>
          <cell r="D2875"/>
        </row>
        <row r="2876">
          <cell r="A2876"/>
          <cell r="B2876"/>
          <cell r="C2876"/>
          <cell r="D2876"/>
        </row>
        <row r="2877">
          <cell r="A2877"/>
          <cell r="B2877"/>
          <cell r="C2877"/>
          <cell r="D2877"/>
        </row>
        <row r="2878">
          <cell r="A2878"/>
          <cell r="B2878"/>
          <cell r="C2878"/>
          <cell r="D2878"/>
        </row>
        <row r="2879">
          <cell r="A2879"/>
          <cell r="B2879"/>
          <cell r="C2879"/>
          <cell r="D2879"/>
        </row>
        <row r="2880">
          <cell r="A2880"/>
          <cell r="B2880"/>
          <cell r="C2880"/>
          <cell r="D2880"/>
        </row>
        <row r="2881">
          <cell r="A2881"/>
          <cell r="B2881"/>
          <cell r="C2881"/>
          <cell r="D2881"/>
        </row>
        <row r="2882">
          <cell r="A2882"/>
          <cell r="B2882"/>
          <cell r="C2882"/>
          <cell r="D2882"/>
        </row>
        <row r="2883">
          <cell r="A2883"/>
          <cell r="B2883"/>
          <cell r="C2883"/>
          <cell r="D2883"/>
        </row>
        <row r="2884">
          <cell r="A2884"/>
          <cell r="B2884"/>
          <cell r="C2884"/>
          <cell r="D2884"/>
        </row>
        <row r="2885">
          <cell r="A2885"/>
          <cell r="B2885"/>
          <cell r="C2885"/>
          <cell r="D2885"/>
        </row>
        <row r="2886">
          <cell r="A2886"/>
          <cell r="B2886"/>
          <cell r="C2886"/>
          <cell r="D2886"/>
        </row>
        <row r="2887">
          <cell r="A2887"/>
          <cell r="B2887"/>
          <cell r="C2887"/>
          <cell r="D2887"/>
        </row>
        <row r="2888">
          <cell r="A2888"/>
          <cell r="B2888"/>
          <cell r="C2888"/>
          <cell r="D2888"/>
        </row>
        <row r="2889">
          <cell r="A2889"/>
          <cell r="B2889"/>
          <cell r="C2889"/>
          <cell r="D2889"/>
        </row>
        <row r="2890">
          <cell r="A2890"/>
          <cell r="B2890"/>
          <cell r="C2890"/>
          <cell r="D2890"/>
        </row>
        <row r="2891">
          <cell r="A2891"/>
          <cell r="B2891"/>
          <cell r="C2891"/>
          <cell r="D2891"/>
        </row>
        <row r="2892">
          <cell r="A2892"/>
          <cell r="B2892"/>
          <cell r="C2892"/>
          <cell r="D2892"/>
        </row>
        <row r="2893">
          <cell r="A2893"/>
          <cell r="B2893"/>
          <cell r="C2893"/>
          <cell r="D2893"/>
        </row>
        <row r="2894">
          <cell r="A2894"/>
          <cell r="B2894"/>
          <cell r="C2894"/>
          <cell r="D2894"/>
        </row>
        <row r="2895">
          <cell r="A2895"/>
          <cell r="B2895"/>
          <cell r="C2895"/>
          <cell r="D2895"/>
        </row>
        <row r="2896">
          <cell r="A2896"/>
          <cell r="B2896"/>
          <cell r="C2896"/>
          <cell r="D2896"/>
        </row>
        <row r="2897">
          <cell r="A2897"/>
          <cell r="B2897"/>
          <cell r="C2897"/>
          <cell r="D2897"/>
        </row>
        <row r="2898">
          <cell r="A2898"/>
          <cell r="B2898"/>
          <cell r="C2898"/>
          <cell r="D2898"/>
        </row>
        <row r="2899">
          <cell r="A2899"/>
          <cell r="B2899"/>
          <cell r="C2899"/>
          <cell r="D2899"/>
        </row>
        <row r="2900">
          <cell r="A2900"/>
          <cell r="B2900"/>
          <cell r="C2900"/>
          <cell r="D2900"/>
        </row>
        <row r="2901">
          <cell r="A2901"/>
          <cell r="B2901"/>
          <cell r="C2901"/>
          <cell r="D2901"/>
        </row>
        <row r="2902">
          <cell r="A2902"/>
          <cell r="B2902"/>
          <cell r="C2902"/>
          <cell r="D2902"/>
        </row>
        <row r="2903">
          <cell r="A2903"/>
          <cell r="B2903"/>
          <cell r="C2903"/>
          <cell r="D2903"/>
        </row>
        <row r="2904">
          <cell r="A2904"/>
          <cell r="B2904"/>
          <cell r="C2904"/>
          <cell r="D2904"/>
        </row>
        <row r="2905">
          <cell r="A2905"/>
          <cell r="B2905"/>
          <cell r="C2905"/>
          <cell r="D2905"/>
        </row>
        <row r="2906">
          <cell r="A2906"/>
          <cell r="B2906"/>
          <cell r="C2906"/>
          <cell r="D2906"/>
        </row>
        <row r="2907">
          <cell r="A2907"/>
          <cell r="B2907"/>
          <cell r="C2907"/>
          <cell r="D2907"/>
        </row>
        <row r="2908">
          <cell r="A2908"/>
          <cell r="B2908"/>
          <cell r="C2908"/>
          <cell r="D2908"/>
        </row>
        <row r="2909">
          <cell r="A2909"/>
          <cell r="B2909"/>
          <cell r="C2909"/>
          <cell r="D2909"/>
        </row>
        <row r="2910">
          <cell r="A2910"/>
          <cell r="B2910"/>
          <cell r="C2910"/>
          <cell r="D2910"/>
        </row>
        <row r="2911">
          <cell r="A2911"/>
          <cell r="B2911"/>
          <cell r="C2911"/>
          <cell r="D2911"/>
        </row>
        <row r="2912">
          <cell r="A2912"/>
          <cell r="B2912"/>
          <cell r="C2912"/>
          <cell r="D2912"/>
        </row>
        <row r="2913">
          <cell r="A2913"/>
          <cell r="B2913"/>
          <cell r="C2913"/>
          <cell r="D2913"/>
        </row>
        <row r="2914">
          <cell r="A2914"/>
          <cell r="B2914"/>
          <cell r="C2914"/>
          <cell r="D2914"/>
        </row>
        <row r="2915">
          <cell r="A2915"/>
          <cell r="B2915"/>
          <cell r="C2915"/>
          <cell r="D2915"/>
        </row>
        <row r="2916">
          <cell r="A2916"/>
          <cell r="B2916"/>
          <cell r="C2916"/>
          <cell r="D2916"/>
        </row>
        <row r="2917">
          <cell r="A2917"/>
          <cell r="B2917"/>
          <cell r="C2917"/>
          <cell r="D2917"/>
        </row>
        <row r="2918">
          <cell r="A2918"/>
          <cell r="B2918"/>
          <cell r="C2918"/>
          <cell r="D2918"/>
        </row>
        <row r="2919">
          <cell r="A2919"/>
          <cell r="B2919"/>
          <cell r="C2919"/>
          <cell r="D2919"/>
        </row>
        <row r="2920">
          <cell r="A2920"/>
          <cell r="B2920"/>
          <cell r="C2920"/>
          <cell r="D2920"/>
        </row>
        <row r="2921">
          <cell r="A2921"/>
          <cell r="B2921"/>
          <cell r="C2921"/>
          <cell r="D2921"/>
        </row>
        <row r="2922">
          <cell r="A2922"/>
          <cell r="B2922"/>
          <cell r="C2922"/>
          <cell r="D2922"/>
        </row>
        <row r="2923">
          <cell r="A2923"/>
          <cell r="B2923"/>
          <cell r="C2923"/>
          <cell r="D2923"/>
        </row>
        <row r="2924">
          <cell r="A2924"/>
          <cell r="B2924"/>
          <cell r="C2924"/>
          <cell r="D2924"/>
        </row>
        <row r="2925">
          <cell r="A2925"/>
          <cell r="B2925"/>
          <cell r="C2925"/>
          <cell r="D2925"/>
        </row>
        <row r="2926">
          <cell r="A2926"/>
          <cell r="B2926"/>
          <cell r="C2926"/>
          <cell r="D2926"/>
        </row>
        <row r="2927">
          <cell r="A2927"/>
          <cell r="B2927"/>
          <cell r="C2927"/>
          <cell r="D2927"/>
        </row>
        <row r="2928">
          <cell r="A2928"/>
          <cell r="B2928"/>
          <cell r="C2928"/>
          <cell r="D2928"/>
        </row>
        <row r="2929">
          <cell r="A2929"/>
          <cell r="B2929"/>
          <cell r="C2929"/>
          <cell r="D2929"/>
        </row>
        <row r="2930">
          <cell r="A2930"/>
          <cell r="B2930"/>
          <cell r="C2930"/>
          <cell r="D2930"/>
        </row>
        <row r="2931">
          <cell r="A2931"/>
          <cell r="B2931"/>
          <cell r="C2931"/>
          <cell r="D2931"/>
        </row>
        <row r="2932">
          <cell r="A2932"/>
          <cell r="B2932"/>
          <cell r="C2932"/>
          <cell r="D2932"/>
        </row>
        <row r="2933">
          <cell r="A2933"/>
          <cell r="B2933"/>
          <cell r="C2933"/>
          <cell r="D2933"/>
        </row>
        <row r="2934">
          <cell r="A2934"/>
          <cell r="B2934"/>
          <cell r="C2934"/>
          <cell r="D2934"/>
        </row>
        <row r="2935">
          <cell r="A2935"/>
          <cell r="B2935"/>
          <cell r="C2935"/>
          <cell r="D2935"/>
        </row>
        <row r="2936">
          <cell r="A2936"/>
          <cell r="B2936"/>
          <cell r="C2936"/>
          <cell r="D2936"/>
        </row>
        <row r="2937">
          <cell r="A2937"/>
          <cell r="B2937"/>
          <cell r="C2937"/>
          <cell r="D2937"/>
        </row>
        <row r="2938">
          <cell r="A2938"/>
          <cell r="B2938"/>
          <cell r="C2938"/>
          <cell r="D2938"/>
        </row>
        <row r="2939">
          <cell r="A2939"/>
          <cell r="B2939"/>
          <cell r="C2939"/>
          <cell r="D2939"/>
        </row>
        <row r="2940">
          <cell r="A2940"/>
          <cell r="B2940"/>
          <cell r="C2940"/>
          <cell r="D2940"/>
        </row>
        <row r="2941">
          <cell r="A2941"/>
          <cell r="B2941"/>
          <cell r="C2941"/>
          <cell r="D2941"/>
        </row>
        <row r="2942">
          <cell r="A2942"/>
          <cell r="B2942"/>
          <cell r="C2942"/>
          <cell r="D2942"/>
        </row>
        <row r="2943">
          <cell r="A2943"/>
          <cell r="B2943"/>
          <cell r="C2943"/>
          <cell r="D2943"/>
        </row>
        <row r="2944">
          <cell r="A2944"/>
          <cell r="B2944"/>
          <cell r="C2944"/>
          <cell r="D2944"/>
        </row>
        <row r="2945">
          <cell r="A2945"/>
          <cell r="B2945"/>
          <cell r="C2945"/>
          <cell r="D2945"/>
        </row>
        <row r="2946">
          <cell r="A2946"/>
          <cell r="B2946"/>
          <cell r="C2946"/>
          <cell r="D2946"/>
        </row>
        <row r="2947">
          <cell r="A2947"/>
          <cell r="B2947"/>
          <cell r="C2947"/>
          <cell r="D2947"/>
        </row>
        <row r="2948">
          <cell r="A2948"/>
          <cell r="B2948"/>
          <cell r="C2948"/>
          <cell r="D2948"/>
        </row>
        <row r="2949">
          <cell r="A2949"/>
          <cell r="B2949"/>
          <cell r="C2949"/>
          <cell r="D2949"/>
        </row>
        <row r="2950">
          <cell r="A2950"/>
          <cell r="B2950"/>
          <cell r="C2950"/>
          <cell r="D2950"/>
        </row>
        <row r="2951">
          <cell r="A2951"/>
          <cell r="B2951"/>
          <cell r="C2951"/>
          <cell r="D2951"/>
        </row>
        <row r="2952">
          <cell r="A2952"/>
          <cell r="B2952"/>
          <cell r="C2952"/>
          <cell r="D2952"/>
        </row>
        <row r="2953">
          <cell r="A2953"/>
          <cell r="B2953"/>
          <cell r="C2953"/>
          <cell r="D2953"/>
        </row>
        <row r="2954">
          <cell r="A2954"/>
          <cell r="B2954"/>
          <cell r="C2954"/>
          <cell r="D2954"/>
        </row>
        <row r="2955">
          <cell r="A2955"/>
          <cell r="B2955"/>
          <cell r="C2955"/>
          <cell r="D2955"/>
        </row>
        <row r="2956">
          <cell r="A2956"/>
          <cell r="B2956"/>
          <cell r="C2956"/>
          <cell r="D2956"/>
        </row>
        <row r="2957">
          <cell r="A2957"/>
          <cell r="B2957"/>
          <cell r="C2957"/>
          <cell r="D2957"/>
        </row>
        <row r="2958">
          <cell r="A2958"/>
          <cell r="B2958"/>
          <cell r="C2958"/>
          <cell r="D2958"/>
        </row>
        <row r="2959">
          <cell r="A2959"/>
          <cell r="B2959"/>
          <cell r="C2959"/>
          <cell r="D2959"/>
        </row>
        <row r="2960">
          <cell r="A2960"/>
          <cell r="B2960"/>
          <cell r="C2960"/>
          <cell r="D2960"/>
        </row>
        <row r="2961">
          <cell r="A2961"/>
          <cell r="B2961"/>
          <cell r="C2961"/>
          <cell r="D2961"/>
        </row>
        <row r="2962">
          <cell r="A2962"/>
          <cell r="B2962"/>
          <cell r="C2962"/>
          <cell r="D2962"/>
        </row>
        <row r="2963">
          <cell r="A2963"/>
          <cell r="B2963"/>
          <cell r="C2963"/>
          <cell r="D2963"/>
        </row>
        <row r="2964">
          <cell r="A2964"/>
          <cell r="B2964"/>
          <cell r="C2964"/>
          <cell r="D2964"/>
        </row>
        <row r="2965">
          <cell r="A2965"/>
          <cell r="B2965"/>
          <cell r="C2965"/>
          <cell r="D2965"/>
        </row>
        <row r="2966">
          <cell r="A2966"/>
          <cell r="B2966"/>
          <cell r="C2966"/>
          <cell r="D2966"/>
        </row>
        <row r="2967">
          <cell r="A2967"/>
          <cell r="B2967"/>
          <cell r="C2967"/>
          <cell r="D2967"/>
        </row>
        <row r="2968">
          <cell r="A2968"/>
          <cell r="B2968"/>
          <cell r="C2968"/>
          <cell r="D2968"/>
        </row>
        <row r="2969">
          <cell r="A2969"/>
          <cell r="B2969"/>
          <cell r="C2969"/>
          <cell r="D2969"/>
        </row>
        <row r="2970">
          <cell r="A2970"/>
          <cell r="B2970"/>
          <cell r="C2970"/>
          <cell r="D2970"/>
        </row>
        <row r="2971">
          <cell r="A2971"/>
          <cell r="B2971"/>
          <cell r="C2971"/>
          <cell r="D2971"/>
        </row>
        <row r="2972">
          <cell r="A2972"/>
          <cell r="B2972"/>
          <cell r="C2972"/>
          <cell r="D2972"/>
        </row>
        <row r="2973">
          <cell r="A2973"/>
          <cell r="B2973"/>
          <cell r="C2973"/>
          <cell r="D2973"/>
        </row>
        <row r="2974">
          <cell r="A2974"/>
          <cell r="B2974"/>
          <cell r="C2974"/>
          <cell r="D2974"/>
        </row>
        <row r="2975">
          <cell r="A2975"/>
          <cell r="B2975"/>
          <cell r="C2975"/>
          <cell r="D2975"/>
        </row>
        <row r="2976">
          <cell r="A2976"/>
          <cell r="B2976"/>
          <cell r="C2976"/>
          <cell r="D2976"/>
        </row>
        <row r="2977">
          <cell r="A2977"/>
          <cell r="B2977"/>
          <cell r="C2977"/>
          <cell r="D2977"/>
        </row>
        <row r="2978">
          <cell r="A2978"/>
          <cell r="B2978"/>
          <cell r="C2978"/>
          <cell r="D2978"/>
        </row>
        <row r="2979">
          <cell r="A2979"/>
          <cell r="B2979"/>
          <cell r="C2979"/>
          <cell r="D2979"/>
        </row>
        <row r="2980">
          <cell r="A2980"/>
          <cell r="B2980"/>
          <cell r="C2980"/>
          <cell r="D2980"/>
        </row>
        <row r="2981">
          <cell r="A2981"/>
          <cell r="B2981"/>
          <cell r="C2981"/>
          <cell r="D2981"/>
        </row>
        <row r="2982">
          <cell r="A2982"/>
          <cell r="B2982"/>
          <cell r="C2982"/>
          <cell r="D2982"/>
        </row>
        <row r="2983">
          <cell r="A2983"/>
          <cell r="B2983"/>
          <cell r="C2983"/>
          <cell r="D2983"/>
        </row>
        <row r="2984">
          <cell r="A2984"/>
          <cell r="B2984"/>
          <cell r="C2984"/>
          <cell r="D2984"/>
        </row>
        <row r="2985">
          <cell r="A2985"/>
          <cell r="B2985"/>
          <cell r="C2985"/>
          <cell r="D2985"/>
        </row>
        <row r="2986">
          <cell r="A2986"/>
          <cell r="B2986"/>
          <cell r="C2986"/>
          <cell r="D2986"/>
        </row>
        <row r="2987">
          <cell r="A2987"/>
          <cell r="B2987"/>
          <cell r="C2987"/>
          <cell r="D2987"/>
        </row>
        <row r="2988">
          <cell r="A2988"/>
          <cell r="B2988"/>
          <cell r="C2988"/>
          <cell r="D2988"/>
        </row>
        <row r="2989">
          <cell r="A2989"/>
          <cell r="B2989"/>
          <cell r="C2989"/>
          <cell r="D2989"/>
        </row>
        <row r="2990">
          <cell r="A2990"/>
          <cell r="B2990"/>
          <cell r="C2990"/>
          <cell r="D2990"/>
        </row>
        <row r="2991">
          <cell r="A2991"/>
          <cell r="B2991"/>
          <cell r="C2991"/>
          <cell r="D2991"/>
        </row>
        <row r="2992">
          <cell r="A2992"/>
          <cell r="B2992"/>
          <cell r="C2992"/>
          <cell r="D2992"/>
        </row>
        <row r="2993">
          <cell r="A2993"/>
          <cell r="B2993"/>
          <cell r="C2993"/>
          <cell r="D2993"/>
        </row>
        <row r="2994">
          <cell r="A2994"/>
          <cell r="B2994"/>
          <cell r="C2994"/>
          <cell r="D2994"/>
        </row>
        <row r="2995">
          <cell r="A2995"/>
          <cell r="B2995"/>
          <cell r="C2995"/>
          <cell r="D2995"/>
        </row>
        <row r="2996">
          <cell r="A2996"/>
          <cell r="B2996"/>
          <cell r="C2996"/>
          <cell r="D2996"/>
        </row>
        <row r="2997">
          <cell r="A2997"/>
          <cell r="B2997"/>
          <cell r="C2997"/>
          <cell r="D2997"/>
        </row>
        <row r="2998">
          <cell r="A2998"/>
          <cell r="B2998"/>
          <cell r="C2998"/>
          <cell r="D2998"/>
        </row>
        <row r="2999">
          <cell r="A2999"/>
          <cell r="B2999"/>
          <cell r="C2999"/>
          <cell r="D2999"/>
        </row>
        <row r="3000">
          <cell r="A3000"/>
          <cell r="B3000"/>
          <cell r="C3000"/>
          <cell r="D3000"/>
        </row>
        <row r="3001">
          <cell r="A3001"/>
          <cell r="B3001"/>
          <cell r="C3001"/>
          <cell r="D3001"/>
        </row>
        <row r="3002">
          <cell r="A3002"/>
          <cell r="B3002"/>
          <cell r="C3002"/>
          <cell r="D3002"/>
        </row>
        <row r="3003">
          <cell r="A3003"/>
          <cell r="B3003"/>
          <cell r="C3003"/>
          <cell r="D3003"/>
        </row>
        <row r="3004">
          <cell r="A3004"/>
          <cell r="B3004"/>
          <cell r="C3004"/>
          <cell r="D3004"/>
        </row>
        <row r="3005">
          <cell r="A3005"/>
          <cell r="B3005"/>
          <cell r="C3005"/>
          <cell r="D3005"/>
        </row>
        <row r="3006">
          <cell r="A3006"/>
          <cell r="B3006"/>
          <cell r="C3006"/>
          <cell r="D3006"/>
        </row>
        <row r="3007">
          <cell r="A3007"/>
          <cell r="B3007"/>
          <cell r="C3007"/>
          <cell r="D3007"/>
        </row>
        <row r="3008">
          <cell r="A3008"/>
          <cell r="B3008"/>
          <cell r="C3008"/>
          <cell r="D3008"/>
        </row>
        <row r="3009">
          <cell r="A3009"/>
          <cell r="B3009"/>
          <cell r="C3009"/>
          <cell r="D3009"/>
        </row>
        <row r="3010">
          <cell r="A3010"/>
          <cell r="B3010"/>
          <cell r="C3010"/>
          <cell r="D3010"/>
        </row>
        <row r="3011">
          <cell r="A3011"/>
          <cell r="B3011"/>
          <cell r="C3011"/>
          <cell r="D3011"/>
        </row>
        <row r="3012">
          <cell r="A3012"/>
          <cell r="B3012"/>
          <cell r="C3012"/>
          <cell r="D3012"/>
        </row>
        <row r="3013">
          <cell r="A3013"/>
          <cell r="B3013"/>
          <cell r="C3013"/>
          <cell r="D3013"/>
        </row>
        <row r="3014">
          <cell r="A3014"/>
          <cell r="B3014"/>
          <cell r="C3014"/>
          <cell r="D3014"/>
        </row>
        <row r="3015">
          <cell r="A3015"/>
          <cell r="B3015"/>
          <cell r="C3015"/>
          <cell r="D3015"/>
        </row>
        <row r="3016">
          <cell r="A3016"/>
          <cell r="B3016"/>
          <cell r="C3016"/>
          <cell r="D3016"/>
        </row>
        <row r="3017">
          <cell r="A3017"/>
          <cell r="B3017"/>
          <cell r="C3017"/>
          <cell r="D3017"/>
        </row>
        <row r="3018">
          <cell r="A3018"/>
          <cell r="B3018"/>
          <cell r="C3018"/>
          <cell r="D3018"/>
        </row>
        <row r="3019">
          <cell r="A3019"/>
          <cell r="B3019"/>
          <cell r="C3019"/>
          <cell r="D3019"/>
        </row>
        <row r="3020">
          <cell r="A3020"/>
          <cell r="B3020"/>
          <cell r="C3020"/>
          <cell r="D3020"/>
        </row>
        <row r="3021">
          <cell r="A3021"/>
          <cell r="B3021"/>
          <cell r="C3021"/>
          <cell r="D3021"/>
        </row>
        <row r="3022">
          <cell r="A3022"/>
          <cell r="B3022"/>
          <cell r="C3022"/>
          <cell r="D3022"/>
        </row>
        <row r="3023">
          <cell r="A3023"/>
          <cell r="B3023"/>
          <cell r="C3023"/>
          <cell r="D3023"/>
        </row>
        <row r="3024">
          <cell r="A3024"/>
          <cell r="B3024"/>
          <cell r="C3024"/>
          <cell r="D3024"/>
        </row>
        <row r="3025">
          <cell r="A3025"/>
          <cell r="B3025"/>
          <cell r="C3025"/>
          <cell r="D3025"/>
        </row>
        <row r="3026">
          <cell r="A3026"/>
          <cell r="B3026"/>
          <cell r="C3026"/>
          <cell r="D3026"/>
        </row>
        <row r="3027">
          <cell r="A3027"/>
          <cell r="B3027"/>
          <cell r="C3027"/>
          <cell r="D3027"/>
        </row>
        <row r="3028">
          <cell r="A3028"/>
          <cell r="B3028"/>
          <cell r="C3028"/>
          <cell r="D3028"/>
        </row>
        <row r="3029">
          <cell r="A3029"/>
          <cell r="B3029"/>
          <cell r="C3029"/>
          <cell r="D3029"/>
        </row>
        <row r="3030">
          <cell r="A3030"/>
          <cell r="B3030"/>
          <cell r="C3030"/>
          <cell r="D3030"/>
        </row>
        <row r="3031">
          <cell r="A3031"/>
          <cell r="B3031"/>
          <cell r="C3031"/>
          <cell r="D3031"/>
        </row>
        <row r="3032">
          <cell r="A3032"/>
          <cell r="B3032"/>
          <cell r="C3032"/>
          <cell r="D3032"/>
        </row>
        <row r="3033">
          <cell r="A3033"/>
          <cell r="B3033"/>
          <cell r="C3033"/>
          <cell r="D3033"/>
        </row>
        <row r="3034">
          <cell r="A3034"/>
          <cell r="B3034"/>
          <cell r="C3034"/>
          <cell r="D3034"/>
        </row>
        <row r="3035">
          <cell r="A3035"/>
          <cell r="B3035"/>
          <cell r="C3035"/>
          <cell r="D3035"/>
        </row>
        <row r="3036">
          <cell r="A3036"/>
          <cell r="B3036"/>
          <cell r="C3036"/>
          <cell r="D3036"/>
        </row>
        <row r="3037">
          <cell r="A3037"/>
          <cell r="B3037"/>
          <cell r="C3037"/>
          <cell r="D3037"/>
        </row>
        <row r="3038">
          <cell r="A3038"/>
          <cell r="B3038"/>
          <cell r="C3038"/>
          <cell r="D3038"/>
        </row>
        <row r="3039">
          <cell r="A3039"/>
          <cell r="B3039"/>
          <cell r="C3039"/>
          <cell r="D3039"/>
        </row>
        <row r="3040">
          <cell r="A3040"/>
          <cell r="B3040"/>
          <cell r="C3040"/>
          <cell r="D3040"/>
        </row>
        <row r="3041">
          <cell r="A3041"/>
          <cell r="B3041"/>
          <cell r="C3041"/>
          <cell r="D3041"/>
        </row>
        <row r="3042">
          <cell r="A3042"/>
          <cell r="B3042"/>
          <cell r="C3042"/>
          <cell r="D3042"/>
        </row>
        <row r="3043">
          <cell r="A3043"/>
          <cell r="B3043"/>
          <cell r="C3043"/>
          <cell r="D3043"/>
        </row>
        <row r="3044">
          <cell r="A3044"/>
          <cell r="B3044"/>
          <cell r="C3044"/>
          <cell r="D3044"/>
        </row>
        <row r="3045">
          <cell r="A3045"/>
          <cell r="B3045"/>
          <cell r="C3045"/>
          <cell r="D3045"/>
        </row>
        <row r="3046">
          <cell r="A3046"/>
          <cell r="B3046"/>
          <cell r="C3046"/>
          <cell r="D3046"/>
        </row>
        <row r="3047">
          <cell r="A3047"/>
          <cell r="B3047"/>
          <cell r="C3047"/>
          <cell r="D3047"/>
        </row>
        <row r="3048">
          <cell r="A3048"/>
          <cell r="B3048"/>
          <cell r="C3048"/>
          <cell r="D3048"/>
        </row>
        <row r="3049">
          <cell r="A3049"/>
          <cell r="B3049"/>
          <cell r="C3049"/>
          <cell r="D3049"/>
        </row>
        <row r="3050">
          <cell r="A3050"/>
          <cell r="B3050"/>
          <cell r="C3050"/>
          <cell r="D3050"/>
        </row>
        <row r="3051">
          <cell r="A3051"/>
          <cell r="B3051"/>
          <cell r="C3051"/>
          <cell r="D3051"/>
        </row>
        <row r="3052">
          <cell r="A3052"/>
          <cell r="B3052"/>
          <cell r="C3052"/>
          <cell r="D3052"/>
        </row>
        <row r="3053">
          <cell r="A3053"/>
          <cell r="B3053"/>
          <cell r="C3053"/>
          <cell r="D3053"/>
        </row>
        <row r="3054">
          <cell r="A3054"/>
          <cell r="B3054"/>
          <cell r="C3054"/>
          <cell r="D3054"/>
        </row>
        <row r="3055">
          <cell r="A3055"/>
          <cell r="B3055"/>
          <cell r="C3055"/>
          <cell r="D3055"/>
        </row>
        <row r="3056">
          <cell r="A3056"/>
          <cell r="B3056"/>
          <cell r="C3056"/>
          <cell r="D3056"/>
        </row>
        <row r="3057">
          <cell r="A3057"/>
          <cell r="B3057"/>
          <cell r="C3057"/>
          <cell r="D3057"/>
        </row>
        <row r="3058">
          <cell r="A3058"/>
          <cell r="B3058"/>
          <cell r="C3058"/>
          <cell r="D3058"/>
        </row>
        <row r="3059">
          <cell r="A3059"/>
          <cell r="B3059"/>
          <cell r="C3059"/>
          <cell r="D3059"/>
        </row>
        <row r="3060">
          <cell r="A3060"/>
          <cell r="B3060"/>
          <cell r="C3060"/>
          <cell r="D3060"/>
        </row>
        <row r="3061">
          <cell r="A3061"/>
          <cell r="B3061"/>
          <cell r="C3061"/>
          <cell r="D3061"/>
        </row>
        <row r="3062">
          <cell r="A3062"/>
          <cell r="B3062"/>
          <cell r="C3062"/>
          <cell r="D3062"/>
        </row>
        <row r="3063">
          <cell r="A3063"/>
          <cell r="B3063"/>
          <cell r="C3063"/>
          <cell r="D3063"/>
        </row>
        <row r="3064">
          <cell r="A3064"/>
          <cell r="B3064"/>
          <cell r="C3064"/>
          <cell r="D3064"/>
        </row>
        <row r="3065">
          <cell r="A3065"/>
          <cell r="B3065"/>
          <cell r="C3065"/>
          <cell r="D3065"/>
        </row>
        <row r="3066">
          <cell r="A3066"/>
          <cell r="B3066"/>
          <cell r="C3066"/>
          <cell r="D3066"/>
        </row>
        <row r="3067">
          <cell r="A3067"/>
          <cell r="B3067"/>
          <cell r="C3067"/>
          <cell r="D3067"/>
        </row>
        <row r="3068">
          <cell r="A3068"/>
          <cell r="B3068"/>
          <cell r="C3068"/>
          <cell r="D3068"/>
        </row>
        <row r="3069">
          <cell r="A3069"/>
          <cell r="B3069"/>
          <cell r="C3069"/>
          <cell r="D3069"/>
        </row>
        <row r="3070">
          <cell r="A3070"/>
          <cell r="B3070"/>
          <cell r="C3070"/>
          <cell r="D3070"/>
        </row>
        <row r="3071">
          <cell r="A3071"/>
          <cell r="B3071"/>
          <cell r="C3071"/>
          <cell r="D3071"/>
        </row>
        <row r="3072">
          <cell r="A3072"/>
          <cell r="B3072"/>
          <cell r="C3072"/>
          <cell r="D3072"/>
        </row>
        <row r="3073">
          <cell r="A3073"/>
          <cell r="B3073"/>
          <cell r="C3073"/>
          <cell r="D3073"/>
        </row>
        <row r="3074">
          <cell r="A3074"/>
          <cell r="B3074"/>
          <cell r="C3074"/>
          <cell r="D3074"/>
        </row>
        <row r="3075">
          <cell r="A3075"/>
          <cell r="B3075"/>
          <cell r="C3075"/>
          <cell r="D3075"/>
        </row>
        <row r="3076">
          <cell r="A3076"/>
          <cell r="B3076"/>
          <cell r="C3076"/>
          <cell r="D3076"/>
        </row>
        <row r="3077">
          <cell r="A3077"/>
          <cell r="B3077"/>
          <cell r="C3077"/>
          <cell r="D3077"/>
        </row>
        <row r="3078">
          <cell r="A3078"/>
          <cell r="B3078"/>
          <cell r="C3078"/>
          <cell r="D3078"/>
        </row>
        <row r="3079">
          <cell r="A3079"/>
          <cell r="B3079"/>
          <cell r="C3079"/>
          <cell r="D3079"/>
        </row>
        <row r="3080">
          <cell r="A3080"/>
          <cell r="B3080"/>
          <cell r="C3080"/>
          <cell r="D3080"/>
        </row>
        <row r="3081">
          <cell r="A3081"/>
          <cell r="B3081"/>
          <cell r="C3081"/>
          <cell r="D3081"/>
        </row>
        <row r="3082">
          <cell r="A3082"/>
          <cell r="B3082"/>
          <cell r="C3082"/>
          <cell r="D3082"/>
        </row>
        <row r="3083">
          <cell r="A3083"/>
          <cell r="B3083"/>
          <cell r="C3083"/>
          <cell r="D3083"/>
        </row>
        <row r="3084">
          <cell r="A3084"/>
          <cell r="B3084"/>
          <cell r="C3084"/>
          <cell r="D3084"/>
        </row>
        <row r="3085">
          <cell r="A3085"/>
          <cell r="B3085"/>
          <cell r="C3085"/>
          <cell r="D3085"/>
        </row>
        <row r="3086">
          <cell r="A3086"/>
          <cell r="B3086"/>
          <cell r="C3086"/>
          <cell r="D3086"/>
        </row>
        <row r="3087">
          <cell r="A3087"/>
          <cell r="B3087"/>
          <cell r="C3087"/>
          <cell r="D3087"/>
        </row>
        <row r="3088">
          <cell r="A3088"/>
          <cell r="B3088"/>
          <cell r="C3088"/>
          <cell r="D3088"/>
        </row>
        <row r="3089">
          <cell r="A3089"/>
          <cell r="B3089"/>
          <cell r="C3089"/>
          <cell r="D3089"/>
        </row>
        <row r="3090">
          <cell r="A3090"/>
          <cell r="B3090"/>
          <cell r="C3090"/>
          <cell r="D3090"/>
        </row>
        <row r="3091">
          <cell r="A3091"/>
          <cell r="B3091"/>
          <cell r="C3091"/>
          <cell r="D3091"/>
        </row>
        <row r="3092">
          <cell r="A3092"/>
          <cell r="B3092"/>
          <cell r="C3092"/>
          <cell r="D3092"/>
        </row>
        <row r="3093">
          <cell r="A3093"/>
          <cell r="B3093"/>
          <cell r="C3093"/>
          <cell r="D3093"/>
        </row>
        <row r="3094">
          <cell r="A3094"/>
          <cell r="B3094"/>
          <cell r="C3094"/>
          <cell r="D3094"/>
        </row>
        <row r="3095">
          <cell r="A3095"/>
          <cell r="B3095"/>
          <cell r="C3095"/>
          <cell r="D3095"/>
        </row>
        <row r="3096">
          <cell r="A3096"/>
          <cell r="B3096"/>
          <cell r="C3096"/>
          <cell r="D3096"/>
        </row>
        <row r="3097">
          <cell r="A3097"/>
          <cell r="B3097"/>
          <cell r="C3097"/>
          <cell r="D3097"/>
        </row>
        <row r="3098">
          <cell r="A3098"/>
          <cell r="B3098"/>
          <cell r="C3098"/>
          <cell r="D3098"/>
        </row>
        <row r="3099">
          <cell r="A3099"/>
          <cell r="B3099"/>
          <cell r="C3099"/>
          <cell r="D3099"/>
        </row>
        <row r="3100">
          <cell r="A3100"/>
          <cell r="B3100"/>
          <cell r="C3100"/>
          <cell r="D3100"/>
        </row>
        <row r="3101">
          <cell r="A3101"/>
          <cell r="B3101"/>
          <cell r="C3101"/>
          <cell r="D3101"/>
        </row>
        <row r="3102">
          <cell r="A3102"/>
          <cell r="B3102"/>
          <cell r="C3102"/>
          <cell r="D3102"/>
        </row>
        <row r="3103">
          <cell r="A3103"/>
          <cell r="B3103"/>
          <cell r="C3103"/>
          <cell r="D3103"/>
        </row>
        <row r="3104">
          <cell r="A3104"/>
          <cell r="B3104"/>
          <cell r="C3104"/>
          <cell r="D3104"/>
        </row>
        <row r="3105">
          <cell r="A3105"/>
          <cell r="B3105"/>
          <cell r="C3105"/>
          <cell r="D3105"/>
        </row>
        <row r="3106">
          <cell r="A3106"/>
          <cell r="B3106"/>
          <cell r="C3106"/>
          <cell r="D3106"/>
        </row>
        <row r="3107">
          <cell r="A3107"/>
          <cell r="B3107"/>
          <cell r="C3107"/>
          <cell r="D3107"/>
        </row>
        <row r="3108">
          <cell r="A3108"/>
          <cell r="B3108"/>
          <cell r="C3108"/>
          <cell r="D3108"/>
        </row>
        <row r="3109">
          <cell r="A3109"/>
          <cell r="B3109"/>
          <cell r="C3109"/>
          <cell r="D3109"/>
        </row>
        <row r="3110">
          <cell r="A3110"/>
          <cell r="B3110"/>
          <cell r="C3110"/>
          <cell r="D3110"/>
        </row>
        <row r="3111">
          <cell r="A3111"/>
          <cell r="B3111"/>
          <cell r="C3111"/>
          <cell r="D3111"/>
        </row>
        <row r="3112">
          <cell r="A3112"/>
          <cell r="B3112"/>
          <cell r="C3112"/>
          <cell r="D3112"/>
        </row>
        <row r="3113">
          <cell r="A3113"/>
          <cell r="B3113"/>
          <cell r="C3113"/>
          <cell r="D3113"/>
        </row>
        <row r="3114">
          <cell r="A3114"/>
          <cell r="B3114"/>
          <cell r="C3114"/>
          <cell r="D3114"/>
        </row>
        <row r="3115">
          <cell r="A3115"/>
          <cell r="B3115"/>
          <cell r="C3115"/>
          <cell r="D3115"/>
        </row>
        <row r="3116">
          <cell r="A3116"/>
          <cell r="B3116"/>
          <cell r="C3116"/>
          <cell r="D3116"/>
        </row>
        <row r="3117">
          <cell r="A3117"/>
          <cell r="B3117"/>
          <cell r="C3117"/>
          <cell r="D3117"/>
        </row>
        <row r="3118">
          <cell r="A3118"/>
          <cell r="B3118"/>
          <cell r="C3118"/>
          <cell r="D3118"/>
        </row>
        <row r="3119">
          <cell r="A3119"/>
          <cell r="B3119"/>
          <cell r="C3119"/>
          <cell r="D3119"/>
        </row>
        <row r="3120">
          <cell r="A3120"/>
          <cell r="B3120"/>
          <cell r="C3120"/>
          <cell r="D3120"/>
        </row>
        <row r="3121">
          <cell r="A3121"/>
          <cell r="B3121"/>
          <cell r="C3121"/>
          <cell r="D3121"/>
        </row>
        <row r="3122">
          <cell r="A3122"/>
          <cell r="B3122"/>
          <cell r="C3122"/>
          <cell r="D3122"/>
        </row>
        <row r="3123">
          <cell r="A3123"/>
          <cell r="B3123"/>
          <cell r="C3123"/>
          <cell r="D3123"/>
        </row>
        <row r="3124">
          <cell r="A3124"/>
          <cell r="B3124"/>
          <cell r="C3124"/>
          <cell r="D3124"/>
        </row>
        <row r="3125">
          <cell r="A3125"/>
          <cell r="B3125"/>
          <cell r="C3125"/>
          <cell r="D3125"/>
        </row>
        <row r="3126">
          <cell r="A3126"/>
          <cell r="B3126"/>
          <cell r="C3126"/>
          <cell r="D3126"/>
        </row>
        <row r="3127">
          <cell r="A3127"/>
          <cell r="B3127"/>
          <cell r="C3127"/>
          <cell r="D3127"/>
        </row>
        <row r="3128">
          <cell r="A3128"/>
          <cell r="B3128"/>
          <cell r="C3128"/>
          <cell r="D3128"/>
        </row>
        <row r="3129">
          <cell r="A3129"/>
          <cell r="B3129"/>
          <cell r="C3129"/>
          <cell r="D3129"/>
        </row>
        <row r="3130">
          <cell r="A3130"/>
          <cell r="B3130"/>
          <cell r="C3130"/>
          <cell r="D3130"/>
        </row>
        <row r="3131">
          <cell r="A3131"/>
          <cell r="B3131"/>
          <cell r="C3131"/>
          <cell r="D3131"/>
        </row>
        <row r="3132">
          <cell r="A3132"/>
          <cell r="B3132"/>
          <cell r="C3132"/>
          <cell r="D3132"/>
        </row>
        <row r="3133">
          <cell r="A3133"/>
          <cell r="B3133"/>
          <cell r="C3133"/>
          <cell r="D3133"/>
        </row>
        <row r="3134">
          <cell r="A3134"/>
          <cell r="B3134"/>
          <cell r="C3134"/>
          <cell r="D3134"/>
        </row>
        <row r="3135">
          <cell r="A3135"/>
          <cell r="B3135"/>
          <cell r="C3135"/>
          <cell r="D3135"/>
        </row>
        <row r="3136">
          <cell r="A3136"/>
          <cell r="B3136"/>
          <cell r="C3136"/>
          <cell r="D3136"/>
        </row>
        <row r="3137">
          <cell r="A3137"/>
          <cell r="B3137"/>
          <cell r="C3137"/>
          <cell r="D3137"/>
        </row>
        <row r="3138">
          <cell r="A3138"/>
          <cell r="B3138"/>
          <cell r="C3138"/>
          <cell r="D3138"/>
        </row>
        <row r="3139">
          <cell r="A3139"/>
          <cell r="B3139"/>
          <cell r="C3139"/>
          <cell r="D3139"/>
        </row>
        <row r="3140">
          <cell r="A3140"/>
          <cell r="B3140"/>
          <cell r="C3140"/>
          <cell r="D3140"/>
        </row>
        <row r="3141">
          <cell r="A3141"/>
          <cell r="B3141"/>
          <cell r="C3141"/>
          <cell r="D3141"/>
        </row>
        <row r="3142">
          <cell r="A3142"/>
          <cell r="B3142"/>
          <cell r="C3142"/>
          <cell r="D3142"/>
        </row>
        <row r="3143">
          <cell r="A3143"/>
          <cell r="B3143"/>
          <cell r="C3143"/>
          <cell r="D3143"/>
        </row>
        <row r="3144">
          <cell r="A3144"/>
          <cell r="B3144"/>
          <cell r="C3144"/>
          <cell r="D3144"/>
        </row>
        <row r="3145">
          <cell r="A3145"/>
          <cell r="B3145"/>
          <cell r="C3145"/>
          <cell r="D3145"/>
        </row>
        <row r="3146">
          <cell r="A3146"/>
          <cell r="B3146"/>
          <cell r="C3146"/>
          <cell r="D3146"/>
        </row>
        <row r="3147">
          <cell r="A3147"/>
          <cell r="B3147"/>
          <cell r="C3147"/>
          <cell r="D3147"/>
        </row>
        <row r="3148">
          <cell r="A3148"/>
          <cell r="B3148"/>
          <cell r="C3148"/>
          <cell r="D3148"/>
        </row>
        <row r="3149">
          <cell r="A3149"/>
          <cell r="B3149"/>
          <cell r="C3149"/>
          <cell r="D3149"/>
        </row>
        <row r="3150">
          <cell r="A3150"/>
          <cell r="B3150"/>
          <cell r="C3150"/>
          <cell r="D3150"/>
        </row>
        <row r="3151">
          <cell r="A3151"/>
          <cell r="B3151"/>
          <cell r="C3151"/>
          <cell r="D3151"/>
        </row>
        <row r="3152">
          <cell r="A3152"/>
          <cell r="B3152"/>
          <cell r="C3152"/>
          <cell r="D3152"/>
        </row>
        <row r="3153">
          <cell r="A3153"/>
          <cell r="B3153"/>
          <cell r="C3153"/>
          <cell r="D3153"/>
        </row>
        <row r="3154">
          <cell r="A3154"/>
          <cell r="B3154"/>
          <cell r="C3154"/>
          <cell r="D3154"/>
        </row>
        <row r="3155">
          <cell r="A3155"/>
          <cell r="B3155"/>
          <cell r="C3155"/>
          <cell r="D3155"/>
        </row>
        <row r="3156">
          <cell r="A3156"/>
          <cell r="B3156"/>
          <cell r="C3156"/>
          <cell r="D3156"/>
        </row>
        <row r="3157">
          <cell r="A3157"/>
          <cell r="B3157"/>
          <cell r="C3157"/>
          <cell r="D3157"/>
        </row>
        <row r="3158">
          <cell r="A3158"/>
          <cell r="B3158"/>
          <cell r="C3158"/>
          <cell r="D3158"/>
        </row>
        <row r="3159">
          <cell r="A3159"/>
          <cell r="B3159"/>
          <cell r="C3159"/>
          <cell r="D3159"/>
        </row>
        <row r="3160">
          <cell r="A3160"/>
          <cell r="B3160"/>
          <cell r="C3160"/>
          <cell r="D3160"/>
        </row>
        <row r="3161">
          <cell r="A3161"/>
          <cell r="B3161"/>
          <cell r="C3161"/>
          <cell r="D3161"/>
        </row>
        <row r="3162">
          <cell r="A3162"/>
          <cell r="B3162"/>
          <cell r="C3162"/>
          <cell r="D3162"/>
        </row>
        <row r="3163">
          <cell r="A3163"/>
          <cell r="B3163"/>
          <cell r="C3163"/>
          <cell r="D3163"/>
        </row>
        <row r="3164">
          <cell r="A3164"/>
          <cell r="B3164"/>
          <cell r="C3164"/>
          <cell r="D3164"/>
        </row>
        <row r="3165">
          <cell r="A3165"/>
          <cell r="B3165"/>
          <cell r="C3165"/>
          <cell r="D3165"/>
        </row>
        <row r="3166">
          <cell r="A3166"/>
          <cell r="B3166"/>
          <cell r="C3166"/>
          <cell r="D3166"/>
        </row>
        <row r="3167">
          <cell r="A3167"/>
          <cell r="B3167"/>
          <cell r="C3167"/>
          <cell r="D3167"/>
        </row>
        <row r="3168">
          <cell r="A3168"/>
          <cell r="B3168"/>
          <cell r="C3168"/>
          <cell r="D3168"/>
        </row>
        <row r="3169">
          <cell r="A3169"/>
          <cell r="B3169"/>
          <cell r="C3169"/>
          <cell r="D3169"/>
        </row>
        <row r="3170">
          <cell r="A3170"/>
          <cell r="B3170"/>
          <cell r="C3170"/>
          <cell r="D3170"/>
        </row>
        <row r="3171">
          <cell r="A3171"/>
          <cell r="B3171"/>
          <cell r="C3171"/>
          <cell r="D3171"/>
        </row>
        <row r="3172">
          <cell r="A3172"/>
          <cell r="B3172"/>
          <cell r="C3172"/>
          <cell r="D3172"/>
        </row>
        <row r="3173">
          <cell r="A3173"/>
          <cell r="B3173"/>
          <cell r="C3173"/>
          <cell r="D3173"/>
        </row>
        <row r="3174">
          <cell r="A3174"/>
          <cell r="B3174"/>
          <cell r="C3174"/>
          <cell r="D3174"/>
        </row>
        <row r="3175">
          <cell r="A3175"/>
          <cell r="B3175"/>
          <cell r="C3175"/>
          <cell r="D3175"/>
        </row>
        <row r="3176">
          <cell r="A3176"/>
          <cell r="B3176"/>
          <cell r="C3176"/>
          <cell r="D3176"/>
        </row>
        <row r="3177">
          <cell r="A3177"/>
          <cell r="B3177"/>
          <cell r="C3177"/>
          <cell r="D3177"/>
        </row>
        <row r="3178">
          <cell r="A3178"/>
          <cell r="B3178"/>
          <cell r="C3178"/>
          <cell r="D3178"/>
        </row>
        <row r="3179">
          <cell r="A3179"/>
          <cell r="B3179"/>
          <cell r="C3179"/>
          <cell r="D3179"/>
        </row>
        <row r="3180">
          <cell r="A3180"/>
          <cell r="B3180"/>
          <cell r="C3180"/>
          <cell r="D3180"/>
        </row>
        <row r="3181">
          <cell r="A3181"/>
          <cell r="B3181"/>
          <cell r="C3181"/>
          <cell r="D3181"/>
        </row>
        <row r="3182">
          <cell r="A3182"/>
          <cell r="B3182"/>
          <cell r="C3182"/>
          <cell r="D3182"/>
        </row>
        <row r="3183">
          <cell r="A3183"/>
          <cell r="B3183"/>
          <cell r="C3183"/>
          <cell r="D3183"/>
        </row>
        <row r="3184">
          <cell r="A3184"/>
          <cell r="B3184"/>
          <cell r="C3184"/>
          <cell r="D3184"/>
        </row>
        <row r="3185">
          <cell r="A3185"/>
          <cell r="B3185"/>
          <cell r="C3185"/>
          <cell r="D3185"/>
        </row>
        <row r="3186">
          <cell r="A3186"/>
          <cell r="B3186"/>
          <cell r="C3186"/>
          <cell r="D3186"/>
        </row>
        <row r="3187">
          <cell r="A3187"/>
          <cell r="B3187"/>
          <cell r="C3187"/>
          <cell r="D3187"/>
        </row>
        <row r="3188">
          <cell r="A3188"/>
          <cell r="B3188"/>
          <cell r="C3188"/>
          <cell r="D3188"/>
        </row>
        <row r="3189">
          <cell r="A3189"/>
          <cell r="B3189"/>
          <cell r="C3189"/>
          <cell r="D3189"/>
        </row>
        <row r="3190">
          <cell r="A3190"/>
          <cell r="B3190"/>
          <cell r="C3190"/>
          <cell r="D3190"/>
        </row>
        <row r="3191">
          <cell r="A3191"/>
          <cell r="B3191"/>
          <cell r="C3191"/>
          <cell r="D3191"/>
        </row>
        <row r="3192">
          <cell r="A3192"/>
          <cell r="B3192"/>
          <cell r="C3192"/>
          <cell r="D3192"/>
        </row>
        <row r="3193">
          <cell r="A3193"/>
          <cell r="B3193"/>
          <cell r="C3193"/>
          <cell r="D3193"/>
        </row>
        <row r="3194">
          <cell r="A3194"/>
          <cell r="B3194"/>
          <cell r="C3194"/>
          <cell r="D3194"/>
        </row>
        <row r="3195">
          <cell r="A3195"/>
          <cell r="B3195"/>
          <cell r="C3195"/>
          <cell r="D3195"/>
        </row>
        <row r="3196">
          <cell r="A3196"/>
          <cell r="B3196"/>
          <cell r="C3196"/>
          <cell r="D3196"/>
        </row>
        <row r="3197">
          <cell r="A3197"/>
          <cell r="B3197"/>
          <cell r="C3197"/>
          <cell r="D3197"/>
        </row>
        <row r="3198">
          <cell r="A3198"/>
          <cell r="B3198"/>
          <cell r="C3198"/>
          <cell r="D3198"/>
        </row>
        <row r="3199">
          <cell r="A3199"/>
          <cell r="B3199"/>
          <cell r="C3199"/>
          <cell r="D3199"/>
        </row>
        <row r="3200">
          <cell r="A3200"/>
          <cell r="B3200"/>
          <cell r="C3200"/>
          <cell r="D3200"/>
        </row>
        <row r="3201">
          <cell r="A3201"/>
          <cell r="B3201"/>
          <cell r="C3201"/>
          <cell r="D3201"/>
        </row>
        <row r="3202">
          <cell r="A3202"/>
          <cell r="B3202"/>
          <cell r="C3202"/>
          <cell r="D3202"/>
        </row>
        <row r="3203">
          <cell r="A3203"/>
          <cell r="B3203"/>
          <cell r="C3203"/>
          <cell r="D3203"/>
        </row>
        <row r="3204">
          <cell r="A3204"/>
          <cell r="B3204"/>
          <cell r="C3204"/>
          <cell r="D3204"/>
        </row>
        <row r="3205">
          <cell r="A3205"/>
          <cell r="B3205"/>
          <cell r="C3205"/>
          <cell r="D3205"/>
        </row>
        <row r="3206">
          <cell r="A3206"/>
          <cell r="B3206"/>
          <cell r="C3206"/>
          <cell r="D3206"/>
        </row>
        <row r="3207">
          <cell r="A3207"/>
          <cell r="B3207"/>
          <cell r="C3207"/>
          <cell r="D3207"/>
        </row>
        <row r="3208">
          <cell r="A3208"/>
          <cell r="B3208"/>
          <cell r="C3208"/>
          <cell r="D3208"/>
        </row>
        <row r="3209">
          <cell r="A3209"/>
          <cell r="B3209"/>
          <cell r="C3209"/>
          <cell r="D3209"/>
        </row>
        <row r="3210">
          <cell r="A3210"/>
          <cell r="B3210"/>
          <cell r="C3210"/>
          <cell r="D3210"/>
        </row>
        <row r="3211">
          <cell r="A3211"/>
          <cell r="B3211"/>
          <cell r="C3211"/>
          <cell r="D3211"/>
        </row>
        <row r="3212">
          <cell r="A3212"/>
          <cell r="B3212"/>
          <cell r="C3212"/>
          <cell r="D3212"/>
        </row>
        <row r="3213">
          <cell r="A3213"/>
          <cell r="B3213"/>
          <cell r="C3213"/>
          <cell r="D3213"/>
        </row>
        <row r="3214">
          <cell r="A3214"/>
          <cell r="B3214"/>
          <cell r="C3214"/>
          <cell r="D3214"/>
        </row>
        <row r="3215">
          <cell r="A3215"/>
          <cell r="B3215"/>
          <cell r="C3215"/>
          <cell r="D3215"/>
        </row>
        <row r="3216">
          <cell r="A3216"/>
          <cell r="B3216"/>
          <cell r="C3216"/>
          <cell r="D3216"/>
        </row>
        <row r="3217">
          <cell r="A3217"/>
          <cell r="B3217"/>
          <cell r="C3217"/>
          <cell r="D3217"/>
        </row>
        <row r="3218">
          <cell r="A3218"/>
          <cell r="B3218"/>
          <cell r="C3218"/>
          <cell r="D3218"/>
        </row>
        <row r="3219">
          <cell r="A3219"/>
          <cell r="B3219"/>
          <cell r="C3219"/>
          <cell r="D3219"/>
        </row>
        <row r="3220">
          <cell r="A3220"/>
          <cell r="B3220"/>
          <cell r="C3220"/>
          <cell r="D3220"/>
        </row>
        <row r="3221">
          <cell r="A3221"/>
          <cell r="B3221"/>
          <cell r="C3221"/>
          <cell r="D3221"/>
        </row>
        <row r="3222">
          <cell r="A3222"/>
          <cell r="B3222"/>
          <cell r="C3222"/>
          <cell r="D3222"/>
        </row>
        <row r="3223">
          <cell r="A3223"/>
          <cell r="B3223"/>
          <cell r="C3223"/>
          <cell r="D3223"/>
        </row>
        <row r="3224">
          <cell r="A3224"/>
          <cell r="B3224"/>
          <cell r="C3224"/>
          <cell r="D3224"/>
        </row>
        <row r="3225">
          <cell r="A3225"/>
          <cell r="B3225"/>
          <cell r="C3225"/>
          <cell r="D3225"/>
        </row>
        <row r="3226">
          <cell r="A3226"/>
          <cell r="B3226"/>
          <cell r="C3226"/>
          <cell r="D3226"/>
        </row>
        <row r="3227">
          <cell r="A3227"/>
          <cell r="B3227"/>
          <cell r="C3227"/>
          <cell r="D3227"/>
        </row>
        <row r="3228">
          <cell r="A3228"/>
          <cell r="B3228"/>
          <cell r="C3228"/>
          <cell r="D3228"/>
        </row>
        <row r="3229">
          <cell r="A3229"/>
          <cell r="B3229"/>
          <cell r="C3229"/>
          <cell r="D3229"/>
        </row>
        <row r="3230">
          <cell r="A3230"/>
          <cell r="B3230"/>
          <cell r="C3230"/>
          <cell r="D3230"/>
        </row>
        <row r="3231">
          <cell r="A3231"/>
          <cell r="B3231"/>
          <cell r="C3231"/>
          <cell r="D3231"/>
        </row>
        <row r="3232">
          <cell r="A3232"/>
          <cell r="B3232"/>
          <cell r="C3232"/>
          <cell r="D3232"/>
        </row>
        <row r="3233">
          <cell r="A3233"/>
          <cell r="B3233"/>
          <cell r="C3233"/>
          <cell r="D3233"/>
        </row>
        <row r="3234">
          <cell r="A3234"/>
          <cell r="B3234"/>
          <cell r="C3234"/>
          <cell r="D3234"/>
        </row>
        <row r="3235">
          <cell r="A3235"/>
          <cell r="B3235"/>
          <cell r="C3235"/>
          <cell r="D3235"/>
        </row>
        <row r="3236">
          <cell r="A3236"/>
          <cell r="B3236"/>
          <cell r="C3236"/>
          <cell r="D3236"/>
        </row>
        <row r="3237">
          <cell r="A3237"/>
          <cell r="B3237"/>
          <cell r="C3237"/>
          <cell r="D3237"/>
        </row>
        <row r="3238">
          <cell r="A3238"/>
          <cell r="B3238"/>
          <cell r="C3238"/>
          <cell r="D3238"/>
        </row>
        <row r="3239">
          <cell r="A3239"/>
          <cell r="B3239"/>
          <cell r="C3239"/>
          <cell r="D3239"/>
        </row>
        <row r="3240">
          <cell r="A3240"/>
          <cell r="B3240"/>
          <cell r="C3240"/>
          <cell r="D3240"/>
        </row>
        <row r="3241">
          <cell r="A3241"/>
          <cell r="B3241"/>
          <cell r="C3241"/>
          <cell r="D3241"/>
        </row>
        <row r="3242">
          <cell r="A3242"/>
          <cell r="B3242"/>
          <cell r="C3242"/>
          <cell r="D3242"/>
        </row>
        <row r="3243">
          <cell r="A3243"/>
          <cell r="B3243"/>
          <cell r="C3243"/>
          <cell r="D3243"/>
        </row>
        <row r="3244">
          <cell r="A3244"/>
          <cell r="B3244"/>
          <cell r="C3244"/>
          <cell r="D3244"/>
        </row>
        <row r="3245">
          <cell r="A3245"/>
          <cell r="B3245"/>
          <cell r="C3245"/>
          <cell r="D3245"/>
        </row>
        <row r="3246">
          <cell r="A3246"/>
          <cell r="B3246"/>
          <cell r="C3246"/>
          <cell r="D3246"/>
        </row>
        <row r="3247">
          <cell r="A3247"/>
          <cell r="B3247"/>
          <cell r="C3247"/>
          <cell r="D3247"/>
        </row>
        <row r="3248">
          <cell r="A3248"/>
          <cell r="B3248"/>
          <cell r="C3248"/>
          <cell r="D3248"/>
        </row>
        <row r="3249">
          <cell r="A3249"/>
          <cell r="B3249"/>
          <cell r="C3249"/>
          <cell r="D3249"/>
        </row>
        <row r="3250">
          <cell r="A3250"/>
          <cell r="B3250"/>
          <cell r="C3250"/>
          <cell r="D3250"/>
        </row>
        <row r="3251">
          <cell r="A3251"/>
          <cell r="B3251"/>
          <cell r="C3251"/>
          <cell r="D3251"/>
        </row>
        <row r="3252">
          <cell r="A3252"/>
          <cell r="B3252"/>
          <cell r="C3252"/>
          <cell r="D3252"/>
        </row>
        <row r="3253">
          <cell r="A3253"/>
          <cell r="B3253"/>
          <cell r="C3253"/>
          <cell r="D3253"/>
        </row>
        <row r="3254">
          <cell r="A3254"/>
          <cell r="B3254"/>
          <cell r="C3254"/>
          <cell r="D3254"/>
        </row>
        <row r="3255">
          <cell r="A3255"/>
          <cell r="B3255"/>
          <cell r="C3255"/>
          <cell r="D3255"/>
        </row>
        <row r="3256">
          <cell r="A3256"/>
          <cell r="B3256"/>
          <cell r="C3256"/>
          <cell r="D3256"/>
        </row>
        <row r="3257">
          <cell r="A3257"/>
          <cell r="B3257"/>
          <cell r="C3257"/>
          <cell r="D3257"/>
        </row>
        <row r="3258">
          <cell r="A3258"/>
          <cell r="B3258"/>
          <cell r="C3258"/>
          <cell r="D3258"/>
        </row>
        <row r="3259">
          <cell r="A3259"/>
          <cell r="B3259"/>
          <cell r="C3259"/>
          <cell r="D3259"/>
        </row>
        <row r="3260">
          <cell r="A3260"/>
          <cell r="B3260"/>
          <cell r="C3260"/>
          <cell r="D3260"/>
        </row>
        <row r="3261">
          <cell r="A3261"/>
          <cell r="B3261"/>
          <cell r="C3261"/>
          <cell r="D3261"/>
        </row>
        <row r="3262">
          <cell r="A3262"/>
          <cell r="B3262"/>
          <cell r="C3262"/>
          <cell r="D3262"/>
        </row>
        <row r="3263">
          <cell r="A3263"/>
          <cell r="B3263"/>
          <cell r="C3263"/>
          <cell r="D3263"/>
        </row>
        <row r="3264">
          <cell r="A3264"/>
          <cell r="B3264"/>
          <cell r="C3264"/>
          <cell r="D3264"/>
        </row>
        <row r="3265">
          <cell r="A3265"/>
          <cell r="B3265"/>
          <cell r="C3265"/>
          <cell r="D3265"/>
        </row>
        <row r="3266">
          <cell r="A3266"/>
          <cell r="B3266"/>
          <cell r="C3266"/>
          <cell r="D3266"/>
        </row>
        <row r="3267">
          <cell r="A3267"/>
          <cell r="B3267"/>
          <cell r="C3267"/>
          <cell r="D3267"/>
        </row>
        <row r="3268">
          <cell r="A3268"/>
          <cell r="B3268"/>
          <cell r="C3268"/>
          <cell r="D3268"/>
        </row>
        <row r="3269">
          <cell r="A3269"/>
          <cell r="B3269"/>
          <cell r="C3269"/>
          <cell r="D3269"/>
        </row>
        <row r="3270">
          <cell r="A3270"/>
          <cell r="B3270"/>
          <cell r="C3270"/>
          <cell r="D3270"/>
        </row>
        <row r="3271">
          <cell r="A3271"/>
          <cell r="B3271"/>
          <cell r="C3271"/>
          <cell r="D3271"/>
        </row>
        <row r="3272">
          <cell r="A3272"/>
          <cell r="B3272"/>
          <cell r="C3272"/>
          <cell r="D3272"/>
        </row>
        <row r="3273">
          <cell r="A3273"/>
          <cell r="B3273"/>
          <cell r="C3273"/>
          <cell r="D3273"/>
        </row>
        <row r="3274">
          <cell r="A3274"/>
          <cell r="B3274"/>
          <cell r="C3274"/>
          <cell r="D3274"/>
        </row>
        <row r="3275">
          <cell r="A3275"/>
          <cell r="B3275"/>
          <cell r="C3275"/>
          <cell r="D3275"/>
        </row>
        <row r="3276">
          <cell r="A3276"/>
          <cell r="B3276"/>
          <cell r="C3276"/>
          <cell r="D3276"/>
        </row>
        <row r="3277">
          <cell r="A3277"/>
          <cell r="B3277"/>
          <cell r="C3277"/>
          <cell r="D3277"/>
        </row>
        <row r="3278">
          <cell r="A3278"/>
          <cell r="B3278"/>
          <cell r="C3278"/>
          <cell r="D3278"/>
        </row>
        <row r="3279">
          <cell r="A3279"/>
          <cell r="B3279"/>
          <cell r="C3279"/>
          <cell r="D3279"/>
        </row>
        <row r="3280">
          <cell r="A3280"/>
          <cell r="B3280"/>
          <cell r="C3280"/>
          <cell r="D3280"/>
        </row>
        <row r="3281">
          <cell r="A3281"/>
          <cell r="B3281"/>
          <cell r="C3281"/>
          <cell r="D3281"/>
        </row>
        <row r="3282">
          <cell r="A3282"/>
          <cell r="B3282"/>
          <cell r="C3282"/>
          <cell r="D3282"/>
        </row>
        <row r="3283">
          <cell r="A3283"/>
          <cell r="B3283"/>
          <cell r="C3283"/>
          <cell r="D3283"/>
        </row>
        <row r="3284">
          <cell r="A3284"/>
          <cell r="B3284"/>
          <cell r="C3284"/>
          <cell r="D3284"/>
        </row>
        <row r="3285">
          <cell r="A3285"/>
          <cell r="B3285"/>
          <cell r="C3285"/>
          <cell r="D3285"/>
        </row>
        <row r="3286">
          <cell r="A3286"/>
          <cell r="B3286"/>
          <cell r="C3286"/>
          <cell r="D3286"/>
        </row>
        <row r="3287">
          <cell r="A3287"/>
          <cell r="B3287"/>
          <cell r="C3287"/>
          <cell r="D3287"/>
        </row>
        <row r="3288">
          <cell r="A3288"/>
          <cell r="B3288"/>
          <cell r="C3288"/>
          <cell r="D3288"/>
        </row>
        <row r="3289">
          <cell r="A3289"/>
          <cell r="B3289"/>
          <cell r="C3289"/>
          <cell r="D3289"/>
        </row>
        <row r="3290">
          <cell r="A3290"/>
          <cell r="B3290"/>
          <cell r="C3290"/>
          <cell r="D3290"/>
        </row>
        <row r="3291">
          <cell r="A3291"/>
          <cell r="B3291"/>
          <cell r="C3291"/>
          <cell r="D3291"/>
        </row>
        <row r="3292">
          <cell r="A3292"/>
          <cell r="B3292"/>
          <cell r="C3292"/>
          <cell r="D3292"/>
        </row>
        <row r="3293">
          <cell r="A3293"/>
          <cell r="B3293"/>
          <cell r="C3293"/>
          <cell r="D3293"/>
        </row>
        <row r="3294">
          <cell r="A3294"/>
          <cell r="B3294"/>
          <cell r="C3294"/>
          <cell r="D3294"/>
        </row>
        <row r="3295">
          <cell r="A3295"/>
          <cell r="B3295"/>
          <cell r="C3295"/>
          <cell r="D3295"/>
        </row>
        <row r="3296">
          <cell r="A3296"/>
          <cell r="B3296"/>
          <cell r="C3296"/>
          <cell r="D3296"/>
        </row>
        <row r="3297">
          <cell r="A3297"/>
          <cell r="B3297"/>
          <cell r="C3297"/>
          <cell r="D3297"/>
        </row>
        <row r="3298">
          <cell r="A3298"/>
          <cell r="B3298"/>
          <cell r="C3298"/>
          <cell r="D3298"/>
        </row>
        <row r="3299">
          <cell r="A3299"/>
          <cell r="B3299"/>
          <cell r="C3299"/>
          <cell r="D3299"/>
        </row>
        <row r="3300">
          <cell r="A3300"/>
          <cell r="B3300"/>
          <cell r="C3300"/>
          <cell r="D3300"/>
        </row>
        <row r="3301">
          <cell r="A3301"/>
          <cell r="B3301"/>
          <cell r="C3301"/>
          <cell r="D3301"/>
        </row>
        <row r="3302">
          <cell r="A3302"/>
          <cell r="B3302"/>
          <cell r="C3302"/>
          <cell r="D3302"/>
        </row>
        <row r="3303">
          <cell r="A3303"/>
          <cell r="B3303"/>
          <cell r="C3303"/>
          <cell r="D3303"/>
        </row>
        <row r="3304">
          <cell r="A3304"/>
          <cell r="B3304"/>
          <cell r="C3304"/>
          <cell r="D3304"/>
        </row>
        <row r="3305">
          <cell r="A3305"/>
          <cell r="B3305"/>
          <cell r="C3305"/>
          <cell r="D3305"/>
        </row>
        <row r="3306">
          <cell r="A3306"/>
          <cell r="B3306"/>
          <cell r="C3306"/>
          <cell r="D3306"/>
        </row>
        <row r="3307">
          <cell r="A3307"/>
          <cell r="B3307"/>
          <cell r="C3307"/>
          <cell r="D3307"/>
        </row>
        <row r="3308">
          <cell r="A3308"/>
          <cell r="B3308"/>
          <cell r="C3308"/>
          <cell r="D3308"/>
        </row>
        <row r="3309">
          <cell r="A3309"/>
          <cell r="B3309"/>
          <cell r="C3309"/>
          <cell r="D3309"/>
        </row>
        <row r="3310">
          <cell r="A3310"/>
          <cell r="B3310"/>
          <cell r="C3310"/>
          <cell r="D3310"/>
        </row>
        <row r="3311">
          <cell r="A3311"/>
          <cell r="B3311"/>
          <cell r="C3311"/>
          <cell r="D3311"/>
        </row>
        <row r="3312">
          <cell r="A3312"/>
          <cell r="B3312"/>
          <cell r="C3312"/>
          <cell r="D3312"/>
        </row>
        <row r="3313">
          <cell r="A3313"/>
          <cell r="B3313"/>
          <cell r="C3313"/>
          <cell r="D3313"/>
        </row>
        <row r="3314">
          <cell r="A3314"/>
          <cell r="B3314"/>
          <cell r="C3314"/>
          <cell r="D3314"/>
        </row>
        <row r="3315">
          <cell r="A3315"/>
          <cell r="B3315"/>
          <cell r="C3315"/>
          <cell r="D3315"/>
        </row>
        <row r="3316">
          <cell r="A3316"/>
          <cell r="B3316"/>
          <cell r="C3316"/>
          <cell r="D3316"/>
        </row>
        <row r="3317">
          <cell r="A3317"/>
          <cell r="B3317"/>
          <cell r="C3317"/>
          <cell r="D3317"/>
        </row>
        <row r="3318">
          <cell r="A3318"/>
          <cell r="B3318"/>
          <cell r="C3318"/>
          <cell r="D3318"/>
        </row>
        <row r="3319">
          <cell r="A3319"/>
          <cell r="B3319"/>
          <cell r="C3319"/>
          <cell r="D3319"/>
        </row>
        <row r="3320">
          <cell r="A3320"/>
          <cell r="B3320"/>
          <cell r="C3320"/>
          <cell r="D3320"/>
        </row>
        <row r="3321">
          <cell r="A3321"/>
          <cell r="B3321"/>
          <cell r="C3321"/>
          <cell r="D3321"/>
        </row>
        <row r="3322">
          <cell r="A3322"/>
          <cell r="B3322"/>
          <cell r="C3322"/>
          <cell r="D3322"/>
        </row>
        <row r="3323">
          <cell r="A3323"/>
          <cell r="B3323"/>
          <cell r="C3323"/>
          <cell r="D3323"/>
        </row>
        <row r="3324">
          <cell r="A3324"/>
          <cell r="B3324"/>
          <cell r="C3324"/>
          <cell r="D3324"/>
        </row>
        <row r="3325">
          <cell r="A3325"/>
          <cell r="B3325"/>
          <cell r="C3325"/>
          <cell r="D3325"/>
        </row>
        <row r="3326">
          <cell r="A3326"/>
          <cell r="B3326"/>
          <cell r="C3326"/>
          <cell r="D3326"/>
        </row>
        <row r="3327">
          <cell r="A3327"/>
          <cell r="B3327"/>
          <cell r="C3327"/>
          <cell r="D3327"/>
        </row>
        <row r="3328">
          <cell r="A3328"/>
          <cell r="B3328"/>
          <cell r="C3328"/>
          <cell r="D3328"/>
        </row>
        <row r="3329">
          <cell r="A3329"/>
          <cell r="B3329"/>
          <cell r="C3329"/>
          <cell r="D3329"/>
        </row>
        <row r="3330">
          <cell r="A3330"/>
          <cell r="B3330"/>
          <cell r="C3330"/>
          <cell r="D3330"/>
        </row>
        <row r="3331">
          <cell r="A3331"/>
          <cell r="B3331"/>
          <cell r="C3331"/>
          <cell r="D3331"/>
        </row>
        <row r="3332">
          <cell r="A3332"/>
          <cell r="B3332"/>
          <cell r="C3332"/>
          <cell r="D3332"/>
        </row>
        <row r="3333">
          <cell r="A3333"/>
          <cell r="B3333"/>
          <cell r="C3333"/>
          <cell r="D3333"/>
        </row>
        <row r="3334">
          <cell r="A3334"/>
          <cell r="B3334"/>
          <cell r="C3334"/>
          <cell r="D3334"/>
        </row>
        <row r="3335">
          <cell r="A3335"/>
          <cell r="B3335"/>
          <cell r="C3335"/>
          <cell r="D3335"/>
        </row>
        <row r="3336">
          <cell r="A3336"/>
          <cell r="B3336"/>
          <cell r="C3336"/>
          <cell r="D3336"/>
        </row>
        <row r="3337">
          <cell r="A3337"/>
          <cell r="B3337"/>
          <cell r="C3337"/>
          <cell r="D3337"/>
        </row>
        <row r="3338">
          <cell r="A3338"/>
          <cell r="B3338"/>
          <cell r="C3338"/>
          <cell r="D3338"/>
        </row>
        <row r="3339">
          <cell r="A3339"/>
          <cell r="B3339"/>
          <cell r="C3339"/>
          <cell r="D3339"/>
        </row>
        <row r="3340">
          <cell r="A3340"/>
          <cell r="B3340"/>
          <cell r="C3340"/>
          <cell r="D3340"/>
        </row>
        <row r="3341">
          <cell r="A3341"/>
          <cell r="B3341"/>
          <cell r="C3341"/>
          <cell r="D3341"/>
        </row>
        <row r="3342">
          <cell r="A3342"/>
          <cell r="B3342"/>
          <cell r="C3342"/>
          <cell r="D3342"/>
        </row>
        <row r="3343">
          <cell r="A3343"/>
          <cell r="B3343"/>
          <cell r="C3343"/>
          <cell r="D3343"/>
        </row>
        <row r="3344">
          <cell r="A3344"/>
          <cell r="B3344"/>
          <cell r="C3344"/>
          <cell r="D3344"/>
        </row>
        <row r="3345">
          <cell r="A3345"/>
          <cell r="B3345"/>
          <cell r="C3345"/>
          <cell r="D3345"/>
        </row>
        <row r="3346">
          <cell r="A3346"/>
          <cell r="B3346"/>
          <cell r="C3346"/>
          <cell r="D3346"/>
        </row>
        <row r="3347">
          <cell r="A3347"/>
          <cell r="B3347"/>
          <cell r="C3347"/>
          <cell r="D3347"/>
        </row>
        <row r="3348">
          <cell r="A3348"/>
          <cell r="B3348"/>
          <cell r="C3348"/>
          <cell r="D3348"/>
        </row>
        <row r="3349">
          <cell r="A3349"/>
          <cell r="B3349"/>
          <cell r="C3349"/>
          <cell r="D3349"/>
        </row>
        <row r="3350">
          <cell r="A3350"/>
          <cell r="B3350"/>
          <cell r="C3350"/>
          <cell r="D3350"/>
        </row>
        <row r="3351">
          <cell r="A3351"/>
          <cell r="B3351"/>
          <cell r="C3351"/>
          <cell r="D3351"/>
        </row>
        <row r="3352">
          <cell r="A3352"/>
          <cell r="B3352"/>
          <cell r="C3352"/>
          <cell r="D3352"/>
        </row>
        <row r="3353">
          <cell r="A3353"/>
          <cell r="B3353"/>
          <cell r="C3353"/>
          <cell r="D3353"/>
        </row>
        <row r="3354">
          <cell r="A3354"/>
          <cell r="B3354"/>
          <cell r="C3354"/>
          <cell r="D3354"/>
        </row>
        <row r="3355">
          <cell r="A3355"/>
          <cell r="B3355"/>
          <cell r="C3355"/>
          <cell r="D3355"/>
        </row>
        <row r="3356">
          <cell r="A3356"/>
          <cell r="B3356"/>
          <cell r="C3356"/>
          <cell r="D3356"/>
        </row>
        <row r="3357">
          <cell r="A3357"/>
          <cell r="B3357"/>
          <cell r="C3357"/>
          <cell r="D3357"/>
        </row>
        <row r="3358">
          <cell r="A3358"/>
          <cell r="B3358"/>
          <cell r="C3358"/>
          <cell r="D3358"/>
        </row>
        <row r="3359">
          <cell r="A3359"/>
          <cell r="B3359"/>
          <cell r="C3359"/>
          <cell r="D3359"/>
        </row>
        <row r="3360">
          <cell r="A3360"/>
          <cell r="B3360"/>
          <cell r="C3360"/>
          <cell r="D3360"/>
        </row>
        <row r="3361">
          <cell r="A3361"/>
          <cell r="B3361"/>
          <cell r="C3361"/>
          <cell r="D3361"/>
        </row>
        <row r="3362">
          <cell r="A3362"/>
          <cell r="B3362"/>
          <cell r="C3362"/>
          <cell r="D3362"/>
        </row>
        <row r="3363">
          <cell r="A3363"/>
          <cell r="B3363"/>
          <cell r="C3363"/>
          <cell r="D3363"/>
        </row>
        <row r="3364">
          <cell r="A3364"/>
          <cell r="B3364"/>
          <cell r="C3364"/>
          <cell r="D3364"/>
        </row>
        <row r="3365">
          <cell r="A3365"/>
          <cell r="B3365"/>
          <cell r="C3365"/>
          <cell r="D3365"/>
        </row>
        <row r="3366">
          <cell r="A3366"/>
          <cell r="B3366"/>
          <cell r="C3366"/>
          <cell r="D3366"/>
        </row>
        <row r="3367">
          <cell r="A3367"/>
          <cell r="B3367"/>
          <cell r="C3367"/>
          <cell r="D3367"/>
        </row>
        <row r="3368">
          <cell r="A3368"/>
          <cell r="B3368"/>
          <cell r="C3368"/>
          <cell r="D3368"/>
        </row>
        <row r="3369">
          <cell r="A3369"/>
          <cell r="B3369"/>
          <cell r="C3369"/>
          <cell r="D3369"/>
        </row>
        <row r="3370">
          <cell r="A3370"/>
          <cell r="B3370"/>
          <cell r="C3370"/>
          <cell r="D3370"/>
        </row>
        <row r="3371">
          <cell r="A3371"/>
          <cell r="B3371"/>
          <cell r="C3371"/>
          <cell r="D3371"/>
        </row>
        <row r="3372">
          <cell r="A3372"/>
          <cell r="B3372"/>
          <cell r="C3372"/>
          <cell r="D3372"/>
        </row>
        <row r="3373">
          <cell r="A3373"/>
          <cell r="B3373"/>
          <cell r="C3373"/>
          <cell r="D3373"/>
        </row>
        <row r="3374">
          <cell r="A3374"/>
          <cell r="B3374"/>
          <cell r="C3374"/>
          <cell r="D3374"/>
        </row>
        <row r="3375">
          <cell r="A3375"/>
          <cell r="B3375"/>
          <cell r="C3375"/>
          <cell r="D3375"/>
        </row>
        <row r="3376">
          <cell r="A3376"/>
          <cell r="B3376"/>
          <cell r="C3376"/>
          <cell r="D3376"/>
        </row>
        <row r="3377">
          <cell r="A3377"/>
          <cell r="B3377"/>
          <cell r="C3377"/>
          <cell r="D3377"/>
        </row>
        <row r="3378">
          <cell r="A3378"/>
          <cell r="B3378"/>
          <cell r="C3378"/>
          <cell r="D3378"/>
        </row>
        <row r="3379">
          <cell r="A3379"/>
          <cell r="B3379"/>
          <cell r="C3379"/>
          <cell r="D3379"/>
        </row>
        <row r="3380">
          <cell r="A3380"/>
          <cell r="B3380"/>
          <cell r="C3380"/>
          <cell r="D3380"/>
        </row>
        <row r="3381">
          <cell r="A3381"/>
          <cell r="B3381"/>
          <cell r="C3381"/>
          <cell r="D3381"/>
        </row>
        <row r="3382">
          <cell r="A3382"/>
          <cell r="B3382"/>
          <cell r="C3382"/>
          <cell r="D3382"/>
        </row>
        <row r="3383">
          <cell r="A3383"/>
          <cell r="B3383"/>
          <cell r="C3383"/>
          <cell r="D3383"/>
        </row>
        <row r="3384">
          <cell r="A3384"/>
          <cell r="B3384"/>
          <cell r="C3384"/>
          <cell r="D3384"/>
        </row>
        <row r="3385">
          <cell r="A3385"/>
          <cell r="B3385"/>
          <cell r="C3385"/>
          <cell r="D3385"/>
        </row>
        <row r="3386">
          <cell r="A3386"/>
          <cell r="B3386"/>
          <cell r="C3386"/>
          <cell r="D3386"/>
        </row>
        <row r="3387">
          <cell r="A3387"/>
          <cell r="B3387"/>
          <cell r="C3387"/>
          <cell r="D3387"/>
        </row>
        <row r="3388">
          <cell r="A3388"/>
          <cell r="B3388"/>
          <cell r="C3388"/>
          <cell r="D3388"/>
        </row>
        <row r="3389">
          <cell r="A3389"/>
          <cell r="B3389"/>
          <cell r="C3389"/>
          <cell r="D3389"/>
        </row>
        <row r="3390">
          <cell r="A3390"/>
          <cell r="B3390"/>
          <cell r="C3390"/>
          <cell r="D3390"/>
        </row>
        <row r="3391">
          <cell r="A3391"/>
          <cell r="B3391"/>
          <cell r="C3391"/>
          <cell r="D3391"/>
        </row>
        <row r="3392">
          <cell r="A3392"/>
          <cell r="B3392"/>
          <cell r="C3392"/>
          <cell r="D3392"/>
        </row>
        <row r="3393">
          <cell r="A3393"/>
          <cell r="B3393"/>
          <cell r="C3393"/>
          <cell r="D3393"/>
        </row>
        <row r="3394">
          <cell r="A3394"/>
          <cell r="B3394"/>
          <cell r="C3394"/>
          <cell r="D3394"/>
        </row>
        <row r="3395">
          <cell r="A3395"/>
          <cell r="B3395"/>
          <cell r="C3395"/>
          <cell r="D3395"/>
        </row>
        <row r="3396">
          <cell r="A3396"/>
          <cell r="B3396"/>
          <cell r="C3396"/>
          <cell r="D3396"/>
        </row>
        <row r="3397">
          <cell r="A3397"/>
          <cell r="B3397"/>
          <cell r="C3397"/>
          <cell r="D3397"/>
        </row>
        <row r="3398">
          <cell r="A3398"/>
          <cell r="B3398"/>
          <cell r="C3398"/>
          <cell r="D3398"/>
        </row>
        <row r="3399">
          <cell r="A3399"/>
          <cell r="B3399"/>
          <cell r="C3399"/>
          <cell r="D3399"/>
        </row>
        <row r="3400">
          <cell r="A3400"/>
          <cell r="B3400"/>
          <cell r="C3400"/>
          <cell r="D3400"/>
        </row>
        <row r="3401">
          <cell r="A3401"/>
          <cell r="B3401"/>
          <cell r="C3401"/>
          <cell r="D3401"/>
        </row>
        <row r="3402">
          <cell r="A3402"/>
          <cell r="B3402"/>
          <cell r="C3402"/>
          <cell r="D3402"/>
        </row>
        <row r="3403">
          <cell r="A3403"/>
          <cell r="B3403"/>
          <cell r="C3403"/>
          <cell r="D3403"/>
        </row>
        <row r="3404">
          <cell r="A3404"/>
          <cell r="B3404"/>
          <cell r="C3404"/>
          <cell r="D3404"/>
        </row>
        <row r="3405">
          <cell r="A3405"/>
          <cell r="B3405"/>
          <cell r="C3405"/>
          <cell r="D3405"/>
        </row>
        <row r="3406">
          <cell r="A3406"/>
          <cell r="B3406"/>
          <cell r="C3406"/>
          <cell r="D3406"/>
        </row>
        <row r="3407">
          <cell r="A3407"/>
          <cell r="B3407"/>
          <cell r="C3407"/>
          <cell r="D3407"/>
        </row>
        <row r="3408">
          <cell r="A3408"/>
          <cell r="B3408"/>
          <cell r="C3408"/>
          <cell r="D3408"/>
        </row>
        <row r="3409">
          <cell r="A3409"/>
          <cell r="B3409"/>
          <cell r="C3409"/>
          <cell r="D3409"/>
        </row>
        <row r="3410">
          <cell r="A3410"/>
          <cell r="B3410"/>
          <cell r="C3410"/>
          <cell r="D3410"/>
        </row>
        <row r="3411">
          <cell r="A3411"/>
          <cell r="B3411"/>
          <cell r="C3411"/>
          <cell r="D3411"/>
        </row>
        <row r="3412">
          <cell r="A3412"/>
          <cell r="B3412"/>
          <cell r="C3412"/>
          <cell r="D3412"/>
        </row>
        <row r="3413">
          <cell r="A3413"/>
          <cell r="B3413"/>
          <cell r="C3413"/>
          <cell r="D3413"/>
        </row>
        <row r="3414">
          <cell r="A3414"/>
          <cell r="B3414"/>
          <cell r="C3414"/>
          <cell r="D3414"/>
        </row>
        <row r="3415">
          <cell r="A3415"/>
          <cell r="B3415"/>
          <cell r="C3415"/>
          <cell r="D3415"/>
        </row>
        <row r="3416">
          <cell r="A3416"/>
          <cell r="B3416"/>
          <cell r="C3416"/>
          <cell r="D3416"/>
        </row>
        <row r="3417">
          <cell r="A3417"/>
          <cell r="B3417"/>
          <cell r="C3417"/>
          <cell r="D3417"/>
        </row>
        <row r="3418">
          <cell r="A3418"/>
          <cell r="B3418"/>
          <cell r="C3418"/>
          <cell r="D3418"/>
        </row>
        <row r="3419">
          <cell r="A3419"/>
          <cell r="B3419"/>
          <cell r="C3419"/>
          <cell r="D3419"/>
        </row>
        <row r="3420">
          <cell r="A3420"/>
          <cell r="B3420"/>
          <cell r="C3420"/>
          <cell r="D3420"/>
        </row>
        <row r="3421">
          <cell r="A3421"/>
          <cell r="B3421"/>
          <cell r="C3421"/>
          <cell r="D3421"/>
        </row>
        <row r="3422">
          <cell r="A3422"/>
          <cell r="B3422"/>
          <cell r="C3422"/>
          <cell r="D3422"/>
        </row>
        <row r="3423">
          <cell r="A3423"/>
          <cell r="B3423"/>
          <cell r="C3423"/>
          <cell r="D3423"/>
        </row>
        <row r="3424">
          <cell r="A3424"/>
          <cell r="B3424"/>
          <cell r="C3424"/>
          <cell r="D3424"/>
        </row>
        <row r="3425">
          <cell r="A3425"/>
          <cell r="B3425"/>
          <cell r="C3425"/>
          <cell r="D3425"/>
        </row>
        <row r="3426">
          <cell r="A3426"/>
          <cell r="B3426"/>
          <cell r="C3426"/>
          <cell r="D3426"/>
        </row>
        <row r="3427">
          <cell r="A3427"/>
          <cell r="B3427"/>
          <cell r="C3427"/>
          <cell r="D3427"/>
        </row>
        <row r="3428">
          <cell r="A3428"/>
          <cell r="B3428"/>
          <cell r="C3428"/>
          <cell r="D3428"/>
        </row>
        <row r="3429">
          <cell r="A3429"/>
          <cell r="B3429"/>
          <cell r="C3429"/>
          <cell r="D3429"/>
        </row>
        <row r="3430">
          <cell r="A3430"/>
          <cell r="B3430"/>
          <cell r="C3430"/>
          <cell r="D3430"/>
        </row>
        <row r="3431">
          <cell r="A3431"/>
          <cell r="B3431"/>
          <cell r="C3431"/>
          <cell r="D3431"/>
        </row>
        <row r="3432">
          <cell r="A3432"/>
          <cell r="B3432"/>
          <cell r="C3432"/>
          <cell r="D3432"/>
        </row>
        <row r="3433">
          <cell r="A3433"/>
          <cell r="B3433"/>
          <cell r="C3433"/>
          <cell r="D3433"/>
        </row>
        <row r="3434">
          <cell r="A3434"/>
          <cell r="B3434"/>
          <cell r="C3434"/>
          <cell r="D3434"/>
        </row>
        <row r="3435">
          <cell r="A3435"/>
          <cell r="B3435"/>
          <cell r="C3435"/>
          <cell r="D3435"/>
        </row>
        <row r="3436">
          <cell r="A3436"/>
          <cell r="B3436"/>
          <cell r="C3436"/>
          <cell r="D3436"/>
        </row>
        <row r="3437">
          <cell r="A3437"/>
          <cell r="B3437"/>
          <cell r="C3437"/>
          <cell r="D3437"/>
        </row>
        <row r="3438">
          <cell r="A3438"/>
          <cell r="B3438"/>
          <cell r="C3438"/>
          <cell r="D3438"/>
        </row>
        <row r="3439">
          <cell r="A3439"/>
          <cell r="B3439"/>
          <cell r="C3439"/>
          <cell r="D3439"/>
        </row>
        <row r="3440">
          <cell r="A3440"/>
          <cell r="B3440"/>
          <cell r="C3440"/>
          <cell r="D3440"/>
        </row>
        <row r="3441">
          <cell r="A3441"/>
          <cell r="B3441"/>
          <cell r="C3441"/>
          <cell r="D3441"/>
        </row>
        <row r="3442">
          <cell r="A3442"/>
          <cell r="B3442"/>
          <cell r="C3442"/>
          <cell r="D3442"/>
        </row>
        <row r="3443">
          <cell r="A3443"/>
          <cell r="B3443"/>
          <cell r="C3443"/>
          <cell r="D3443"/>
        </row>
        <row r="3444">
          <cell r="A3444"/>
          <cell r="B3444"/>
          <cell r="C3444"/>
          <cell r="D3444"/>
        </row>
        <row r="3445">
          <cell r="A3445"/>
          <cell r="B3445"/>
          <cell r="C3445"/>
          <cell r="D3445"/>
        </row>
        <row r="3446">
          <cell r="A3446"/>
          <cell r="B3446"/>
          <cell r="C3446"/>
          <cell r="D3446"/>
        </row>
        <row r="3447">
          <cell r="A3447"/>
          <cell r="B3447"/>
          <cell r="C3447"/>
          <cell r="D3447"/>
        </row>
        <row r="3448">
          <cell r="A3448"/>
          <cell r="B3448"/>
          <cell r="C3448"/>
          <cell r="D3448"/>
        </row>
        <row r="3449">
          <cell r="A3449"/>
          <cell r="B3449"/>
          <cell r="C3449"/>
          <cell r="D3449"/>
        </row>
        <row r="3450">
          <cell r="A3450"/>
          <cell r="B3450"/>
          <cell r="C3450"/>
          <cell r="D3450"/>
        </row>
        <row r="3451">
          <cell r="A3451"/>
          <cell r="B3451"/>
          <cell r="C3451"/>
          <cell r="D3451"/>
        </row>
        <row r="3452">
          <cell r="A3452"/>
          <cell r="B3452"/>
          <cell r="C3452"/>
          <cell r="D3452"/>
        </row>
        <row r="3453">
          <cell r="A3453"/>
          <cell r="B3453"/>
          <cell r="C3453"/>
          <cell r="D3453"/>
        </row>
        <row r="3454">
          <cell r="A3454"/>
          <cell r="B3454"/>
          <cell r="C3454"/>
          <cell r="D3454"/>
        </row>
        <row r="3455">
          <cell r="A3455"/>
          <cell r="B3455"/>
          <cell r="C3455"/>
          <cell r="D3455"/>
        </row>
        <row r="3456">
          <cell r="A3456"/>
          <cell r="B3456"/>
          <cell r="C3456"/>
          <cell r="D3456"/>
        </row>
        <row r="3457">
          <cell r="A3457"/>
          <cell r="B3457"/>
          <cell r="C3457"/>
          <cell r="D3457"/>
        </row>
        <row r="3458">
          <cell r="A3458"/>
          <cell r="B3458"/>
          <cell r="C3458"/>
          <cell r="D3458"/>
        </row>
        <row r="3459">
          <cell r="A3459"/>
          <cell r="B3459"/>
          <cell r="C3459"/>
          <cell r="D3459"/>
        </row>
        <row r="3460">
          <cell r="A3460"/>
          <cell r="B3460"/>
          <cell r="C3460"/>
          <cell r="D3460"/>
        </row>
        <row r="3461">
          <cell r="A3461"/>
          <cell r="B3461"/>
          <cell r="C3461"/>
          <cell r="D3461"/>
        </row>
        <row r="3462">
          <cell r="A3462"/>
          <cell r="B3462"/>
          <cell r="C3462"/>
          <cell r="D3462"/>
        </row>
        <row r="3463">
          <cell r="A3463"/>
          <cell r="B3463"/>
          <cell r="C3463"/>
          <cell r="D3463"/>
        </row>
        <row r="3464">
          <cell r="A3464"/>
          <cell r="B3464"/>
          <cell r="C3464"/>
          <cell r="D3464"/>
        </row>
        <row r="3465">
          <cell r="A3465"/>
          <cell r="B3465"/>
          <cell r="C3465"/>
          <cell r="D3465"/>
        </row>
        <row r="3466">
          <cell r="A3466"/>
          <cell r="B3466"/>
          <cell r="C3466"/>
          <cell r="D3466"/>
        </row>
        <row r="3467">
          <cell r="A3467"/>
          <cell r="B3467"/>
          <cell r="C3467"/>
          <cell r="D3467"/>
        </row>
        <row r="3468">
          <cell r="A3468"/>
          <cell r="B3468"/>
          <cell r="C3468"/>
          <cell r="D3468"/>
        </row>
        <row r="3469">
          <cell r="A3469"/>
          <cell r="B3469"/>
          <cell r="C3469"/>
          <cell r="D3469"/>
        </row>
        <row r="3470">
          <cell r="A3470"/>
          <cell r="B3470"/>
          <cell r="C3470"/>
          <cell r="D3470"/>
        </row>
        <row r="3471">
          <cell r="A3471"/>
          <cell r="B3471"/>
          <cell r="C3471"/>
          <cell r="D3471"/>
        </row>
        <row r="3472">
          <cell r="A3472"/>
          <cell r="B3472"/>
          <cell r="C3472"/>
          <cell r="D3472"/>
        </row>
        <row r="3473">
          <cell r="A3473"/>
          <cell r="B3473"/>
          <cell r="C3473"/>
          <cell r="D3473"/>
        </row>
        <row r="3474">
          <cell r="A3474"/>
          <cell r="B3474"/>
          <cell r="C3474"/>
          <cell r="D3474"/>
        </row>
        <row r="3475">
          <cell r="A3475"/>
          <cell r="B3475"/>
          <cell r="C3475"/>
          <cell r="D3475"/>
        </row>
        <row r="3476">
          <cell r="A3476"/>
          <cell r="B3476"/>
          <cell r="C3476"/>
          <cell r="D3476"/>
        </row>
        <row r="3477">
          <cell r="A3477"/>
          <cell r="B3477"/>
          <cell r="C3477"/>
          <cell r="D3477"/>
        </row>
        <row r="3478">
          <cell r="A3478"/>
          <cell r="B3478"/>
          <cell r="C3478"/>
          <cell r="D3478"/>
        </row>
        <row r="3479">
          <cell r="A3479"/>
          <cell r="B3479"/>
          <cell r="C3479"/>
          <cell r="D3479"/>
        </row>
        <row r="3480">
          <cell r="A3480"/>
          <cell r="B3480"/>
          <cell r="C3480"/>
          <cell r="D3480"/>
        </row>
        <row r="3481">
          <cell r="A3481"/>
          <cell r="B3481"/>
          <cell r="C3481"/>
          <cell r="D3481"/>
        </row>
        <row r="3482">
          <cell r="A3482"/>
          <cell r="B3482"/>
          <cell r="C3482"/>
          <cell r="D3482"/>
        </row>
        <row r="3483">
          <cell r="A3483"/>
          <cell r="B3483"/>
          <cell r="C3483"/>
          <cell r="D3483"/>
        </row>
        <row r="3484">
          <cell r="A3484"/>
          <cell r="B3484"/>
          <cell r="C3484"/>
          <cell r="D3484"/>
        </row>
        <row r="3485">
          <cell r="A3485"/>
          <cell r="B3485"/>
          <cell r="C3485"/>
          <cell r="D3485"/>
        </row>
        <row r="3486">
          <cell r="A3486"/>
          <cell r="B3486"/>
          <cell r="C3486"/>
          <cell r="D3486"/>
        </row>
        <row r="3487">
          <cell r="A3487"/>
          <cell r="B3487"/>
          <cell r="C3487"/>
          <cell r="D3487"/>
        </row>
        <row r="3488">
          <cell r="A3488"/>
          <cell r="B3488"/>
          <cell r="C3488"/>
          <cell r="D3488"/>
        </row>
        <row r="3489">
          <cell r="A3489"/>
          <cell r="B3489"/>
          <cell r="C3489"/>
          <cell r="D3489"/>
        </row>
        <row r="3490">
          <cell r="A3490"/>
          <cell r="B3490"/>
          <cell r="C3490"/>
          <cell r="D3490"/>
        </row>
        <row r="3491">
          <cell r="A3491"/>
          <cell r="B3491"/>
          <cell r="C3491"/>
          <cell r="D3491"/>
        </row>
        <row r="3492">
          <cell r="A3492"/>
          <cell r="B3492"/>
          <cell r="C3492"/>
          <cell r="D3492"/>
        </row>
        <row r="3493">
          <cell r="A3493"/>
          <cell r="B3493"/>
          <cell r="C3493"/>
          <cell r="D3493"/>
        </row>
        <row r="3494">
          <cell r="A3494"/>
          <cell r="B3494"/>
          <cell r="C3494"/>
          <cell r="D3494"/>
        </row>
        <row r="3495">
          <cell r="A3495"/>
          <cell r="B3495"/>
          <cell r="C3495"/>
          <cell r="D3495"/>
        </row>
        <row r="3496">
          <cell r="A3496"/>
          <cell r="B3496"/>
          <cell r="C3496"/>
          <cell r="D3496"/>
        </row>
        <row r="3497">
          <cell r="A3497"/>
          <cell r="B3497"/>
          <cell r="C3497"/>
          <cell r="D3497"/>
        </row>
        <row r="3498">
          <cell r="A3498"/>
          <cell r="B3498"/>
          <cell r="C3498"/>
          <cell r="D3498"/>
        </row>
        <row r="3499">
          <cell r="A3499"/>
          <cell r="B3499"/>
          <cell r="C3499"/>
          <cell r="D3499"/>
        </row>
        <row r="3500">
          <cell r="A3500"/>
          <cell r="B3500"/>
          <cell r="C3500"/>
          <cell r="D3500"/>
        </row>
        <row r="3501">
          <cell r="A3501"/>
          <cell r="B3501"/>
          <cell r="C3501"/>
          <cell r="D3501"/>
        </row>
        <row r="3502">
          <cell r="A3502"/>
          <cell r="B3502"/>
          <cell r="C3502"/>
          <cell r="D3502"/>
        </row>
        <row r="3503">
          <cell r="A3503"/>
          <cell r="B3503"/>
          <cell r="C3503"/>
          <cell r="D3503"/>
        </row>
        <row r="3504">
          <cell r="A3504"/>
          <cell r="B3504"/>
          <cell r="C3504"/>
          <cell r="D3504"/>
        </row>
        <row r="3505">
          <cell r="A3505"/>
          <cell r="B3505"/>
          <cell r="C3505"/>
          <cell r="D3505"/>
        </row>
        <row r="3506">
          <cell r="A3506"/>
          <cell r="B3506"/>
          <cell r="C3506"/>
          <cell r="D3506"/>
        </row>
        <row r="3507">
          <cell r="A3507"/>
          <cell r="B3507"/>
          <cell r="C3507"/>
          <cell r="D3507"/>
        </row>
        <row r="3508">
          <cell r="A3508"/>
          <cell r="B3508"/>
          <cell r="C3508"/>
          <cell r="D3508"/>
        </row>
        <row r="3509">
          <cell r="A3509"/>
          <cell r="B3509"/>
          <cell r="C3509"/>
          <cell r="D3509"/>
        </row>
        <row r="3510">
          <cell r="A3510"/>
          <cell r="B3510"/>
          <cell r="C3510"/>
          <cell r="D3510"/>
        </row>
        <row r="3511">
          <cell r="A3511"/>
          <cell r="B3511"/>
          <cell r="C3511"/>
          <cell r="D3511"/>
        </row>
        <row r="3512">
          <cell r="A3512"/>
          <cell r="B3512"/>
          <cell r="C3512"/>
          <cell r="D3512"/>
        </row>
        <row r="3513">
          <cell r="A3513"/>
          <cell r="B3513"/>
          <cell r="C3513"/>
          <cell r="D3513"/>
        </row>
        <row r="3514">
          <cell r="A3514"/>
          <cell r="B3514"/>
          <cell r="C3514"/>
          <cell r="D3514"/>
        </row>
        <row r="3515">
          <cell r="A3515"/>
          <cell r="B3515"/>
          <cell r="C3515"/>
          <cell r="D3515"/>
        </row>
        <row r="3516">
          <cell r="A3516"/>
          <cell r="B3516"/>
          <cell r="C3516"/>
          <cell r="D3516"/>
        </row>
        <row r="3517">
          <cell r="A3517"/>
          <cell r="B3517"/>
          <cell r="C3517"/>
          <cell r="D3517"/>
        </row>
        <row r="3518">
          <cell r="A3518"/>
          <cell r="B3518"/>
          <cell r="C3518"/>
          <cell r="D3518"/>
        </row>
        <row r="3519">
          <cell r="A3519"/>
          <cell r="B3519"/>
          <cell r="C3519"/>
          <cell r="D3519"/>
        </row>
        <row r="3520">
          <cell r="A3520"/>
          <cell r="B3520"/>
          <cell r="C3520"/>
          <cell r="D3520"/>
        </row>
        <row r="3521">
          <cell r="A3521"/>
          <cell r="B3521"/>
          <cell r="C3521"/>
          <cell r="D3521"/>
        </row>
        <row r="3522">
          <cell r="A3522"/>
          <cell r="B3522"/>
          <cell r="C3522"/>
          <cell r="D3522"/>
        </row>
        <row r="3523">
          <cell r="A3523"/>
          <cell r="B3523"/>
          <cell r="C3523"/>
          <cell r="D3523"/>
        </row>
        <row r="3524">
          <cell r="A3524"/>
          <cell r="B3524"/>
          <cell r="C3524"/>
          <cell r="D3524"/>
        </row>
        <row r="3525">
          <cell r="A3525"/>
          <cell r="B3525"/>
          <cell r="C3525"/>
          <cell r="D3525"/>
        </row>
        <row r="3526">
          <cell r="A3526"/>
          <cell r="B3526"/>
          <cell r="C3526"/>
          <cell r="D3526"/>
        </row>
        <row r="3527">
          <cell r="A3527"/>
          <cell r="B3527"/>
          <cell r="C3527"/>
          <cell r="D3527"/>
        </row>
        <row r="3528">
          <cell r="A3528"/>
          <cell r="B3528"/>
          <cell r="C3528"/>
          <cell r="D3528"/>
        </row>
        <row r="3529">
          <cell r="A3529"/>
          <cell r="B3529"/>
          <cell r="C3529"/>
          <cell r="D3529"/>
        </row>
        <row r="3530">
          <cell r="A3530"/>
          <cell r="B3530"/>
          <cell r="C3530"/>
          <cell r="D3530"/>
        </row>
        <row r="3531">
          <cell r="A3531"/>
          <cell r="B3531"/>
          <cell r="C3531"/>
          <cell r="D3531"/>
        </row>
        <row r="3532">
          <cell r="A3532"/>
          <cell r="B3532"/>
          <cell r="C3532"/>
          <cell r="D3532"/>
        </row>
        <row r="3533">
          <cell r="A3533"/>
          <cell r="B3533"/>
          <cell r="C3533"/>
          <cell r="D3533"/>
        </row>
        <row r="3534">
          <cell r="A3534"/>
          <cell r="B3534"/>
          <cell r="C3534"/>
          <cell r="D3534"/>
        </row>
        <row r="3535">
          <cell r="A3535"/>
          <cell r="B3535"/>
          <cell r="C3535"/>
          <cell r="D3535"/>
        </row>
        <row r="3536">
          <cell r="A3536"/>
          <cell r="B3536"/>
          <cell r="C3536"/>
          <cell r="D3536"/>
        </row>
        <row r="3537">
          <cell r="A3537"/>
          <cell r="B3537"/>
          <cell r="C3537"/>
          <cell r="D3537"/>
        </row>
        <row r="3538">
          <cell r="A3538"/>
          <cell r="B3538"/>
          <cell r="C3538"/>
          <cell r="D3538"/>
        </row>
        <row r="3539">
          <cell r="A3539"/>
          <cell r="B3539"/>
          <cell r="C3539"/>
          <cell r="D3539"/>
        </row>
        <row r="3540">
          <cell r="A3540"/>
          <cell r="B3540"/>
          <cell r="C3540"/>
          <cell r="D3540"/>
        </row>
        <row r="3541">
          <cell r="A3541"/>
          <cell r="B3541"/>
          <cell r="C3541"/>
          <cell r="D3541"/>
        </row>
        <row r="3542">
          <cell r="A3542"/>
          <cell r="B3542"/>
          <cell r="C3542"/>
          <cell r="D3542"/>
        </row>
        <row r="3543">
          <cell r="A3543"/>
          <cell r="B3543"/>
          <cell r="C3543"/>
          <cell r="D3543"/>
        </row>
        <row r="3544">
          <cell r="A3544"/>
          <cell r="B3544"/>
          <cell r="C3544"/>
          <cell r="D3544"/>
        </row>
        <row r="3545">
          <cell r="A3545"/>
          <cell r="B3545"/>
          <cell r="C3545"/>
          <cell r="D3545"/>
        </row>
        <row r="3546">
          <cell r="A3546"/>
          <cell r="B3546"/>
          <cell r="C3546"/>
          <cell r="D3546"/>
        </row>
        <row r="3547">
          <cell r="A3547"/>
          <cell r="B3547"/>
          <cell r="C3547"/>
          <cell r="D3547"/>
        </row>
        <row r="3548">
          <cell r="A3548"/>
          <cell r="B3548"/>
          <cell r="C3548"/>
          <cell r="D3548"/>
        </row>
        <row r="3549">
          <cell r="A3549"/>
          <cell r="B3549"/>
          <cell r="C3549"/>
          <cell r="D3549"/>
        </row>
        <row r="3550">
          <cell r="A3550"/>
          <cell r="B3550"/>
          <cell r="C3550"/>
          <cell r="D3550"/>
        </row>
        <row r="3551">
          <cell r="A3551"/>
          <cell r="B3551"/>
          <cell r="C3551"/>
          <cell r="D3551"/>
        </row>
        <row r="3552">
          <cell r="A3552"/>
          <cell r="B3552"/>
          <cell r="C3552"/>
          <cell r="D3552"/>
        </row>
        <row r="3553">
          <cell r="A3553"/>
          <cell r="B3553"/>
          <cell r="C3553"/>
          <cell r="D3553"/>
        </row>
        <row r="3554">
          <cell r="A3554"/>
          <cell r="B3554"/>
          <cell r="C3554"/>
          <cell r="D3554"/>
        </row>
        <row r="3555">
          <cell r="A3555"/>
          <cell r="B3555"/>
          <cell r="C3555"/>
          <cell r="D3555"/>
        </row>
        <row r="3556">
          <cell r="A3556"/>
          <cell r="B3556"/>
          <cell r="C3556"/>
          <cell r="D3556"/>
        </row>
        <row r="3557">
          <cell r="A3557"/>
          <cell r="B3557"/>
          <cell r="C3557"/>
          <cell r="D3557"/>
        </row>
        <row r="3558">
          <cell r="A3558"/>
          <cell r="B3558"/>
          <cell r="C3558"/>
          <cell r="D3558"/>
        </row>
        <row r="3559">
          <cell r="A3559"/>
          <cell r="B3559"/>
          <cell r="C3559"/>
          <cell r="D3559"/>
        </row>
        <row r="3560">
          <cell r="A3560"/>
          <cell r="B3560"/>
          <cell r="C3560"/>
          <cell r="D3560"/>
        </row>
        <row r="3561">
          <cell r="A3561"/>
          <cell r="B3561"/>
          <cell r="C3561"/>
          <cell r="D3561"/>
        </row>
        <row r="3562">
          <cell r="A3562"/>
          <cell r="B3562"/>
          <cell r="C3562"/>
          <cell r="D3562"/>
        </row>
        <row r="3563">
          <cell r="A3563"/>
          <cell r="B3563"/>
          <cell r="C3563"/>
          <cell r="D3563"/>
        </row>
        <row r="3564">
          <cell r="A3564"/>
          <cell r="B3564"/>
          <cell r="C3564"/>
          <cell r="D3564"/>
        </row>
        <row r="3565">
          <cell r="A3565"/>
          <cell r="B3565"/>
          <cell r="C3565"/>
          <cell r="D3565"/>
        </row>
        <row r="3566">
          <cell r="A3566"/>
          <cell r="B3566"/>
          <cell r="C3566"/>
          <cell r="D3566"/>
        </row>
        <row r="3567">
          <cell r="A3567"/>
          <cell r="B3567"/>
          <cell r="C3567"/>
          <cell r="D3567"/>
        </row>
        <row r="3568">
          <cell r="A3568"/>
          <cell r="B3568"/>
          <cell r="C3568"/>
          <cell r="D3568"/>
        </row>
        <row r="3569">
          <cell r="A3569"/>
          <cell r="B3569"/>
          <cell r="C3569"/>
          <cell r="D3569"/>
        </row>
        <row r="3570">
          <cell r="A3570"/>
          <cell r="B3570"/>
          <cell r="C3570"/>
          <cell r="D3570"/>
        </row>
        <row r="3571">
          <cell r="A3571"/>
          <cell r="B3571"/>
          <cell r="C3571"/>
          <cell r="D3571"/>
        </row>
        <row r="3572">
          <cell r="A3572"/>
          <cell r="B3572"/>
          <cell r="C3572"/>
          <cell r="D3572"/>
        </row>
        <row r="3573">
          <cell r="A3573"/>
          <cell r="B3573"/>
          <cell r="C3573"/>
          <cell r="D3573"/>
        </row>
        <row r="3574">
          <cell r="A3574"/>
          <cell r="B3574"/>
          <cell r="C3574"/>
          <cell r="D3574"/>
        </row>
        <row r="3575">
          <cell r="A3575"/>
          <cell r="B3575"/>
          <cell r="C3575"/>
          <cell r="D3575"/>
        </row>
        <row r="3576">
          <cell r="A3576"/>
          <cell r="B3576"/>
          <cell r="C3576"/>
          <cell r="D3576"/>
        </row>
        <row r="3577">
          <cell r="A3577"/>
          <cell r="B3577"/>
          <cell r="C3577"/>
          <cell r="D3577"/>
        </row>
        <row r="3578">
          <cell r="A3578"/>
          <cell r="B3578"/>
          <cell r="C3578"/>
          <cell r="D3578"/>
        </row>
        <row r="3579">
          <cell r="A3579"/>
          <cell r="B3579"/>
          <cell r="C3579"/>
          <cell r="D3579"/>
        </row>
        <row r="3580">
          <cell r="A3580"/>
          <cell r="B3580"/>
          <cell r="C3580"/>
          <cell r="D3580"/>
        </row>
        <row r="3581">
          <cell r="A3581"/>
          <cell r="B3581"/>
          <cell r="C3581"/>
          <cell r="D3581"/>
        </row>
        <row r="3582">
          <cell r="A3582"/>
          <cell r="B3582"/>
          <cell r="C3582"/>
          <cell r="D3582"/>
        </row>
        <row r="3583">
          <cell r="A3583"/>
          <cell r="B3583"/>
          <cell r="C3583"/>
          <cell r="D3583"/>
        </row>
        <row r="3584">
          <cell r="A3584"/>
          <cell r="B3584"/>
          <cell r="C3584"/>
          <cell r="D3584"/>
        </row>
        <row r="3585">
          <cell r="A3585"/>
          <cell r="B3585"/>
          <cell r="C3585"/>
          <cell r="D3585"/>
        </row>
        <row r="3586">
          <cell r="A3586"/>
          <cell r="B3586"/>
          <cell r="C3586"/>
          <cell r="D3586"/>
        </row>
        <row r="3587">
          <cell r="A3587"/>
          <cell r="B3587"/>
          <cell r="C3587"/>
          <cell r="D3587"/>
        </row>
        <row r="3588">
          <cell r="A3588"/>
          <cell r="B3588"/>
          <cell r="C3588"/>
          <cell r="D3588"/>
        </row>
        <row r="3589">
          <cell r="A3589"/>
          <cell r="B3589"/>
          <cell r="C3589"/>
          <cell r="D3589"/>
        </row>
        <row r="3590">
          <cell r="A3590"/>
          <cell r="B3590"/>
          <cell r="C3590"/>
          <cell r="D3590"/>
        </row>
        <row r="3591">
          <cell r="A3591"/>
          <cell r="B3591"/>
          <cell r="C3591"/>
          <cell r="D3591"/>
        </row>
        <row r="3592">
          <cell r="A3592"/>
          <cell r="B3592"/>
          <cell r="C3592"/>
          <cell r="D3592"/>
        </row>
        <row r="3593">
          <cell r="A3593"/>
          <cell r="B3593"/>
          <cell r="C3593"/>
          <cell r="D3593"/>
        </row>
        <row r="3594">
          <cell r="A3594"/>
          <cell r="B3594"/>
          <cell r="C3594"/>
          <cell r="D3594"/>
        </row>
        <row r="3595">
          <cell r="A3595"/>
          <cell r="B3595"/>
          <cell r="C3595"/>
          <cell r="D3595"/>
        </row>
        <row r="3596">
          <cell r="A3596"/>
          <cell r="B3596"/>
          <cell r="C3596"/>
          <cell r="D3596"/>
        </row>
        <row r="3597">
          <cell r="A3597"/>
          <cell r="B3597"/>
          <cell r="C3597"/>
          <cell r="D3597"/>
        </row>
        <row r="3598">
          <cell r="A3598"/>
          <cell r="B3598"/>
          <cell r="C3598"/>
          <cell r="D3598"/>
        </row>
        <row r="3599">
          <cell r="A3599"/>
          <cell r="B3599"/>
          <cell r="C3599"/>
          <cell r="D3599"/>
        </row>
        <row r="3600">
          <cell r="A3600"/>
          <cell r="B3600"/>
          <cell r="C3600"/>
          <cell r="D3600"/>
        </row>
        <row r="3601">
          <cell r="A3601"/>
          <cell r="B3601"/>
          <cell r="C3601"/>
          <cell r="D3601"/>
        </row>
        <row r="3602">
          <cell r="A3602"/>
          <cell r="B3602"/>
          <cell r="C3602"/>
          <cell r="D3602"/>
        </row>
        <row r="3603">
          <cell r="A3603"/>
          <cell r="B3603"/>
          <cell r="C3603"/>
          <cell r="D3603"/>
        </row>
        <row r="3604">
          <cell r="A3604"/>
          <cell r="B3604"/>
          <cell r="C3604"/>
          <cell r="D3604"/>
        </row>
        <row r="3605">
          <cell r="A3605"/>
          <cell r="B3605"/>
          <cell r="C3605"/>
          <cell r="D3605"/>
        </row>
        <row r="3606">
          <cell r="A3606"/>
          <cell r="B3606"/>
          <cell r="C3606"/>
          <cell r="D3606"/>
        </row>
        <row r="3607">
          <cell r="A3607"/>
          <cell r="B3607"/>
          <cell r="C3607"/>
          <cell r="D3607"/>
        </row>
        <row r="3608">
          <cell r="A3608"/>
          <cell r="B3608"/>
          <cell r="C3608"/>
          <cell r="D3608"/>
        </row>
        <row r="3609">
          <cell r="A3609"/>
          <cell r="B3609"/>
          <cell r="C3609"/>
          <cell r="D3609"/>
        </row>
        <row r="3610">
          <cell r="A3610"/>
          <cell r="B3610"/>
          <cell r="C3610"/>
          <cell r="D3610"/>
        </row>
        <row r="3611">
          <cell r="A3611"/>
          <cell r="B3611"/>
          <cell r="C3611"/>
          <cell r="D3611"/>
        </row>
        <row r="3612">
          <cell r="A3612"/>
          <cell r="B3612"/>
          <cell r="C3612"/>
          <cell r="D3612"/>
        </row>
        <row r="3613">
          <cell r="A3613"/>
          <cell r="B3613"/>
          <cell r="C3613"/>
          <cell r="D3613"/>
        </row>
        <row r="3614">
          <cell r="A3614"/>
          <cell r="B3614"/>
          <cell r="C3614"/>
          <cell r="D3614"/>
        </row>
        <row r="3615">
          <cell r="A3615"/>
          <cell r="B3615"/>
          <cell r="C3615"/>
          <cell r="D3615"/>
        </row>
        <row r="3616">
          <cell r="A3616"/>
          <cell r="B3616"/>
          <cell r="C3616"/>
          <cell r="D3616"/>
        </row>
        <row r="3617">
          <cell r="A3617"/>
          <cell r="B3617"/>
          <cell r="C3617"/>
          <cell r="D3617"/>
        </row>
        <row r="3618">
          <cell r="A3618"/>
          <cell r="B3618"/>
          <cell r="C3618"/>
          <cell r="D3618"/>
        </row>
        <row r="3619">
          <cell r="A3619"/>
          <cell r="B3619"/>
          <cell r="C3619"/>
          <cell r="D3619"/>
        </row>
        <row r="3620">
          <cell r="A3620"/>
          <cell r="B3620"/>
          <cell r="C3620"/>
          <cell r="D3620"/>
        </row>
        <row r="3621">
          <cell r="A3621"/>
          <cell r="B3621"/>
          <cell r="C3621"/>
          <cell r="D3621"/>
        </row>
        <row r="3622">
          <cell r="A3622"/>
          <cell r="B3622"/>
          <cell r="C3622"/>
          <cell r="D3622"/>
        </row>
        <row r="3623">
          <cell r="A3623"/>
          <cell r="B3623"/>
          <cell r="C3623"/>
          <cell r="D3623"/>
        </row>
        <row r="3624">
          <cell r="A3624"/>
          <cell r="B3624"/>
          <cell r="C3624"/>
          <cell r="D3624"/>
        </row>
        <row r="3625">
          <cell r="A3625"/>
          <cell r="B3625"/>
          <cell r="C3625"/>
          <cell r="D3625"/>
        </row>
        <row r="3626">
          <cell r="A3626"/>
          <cell r="B3626"/>
          <cell r="C3626"/>
          <cell r="D3626"/>
        </row>
        <row r="3627">
          <cell r="A3627"/>
          <cell r="B3627"/>
          <cell r="C3627"/>
          <cell r="D3627"/>
        </row>
        <row r="3628">
          <cell r="A3628"/>
          <cell r="B3628"/>
          <cell r="C3628"/>
          <cell r="D3628"/>
        </row>
        <row r="3629">
          <cell r="A3629"/>
          <cell r="B3629"/>
          <cell r="C3629"/>
          <cell r="D3629"/>
        </row>
        <row r="3630">
          <cell r="A3630"/>
          <cell r="B3630"/>
          <cell r="C3630"/>
          <cell r="D3630"/>
        </row>
        <row r="3631">
          <cell r="A3631"/>
          <cell r="B3631"/>
          <cell r="C3631"/>
          <cell r="D3631"/>
        </row>
        <row r="3632">
          <cell r="A3632"/>
          <cell r="B3632"/>
          <cell r="C3632"/>
          <cell r="D3632"/>
        </row>
        <row r="3633">
          <cell r="A3633"/>
          <cell r="B3633"/>
          <cell r="C3633"/>
          <cell r="D3633"/>
        </row>
        <row r="3634">
          <cell r="A3634"/>
          <cell r="B3634"/>
          <cell r="C3634"/>
          <cell r="D3634"/>
        </row>
        <row r="3635">
          <cell r="A3635"/>
          <cell r="B3635"/>
          <cell r="C3635"/>
          <cell r="D3635"/>
        </row>
        <row r="3636">
          <cell r="A3636"/>
          <cell r="B3636"/>
          <cell r="C3636"/>
          <cell r="D3636"/>
        </row>
        <row r="3637">
          <cell r="A3637"/>
          <cell r="B3637"/>
          <cell r="C3637"/>
          <cell r="D3637"/>
        </row>
        <row r="3638">
          <cell r="A3638"/>
          <cell r="B3638"/>
          <cell r="C3638"/>
          <cell r="D3638"/>
        </row>
        <row r="3639">
          <cell r="A3639"/>
          <cell r="B3639"/>
          <cell r="C3639"/>
          <cell r="D3639"/>
        </row>
        <row r="3640">
          <cell r="A3640"/>
          <cell r="B3640"/>
          <cell r="C3640"/>
          <cell r="D3640"/>
        </row>
        <row r="3641">
          <cell r="A3641"/>
          <cell r="B3641"/>
          <cell r="C3641"/>
          <cell r="D3641"/>
        </row>
        <row r="3642">
          <cell r="A3642"/>
          <cell r="B3642"/>
          <cell r="C3642"/>
          <cell r="D3642"/>
        </row>
        <row r="3643">
          <cell r="A3643"/>
          <cell r="B3643"/>
          <cell r="C3643"/>
          <cell r="D3643"/>
        </row>
        <row r="3644">
          <cell r="A3644"/>
          <cell r="B3644"/>
          <cell r="C3644"/>
          <cell r="D3644"/>
        </row>
        <row r="3645">
          <cell r="A3645"/>
          <cell r="B3645"/>
          <cell r="C3645"/>
          <cell r="D3645"/>
        </row>
        <row r="3646">
          <cell r="A3646"/>
          <cell r="B3646"/>
          <cell r="C3646"/>
          <cell r="D3646"/>
        </row>
        <row r="3647">
          <cell r="A3647"/>
          <cell r="B3647"/>
          <cell r="C3647"/>
          <cell r="D3647"/>
        </row>
        <row r="3648">
          <cell r="A3648"/>
          <cell r="B3648"/>
          <cell r="C3648"/>
          <cell r="D3648"/>
        </row>
        <row r="3649">
          <cell r="A3649"/>
          <cell r="B3649"/>
          <cell r="C3649"/>
          <cell r="D3649"/>
        </row>
        <row r="3650">
          <cell r="A3650"/>
          <cell r="B3650"/>
          <cell r="C3650"/>
          <cell r="D3650"/>
        </row>
        <row r="3651">
          <cell r="A3651"/>
          <cell r="B3651"/>
          <cell r="C3651"/>
          <cell r="D3651"/>
        </row>
        <row r="3652">
          <cell r="A3652"/>
          <cell r="B3652"/>
          <cell r="C3652"/>
          <cell r="D3652"/>
        </row>
        <row r="3653">
          <cell r="A3653"/>
          <cell r="B3653"/>
          <cell r="C3653"/>
          <cell r="D3653"/>
        </row>
        <row r="3654">
          <cell r="A3654"/>
          <cell r="B3654"/>
          <cell r="C3654"/>
          <cell r="D3654"/>
        </row>
        <row r="3655">
          <cell r="A3655"/>
          <cell r="B3655"/>
          <cell r="C3655"/>
          <cell r="D3655"/>
        </row>
        <row r="3656">
          <cell r="A3656"/>
          <cell r="B3656"/>
          <cell r="C3656"/>
          <cell r="D3656"/>
        </row>
        <row r="3657">
          <cell r="A3657"/>
          <cell r="B3657"/>
          <cell r="C3657"/>
          <cell r="D3657"/>
        </row>
        <row r="3658">
          <cell r="A3658"/>
          <cell r="B3658"/>
          <cell r="C3658"/>
          <cell r="D3658"/>
        </row>
        <row r="3659">
          <cell r="A3659"/>
          <cell r="B3659"/>
          <cell r="C3659"/>
          <cell r="D3659"/>
        </row>
        <row r="3660">
          <cell r="A3660"/>
          <cell r="B3660"/>
          <cell r="C3660"/>
          <cell r="D3660"/>
        </row>
        <row r="3661">
          <cell r="A3661"/>
          <cell r="B3661"/>
          <cell r="C3661"/>
          <cell r="D3661"/>
        </row>
        <row r="3662">
          <cell r="A3662"/>
          <cell r="B3662"/>
          <cell r="C3662"/>
          <cell r="D3662"/>
        </row>
        <row r="3663">
          <cell r="A3663"/>
          <cell r="B3663"/>
          <cell r="C3663"/>
          <cell r="D3663"/>
        </row>
        <row r="3664">
          <cell r="A3664"/>
          <cell r="B3664"/>
          <cell r="C3664"/>
          <cell r="D3664"/>
        </row>
        <row r="3665">
          <cell r="A3665"/>
          <cell r="B3665"/>
          <cell r="C3665"/>
          <cell r="D3665"/>
        </row>
        <row r="3666">
          <cell r="A3666"/>
          <cell r="B3666"/>
          <cell r="C3666"/>
          <cell r="D3666"/>
        </row>
        <row r="3667">
          <cell r="A3667"/>
          <cell r="B3667"/>
          <cell r="C3667"/>
          <cell r="D3667"/>
        </row>
        <row r="3668">
          <cell r="A3668"/>
          <cell r="B3668"/>
          <cell r="C3668"/>
          <cell r="D3668"/>
        </row>
        <row r="3669">
          <cell r="A3669"/>
          <cell r="B3669"/>
          <cell r="C3669"/>
          <cell r="D3669"/>
        </row>
        <row r="3670">
          <cell r="A3670"/>
          <cell r="B3670"/>
          <cell r="C3670"/>
          <cell r="D3670"/>
        </row>
        <row r="3671">
          <cell r="A3671"/>
          <cell r="B3671"/>
          <cell r="C3671"/>
          <cell r="D3671"/>
        </row>
        <row r="3672">
          <cell r="A3672"/>
          <cell r="B3672"/>
          <cell r="C3672"/>
          <cell r="D3672"/>
        </row>
        <row r="3673">
          <cell r="A3673"/>
          <cell r="B3673"/>
          <cell r="C3673"/>
          <cell r="D3673"/>
        </row>
        <row r="3674">
          <cell r="A3674"/>
          <cell r="B3674"/>
          <cell r="C3674"/>
          <cell r="D3674"/>
        </row>
        <row r="3675">
          <cell r="A3675"/>
          <cell r="B3675"/>
          <cell r="C3675"/>
          <cell r="D3675"/>
        </row>
        <row r="3676">
          <cell r="A3676"/>
          <cell r="B3676"/>
          <cell r="C3676"/>
          <cell r="D3676"/>
        </row>
        <row r="3677">
          <cell r="A3677"/>
          <cell r="B3677"/>
          <cell r="C3677"/>
          <cell r="D3677"/>
        </row>
        <row r="3678">
          <cell r="A3678"/>
          <cell r="B3678"/>
          <cell r="C3678"/>
          <cell r="D3678"/>
        </row>
        <row r="3679">
          <cell r="A3679"/>
          <cell r="B3679"/>
          <cell r="C3679"/>
          <cell r="D3679"/>
        </row>
        <row r="3680">
          <cell r="A3680"/>
          <cell r="B3680"/>
          <cell r="C3680"/>
          <cell r="D3680"/>
        </row>
        <row r="3681">
          <cell r="A3681"/>
          <cell r="B3681"/>
          <cell r="C3681"/>
          <cell r="D3681"/>
        </row>
        <row r="3682">
          <cell r="A3682"/>
          <cell r="B3682"/>
          <cell r="C3682"/>
          <cell r="D3682"/>
        </row>
        <row r="3683">
          <cell r="A3683"/>
          <cell r="B3683"/>
          <cell r="C3683"/>
          <cell r="D3683"/>
        </row>
        <row r="3684">
          <cell r="A3684"/>
          <cell r="B3684"/>
          <cell r="C3684"/>
          <cell r="D3684"/>
        </row>
        <row r="3685">
          <cell r="A3685"/>
          <cell r="B3685"/>
          <cell r="C3685"/>
          <cell r="D3685"/>
        </row>
        <row r="3686">
          <cell r="A3686"/>
          <cell r="B3686"/>
          <cell r="C3686"/>
          <cell r="D3686"/>
        </row>
        <row r="3687">
          <cell r="A3687"/>
          <cell r="B3687"/>
          <cell r="C3687"/>
          <cell r="D3687"/>
        </row>
        <row r="3688">
          <cell r="A3688"/>
          <cell r="B3688"/>
          <cell r="C3688"/>
          <cell r="D3688"/>
        </row>
        <row r="3689">
          <cell r="A3689"/>
          <cell r="B3689"/>
          <cell r="C3689"/>
          <cell r="D3689"/>
        </row>
        <row r="3690">
          <cell r="A3690"/>
          <cell r="B3690"/>
          <cell r="C3690"/>
          <cell r="D3690"/>
        </row>
        <row r="3691">
          <cell r="A3691"/>
          <cell r="B3691"/>
          <cell r="C3691"/>
          <cell r="D3691"/>
        </row>
        <row r="3692">
          <cell r="A3692"/>
          <cell r="B3692"/>
          <cell r="C3692"/>
          <cell r="D3692"/>
        </row>
        <row r="3693">
          <cell r="A3693"/>
          <cell r="B3693"/>
          <cell r="C3693"/>
          <cell r="D3693"/>
        </row>
        <row r="3694">
          <cell r="A3694"/>
          <cell r="B3694"/>
          <cell r="C3694"/>
          <cell r="D3694"/>
        </row>
        <row r="3695">
          <cell r="A3695"/>
          <cell r="B3695"/>
          <cell r="C3695"/>
          <cell r="D3695"/>
        </row>
        <row r="3696">
          <cell r="A3696"/>
          <cell r="B3696"/>
          <cell r="C3696"/>
          <cell r="D3696"/>
        </row>
        <row r="3697">
          <cell r="A3697"/>
          <cell r="B3697"/>
          <cell r="C3697"/>
          <cell r="D3697"/>
        </row>
        <row r="3698">
          <cell r="A3698"/>
          <cell r="B3698"/>
          <cell r="C3698"/>
          <cell r="D3698"/>
        </row>
        <row r="3699">
          <cell r="A3699"/>
          <cell r="B3699"/>
          <cell r="C3699"/>
          <cell r="D3699"/>
        </row>
        <row r="3700">
          <cell r="A3700"/>
          <cell r="B3700"/>
          <cell r="C3700"/>
          <cell r="D3700"/>
        </row>
        <row r="3701">
          <cell r="A3701"/>
          <cell r="B3701"/>
          <cell r="C3701"/>
          <cell r="D3701"/>
        </row>
        <row r="3702">
          <cell r="A3702"/>
          <cell r="B3702"/>
          <cell r="C3702"/>
          <cell r="D3702"/>
        </row>
        <row r="3703">
          <cell r="A3703"/>
          <cell r="B3703"/>
          <cell r="C3703"/>
          <cell r="D3703"/>
        </row>
        <row r="3704">
          <cell r="A3704"/>
          <cell r="B3704"/>
          <cell r="C3704"/>
          <cell r="D3704"/>
        </row>
        <row r="3705">
          <cell r="A3705"/>
          <cell r="B3705"/>
          <cell r="C3705"/>
          <cell r="D3705"/>
        </row>
        <row r="3706">
          <cell r="A3706"/>
          <cell r="B3706"/>
          <cell r="C3706"/>
          <cell r="D3706"/>
        </row>
        <row r="3707">
          <cell r="A3707"/>
          <cell r="B3707"/>
          <cell r="C3707"/>
          <cell r="D3707"/>
        </row>
        <row r="3708">
          <cell r="A3708"/>
          <cell r="B3708"/>
          <cell r="C3708"/>
          <cell r="D3708"/>
        </row>
        <row r="3709">
          <cell r="A3709"/>
          <cell r="B3709"/>
          <cell r="C3709"/>
          <cell r="D3709"/>
        </row>
        <row r="3710">
          <cell r="A3710"/>
          <cell r="B3710"/>
          <cell r="C3710"/>
          <cell r="D3710"/>
        </row>
        <row r="3711">
          <cell r="A3711"/>
          <cell r="B3711"/>
          <cell r="C3711"/>
          <cell r="D3711"/>
        </row>
        <row r="3712">
          <cell r="A3712"/>
          <cell r="B3712"/>
          <cell r="C3712"/>
          <cell r="D3712"/>
        </row>
        <row r="3713">
          <cell r="A3713"/>
          <cell r="B3713"/>
          <cell r="C3713"/>
          <cell r="D3713"/>
        </row>
        <row r="3714">
          <cell r="A3714"/>
          <cell r="B3714"/>
          <cell r="C3714"/>
          <cell r="D3714"/>
        </row>
        <row r="3715">
          <cell r="A3715"/>
          <cell r="B3715"/>
          <cell r="C3715"/>
          <cell r="D3715"/>
        </row>
        <row r="3716">
          <cell r="A3716"/>
          <cell r="B3716"/>
          <cell r="C3716"/>
          <cell r="D3716"/>
        </row>
        <row r="3717">
          <cell r="A3717"/>
          <cell r="B3717"/>
          <cell r="C3717"/>
          <cell r="D3717"/>
        </row>
        <row r="3718">
          <cell r="A3718"/>
          <cell r="B3718"/>
          <cell r="C3718"/>
          <cell r="D3718"/>
        </row>
        <row r="3719">
          <cell r="A3719"/>
          <cell r="B3719"/>
          <cell r="C3719"/>
          <cell r="D3719"/>
        </row>
        <row r="3720">
          <cell r="A3720"/>
          <cell r="B3720"/>
          <cell r="C3720"/>
          <cell r="D3720"/>
        </row>
        <row r="3721">
          <cell r="A3721"/>
          <cell r="B3721"/>
          <cell r="C3721"/>
          <cell r="D3721"/>
        </row>
        <row r="3722">
          <cell r="A3722"/>
          <cell r="B3722"/>
          <cell r="C3722"/>
          <cell r="D3722"/>
        </row>
        <row r="3723">
          <cell r="A3723"/>
          <cell r="B3723"/>
          <cell r="C3723"/>
          <cell r="D3723"/>
        </row>
        <row r="3724">
          <cell r="A3724"/>
          <cell r="B3724"/>
          <cell r="C3724"/>
          <cell r="D3724"/>
        </row>
        <row r="3725">
          <cell r="A3725"/>
          <cell r="B3725"/>
          <cell r="C3725"/>
          <cell r="D3725"/>
        </row>
        <row r="3726">
          <cell r="A3726"/>
          <cell r="B3726"/>
          <cell r="C3726"/>
          <cell r="D3726"/>
        </row>
        <row r="3727">
          <cell r="A3727"/>
          <cell r="B3727"/>
          <cell r="C3727"/>
          <cell r="D3727"/>
        </row>
        <row r="3728">
          <cell r="A3728"/>
          <cell r="B3728"/>
          <cell r="C3728"/>
          <cell r="D3728"/>
        </row>
        <row r="3729">
          <cell r="A3729"/>
          <cell r="B3729"/>
          <cell r="C3729"/>
          <cell r="D3729"/>
        </row>
        <row r="3730">
          <cell r="A3730"/>
          <cell r="B3730"/>
          <cell r="C3730"/>
          <cell r="D3730"/>
        </row>
        <row r="3731">
          <cell r="A3731"/>
          <cell r="B3731"/>
          <cell r="C3731"/>
          <cell r="D3731"/>
        </row>
        <row r="3732">
          <cell r="A3732"/>
          <cell r="B3732"/>
          <cell r="C3732"/>
          <cell r="D3732"/>
        </row>
        <row r="3733">
          <cell r="A3733"/>
          <cell r="B3733"/>
          <cell r="C3733"/>
          <cell r="D3733"/>
        </row>
        <row r="3734">
          <cell r="A3734"/>
          <cell r="B3734"/>
          <cell r="C3734"/>
          <cell r="D3734"/>
        </row>
        <row r="3735">
          <cell r="A3735"/>
          <cell r="B3735"/>
          <cell r="C3735"/>
          <cell r="D3735"/>
        </row>
        <row r="3736">
          <cell r="A3736"/>
          <cell r="B3736"/>
          <cell r="C3736"/>
          <cell r="D3736"/>
        </row>
        <row r="3737">
          <cell r="A3737"/>
          <cell r="B3737"/>
          <cell r="C3737"/>
          <cell r="D3737"/>
        </row>
        <row r="3738">
          <cell r="A3738"/>
          <cell r="B3738"/>
          <cell r="C3738"/>
          <cell r="D3738"/>
        </row>
        <row r="3739">
          <cell r="A3739"/>
          <cell r="B3739"/>
          <cell r="C3739"/>
          <cell r="D3739"/>
        </row>
        <row r="3740">
          <cell r="A3740"/>
          <cell r="B3740"/>
          <cell r="C3740"/>
          <cell r="D3740"/>
        </row>
        <row r="3741">
          <cell r="A3741"/>
          <cell r="B3741"/>
          <cell r="C3741"/>
          <cell r="D3741"/>
        </row>
        <row r="3742">
          <cell r="A3742"/>
          <cell r="B3742"/>
          <cell r="C3742"/>
          <cell r="D3742"/>
        </row>
        <row r="3743">
          <cell r="A3743"/>
          <cell r="B3743"/>
          <cell r="C3743"/>
          <cell r="D3743"/>
        </row>
        <row r="3744">
          <cell r="A3744"/>
          <cell r="B3744"/>
          <cell r="C3744"/>
          <cell r="D3744"/>
        </row>
        <row r="3745">
          <cell r="A3745"/>
          <cell r="B3745"/>
          <cell r="C3745"/>
          <cell r="D3745"/>
        </row>
        <row r="3746">
          <cell r="A3746"/>
          <cell r="B3746"/>
          <cell r="C3746"/>
          <cell r="D3746"/>
        </row>
        <row r="3747">
          <cell r="A3747"/>
          <cell r="B3747"/>
          <cell r="C3747"/>
          <cell r="D3747"/>
        </row>
        <row r="3748">
          <cell r="A3748"/>
          <cell r="B3748"/>
          <cell r="C3748"/>
          <cell r="D3748"/>
        </row>
        <row r="3749">
          <cell r="A3749"/>
          <cell r="B3749"/>
          <cell r="C3749"/>
          <cell r="D3749"/>
        </row>
        <row r="3750">
          <cell r="A3750"/>
          <cell r="B3750"/>
          <cell r="C3750"/>
          <cell r="D3750"/>
        </row>
        <row r="3751">
          <cell r="A3751"/>
          <cell r="B3751"/>
          <cell r="C3751"/>
          <cell r="D3751"/>
        </row>
        <row r="3752">
          <cell r="A3752"/>
          <cell r="B3752"/>
          <cell r="C3752"/>
          <cell r="D3752"/>
        </row>
        <row r="3753">
          <cell r="A3753"/>
          <cell r="B3753"/>
          <cell r="C3753"/>
          <cell r="D3753"/>
        </row>
        <row r="3754">
          <cell r="A3754"/>
          <cell r="B3754"/>
          <cell r="C3754"/>
          <cell r="D3754"/>
        </row>
        <row r="3755">
          <cell r="A3755"/>
          <cell r="B3755"/>
          <cell r="C3755"/>
          <cell r="D3755"/>
        </row>
        <row r="3756">
          <cell r="A3756"/>
          <cell r="B3756"/>
          <cell r="C3756"/>
          <cell r="D3756"/>
        </row>
        <row r="3757">
          <cell r="A3757"/>
          <cell r="B3757"/>
          <cell r="C3757"/>
          <cell r="D3757"/>
        </row>
        <row r="3758">
          <cell r="A3758"/>
          <cell r="B3758"/>
          <cell r="C3758"/>
          <cell r="D3758"/>
        </row>
        <row r="3759">
          <cell r="A3759"/>
          <cell r="B3759"/>
          <cell r="C3759"/>
          <cell r="D3759"/>
        </row>
        <row r="3760">
          <cell r="A3760"/>
          <cell r="B3760"/>
          <cell r="C3760"/>
          <cell r="D3760"/>
        </row>
        <row r="3761">
          <cell r="A3761"/>
          <cell r="B3761"/>
          <cell r="C3761"/>
          <cell r="D3761"/>
        </row>
        <row r="3762">
          <cell r="A3762"/>
          <cell r="B3762"/>
          <cell r="C3762"/>
          <cell r="D3762"/>
        </row>
        <row r="3763">
          <cell r="A3763"/>
          <cell r="B3763"/>
          <cell r="C3763"/>
          <cell r="D3763"/>
        </row>
        <row r="3764">
          <cell r="A3764"/>
          <cell r="B3764"/>
          <cell r="C3764"/>
          <cell r="D3764"/>
        </row>
        <row r="3765">
          <cell r="A3765"/>
          <cell r="B3765"/>
          <cell r="C3765"/>
          <cell r="D3765"/>
        </row>
        <row r="3766">
          <cell r="A3766"/>
          <cell r="B3766"/>
          <cell r="C3766"/>
          <cell r="D3766"/>
        </row>
        <row r="3767">
          <cell r="A3767"/>
          <cell r="B3767"/>
          <cell r="C3767"/>
          <cell r="D3767"/>
        </row>
        <row r="3768">
          <cell r="A3768"/>
          <cell r="B3768"/>
          <cell r="C3768"/>
          <cell r="D3768"/>
        </row>
        <row r="3769">
          <cell r="A3769"/>
          <cell r="B3769"/>
          <cell r="C3769"/>
          <cell r="D3769"/>
        </row>
        <row r="3770">
          <cell r="A3770"/>
          <cell r="B3770"/>
          <cell r="C3770"/>
          <cell r="D3770"/>
        </row>
        <row r="3771">
          <cell r="A3771"/>
          <cell r="B3771"/>
          <cell r="C3771"/>
          <cell r="D3771"/>
        </row>
        <row r="3772">
          <cell r="A3772"/>
          <cell r="B3772"/>
          <cell r="C3772"/>
          <cell r="D3772"/>
        </row>
        <row r="3773">
          <cell r="A3773"/>
          <cell r="B3773"/>
          <cell r="C3773"/>
          <cell r="D3773"/>
        </row>
        <row r="3774">
          <cell r="A3774"/>
          <cell r="B3774"/>
          <cell r="C3774"/>
          <cell r="D3774"/>
        </row>
        <row r="3775">
          <cell r="A3775"/>
          <cell r="B3775"/>
          <cell r="C3775"/>
          <cell r="D3775"/>
        </row>
        <row r="3776">
          <cell r="A3776"/>
          <cell r="B3776"/>
          <cell r="C3776"/>
          <cell r="D3776"/>
        </row>
        <row r="3777">
          <cell r="A3777"/>
          <cell r="B3777"/>
          <cell r="C3777"/>
          <cell r="D3777"/>
        </row>
        <row r="3778">
          <cell r="A3778"/>
          <cell r="B3778"/>
          <cell r="C3778"/>
          <cell r="D3778"/>
        </row>
        <row r="3779">
          <cell r="A3779"/>
          <cell r="B3779"/>
          <cell r="C3779"/>
          <cell r="D3779"/>
        </row>
        <row r="3780">
          <cell r="A3780"/>
          <cell r="B3780"/>
          <cell r="C3780"/>
          <cell r="D3780"/>
        </row>
        <row r="3781">
          <cell r="A3781"/>
          <cell r="B3781"/>
          <cell r="C3781"/>
          <cell r="D3781"/>
        </row>
        <row r="3782">
          <cell r="A3782"/>
          <cell r="B3782"/>
          <cell r="C3782"/>
          <cell r="D3782"/>
        </row>
        <row r="3783">
          <cell r="A3783"/>
          <cell r="B3783"/>
          <cell r="C3783"/>
          <cell r="D3783"/>
        </row>
        <row r="3784">
          <cell r="A3784"/>
          <cell r="B3784"/>
          <cell r="C3784"/>
          <cell r="D3784"/>
        </row>
        <row r="3785">
          <cell r="A3785"/>
          <cell r="B3785"/>
          <cell r="C3785"/>
          <cell r="D3785"/>
        </row>
        <row r="3786">
          <cell r="A3786"/>
          <cell r="B3786"/>
          <cell r="C3786"/>
          <cell r="D3786"/>
        </row>
        <row r="3787">
          <cell r="A3787"/>
          <cell r="B3787"/>
          <cell r="C3787"/>
          <cell r="D3787"/>
        </row>
        <row r="3788">
          <cell r="A3788"/>
          <cell r="B3788"/>
          <cell r="C3788"/>
          <cell r="D3788"/>
        </row>
        <row r="3789">
          <cell r="A3789"/>
          <cell r="B3789"/>
          <cell r="C3789"/>
          <cell r="D3789"/>
        </row>
        <row r="3790">
          <cell r="A3790"/>
          <cell r="B3790"/>
          <cell r="C3790"/>
          <cell r="D3790"/>
        </row>
        <row r="3791">
          <cell r="A3791"/>
          <cell r="B3791"/>
          <cell r="C3791"/>
          <cell r="D3791"/>
        </row>
        <row r="3792">
          <cell r="A3792"/>
          <cell r="B3792"/>
          <cell r="C3792"/>
          <cell r="D3792"/>
        </row>
        <row r="3793">
          <cell r="A3793"/>
          <cell r="B3793"/>
          <cell r="C3793"/>
          <cell r="D3793"/>
        </row>
        <row r="3794">
          <cell r="A3794"/>
          <cell r="B3794"/>
          <cell r="C3794"/>
          <cell r="D3794"/>
        </row>
        <row r="3795">
          <cell r="A3795"/>
          <cell r="B3795"/>
          <cell r="C3795"/>
          <cell r="D3795"/>
        </row>
        <row r="3796">
          <cell r="A3796"/>
          <cell r="B3796"/>
          <cell r="C3796"/>
          <cell r="D3796"/>
        </row>
        <row r="3797">
          <cell r="A3797"/>
          <cell r="B3797"/>
          <cell r="C3797"/>
          <cell r="D3797"/>
        </row>
        <row r="3798">
          <cell r="A3798"/>
          <cell r="B3798"/>
          <cell r="C3798"/>
          <cell r="D3798"/>
        </row>
        <row r="3799">
          <cell r="A3799"/>
          <cell r="B3799"/>
          <cell r="C3799"/>
          <cell r="D3799"/>
        </row>
        <row r="3800">
          <cell r="A3800"/>
          <cell r="B3800"/>
          <cell r="C3800"/>
          <cell r="D3800"/>
        </row>
        <row r="3801">
          <cell r="A3801"/>
          <cell r="B3801"/>
          <cell r="C3801"/>
          <cell r="D3801"/>
        </row>
        <row r="3802">
          <cell r="A3802"/>
          <cell r="B3802"/>
          <cell r="C3802"/>
          <cell r="D3802"/>
        </row>
        <row r="3803">
          <cell r="A3803"/>
          <cell r="B3803"/>
          <cell r="C3803"/>
          <cell r="D3803"/>
        </row>
        <row r="3804">
          <cell r="A3804"/>
          <cell r="B3804"/>
          <cell r="C3804"/>
          <cell r="D3804"/>
        </row>
        <row r="3805">
          <cell r="A3805"/>
          <cell r="B3805"/>
          <cell r="C3805"/>
          <cell r="D3805"/>
        </row>
        <row r="3806">
          <cell r="A3806"/>
          <cell r="B3806"/>
          <cell r="C3806"/>
          <cell r="D3806"/>
        </row>
        <row r="3807">
          <cell r="A3807"/>
          <cell r="B3807"/>
          <cell r="C3807"/>
          <cell r="D3807"/>
        </row>
        <row r="3808">
          <cell r="A3808"/>
          <cell r="B3808"/>
          <cell r="C3808"/>
          <cell r="D3808"/>
        </row>
        <row r="3809">
          <cell r="A3809"/>
          <cell r="B3809"/>
          <cell r="C3809"/>
          <cell r="D3809"/>
        </row>
        <row r="3810">
          <cell r="A3810"/>
          <cell r="B3810"/>
          <cell r="C3810"/>
          <cell r="D3810"/>
        </row>
        <row r="3811">
          <cell r="A3811"/>
          <cell r="B3811"/>
          <cell r="C3811"/>
          <cell r="D3811"/>
        </row>
        <row r="3812">
          <cell r="A3812"/>
          <cell r="B3812"/>
          <cell r="C3812"/>
          <cell r="D3812"/>
        </row>
        <row r="3813">
          <cell r="A3813"/>
          <cell r="B3813"/>
          <cell r="C3813"/>
          <cell r="D3813"/>
        </row>
        <row r="3814">
          <cell r="A3814"/>
          <cell r="B3814"/>
          <cell r="C3814"/>
          <cell r="D3814"/>
        </row>
        <row r="3815">
          <cell r="A3815"/>
          <cell r="B3815"/>
          <cell r="C3815"/>
          <cell r="D3815"/>
        </row>
        <row r="3816">
          <cell r="A3816"/>
          <cell r="B3816"/>
          <cell r="C3816"/>
          <cell r="D3816"/>
        </row>
        <row r="3817">
          <cell r="A3817"/>
          <cell r="B3817"/>
          <cell r="C3817"/>
          <cell r="D3817"/>
        </row>
        <row r="3818">
          <cell r="A3818"/>
          <cell r="B3818"/>
          <cell r="C3818"/>
          <cell r="D3818"/>
        </row>
        <row r="3819">
          <cell r="A3819"/>
          <cell r="B3819"/>
          <cell r="C3819"/>
          <cell r="D3819"/>
        </row>
        <row r="3820">
          <cell r="A3820"/>
          <cell r="B3820"/>
          <cell r="C3820"/>
          <cell r="D3820"/>
        </row>
        <row r="3821">
          <cell r="A3821"/>
          <cell r="B3821"/>
          <cell r="C3821"/>
          <cell r="D3821"/>
        </row>
        <row r="3822">
          <cell r="A3822"/>
          <cell r="B3822"/>
          <cell r="C3822"/>
          <cell r="D3822"/>
        </row>
        <row r="3823">
          <cell r="A3823"/>
          <cell r="B3823"/>
          <cell r="C3823"/>
          <cell r="D3823"/>
        </row>
        <row r="3824">
          <cell r="A3824"/>
          <cell r="B3824"/>
          <cell r="C3824"/>
          <cell r="D3824"/>
        </row>
        <row r="3825">
          <cell r="A3825"/>
          <cell r="B3825"/>
          <cell r="C3825"/>
          <cell r="D3825"/>
        </row>
        <row r="3826">
          <cell r="A3826"/>
          <cell r="B3826"/>
          <cell r="C3826"/>
          <cell r="D3826"/>
        </row>
        <row r="3827">
          <cell r="A3827"/>
          <cell r="B3827"/>
          <cell r="C3827"/>
          <cell r="D3827"/>
        </row>
        <row r="3828">
          <cell r="A3828"/>
          <cell r="B3828"/>
          <cell r="C3828"/>
          <cell r="D3828"/>
        </row>
        <row r="3829">
          <cell r="A3829"/>
          <cell r="B3829"/>
          <cell r="C3829"/>
          <cell r="D3829"/>
        </row>
        <row r="3830">
          <cell r="A3830"/>
          <cell r="B3830"/>
          <cell r="C3830"/>
          <cell r="D3830"/>
        </row>
        <row r="3831">
          <cell r="A3831"/>
          <cell r="B3831"/>
          <cell r="C3831"/>
          <cell r="D3831"/>
        </row>
        <row r="3832">
          <cell r="A3832"/>
          <cell r="B3832"/>
          <cell r="C3832"/>
          <cell r="D3832"/>
        </row>
        <row r="3833">
          <cell r="A3833"/>
          <cell r="B3833"/>
          <cell r="C3833"/>
          <cell r="D3833"/>
        </row>
        <row r="3834">
          <cell r="A3834"/>
          <cell r="B3834"/>
          <cell r="C3834"/>
          <cell r="D3834"/>
        </row>
        <row r="3835">
          <cell r="A3835"/>
          <cell r="B3835"/>
          <cell r="C3835"/>
          <cell r="D3835"/>
        </row>
        <row r="3836">
          <cell r="A3836"/>
          <cell r="B3836"/>
          <cell r="C3836"/>
          <cell r="D3836"/>
        </row>
        <row r="3837">
          <cell r="A3837"/>
          <cell r="B3837"/>
          <cell r="C3837"/>
          <cell r="D3837"/>
        </row>
        <row r="3838">
          <cell r="A3838"/>
          <cell r="B3838"/>
          <cell r="C3838"/>
          <cell r="D3838"/>
        </row>
        <row r="3839">
          <cell r="A3839"/>
          <cell r="B3839"/>
          <cell r="C3839"/>
          <cell r="D3839"/>
        </row>
        <row r="3840">
          <cell r="A3840"/>
          <cell r="B3840"/>
          <cell r="C3840"/>
          <cell r="D3840"/>
        </row>
        <row r="3841">
          <cell r="A3841"/>
          <cell r="B3841"/>
          <cell r="C3841"/>
          <cell r="D3841"/>
        </row>
        <row r="3842">
          <cell r="A3842"/>
          <cell r="B3842"/>
          <cell r="C3842"/>
          <cell r="D3842"/>
        </row>
        <row r="3843">
          <cell r="A3843"/>
          <cell r="B3843"/>
          <cell r="C3843"/>
          <cell r="D3843"/>
        </row>
        <row r="3844">
          <cell r="A3844"/>
          <cell r="B3844"/>
          <cell r="C3844"/>
          <cell r="D3844"/>
        </row>
        <row r="3845">
          <cell r="A3845"/>
          <cell r="B3845"/>
          <cell r="C3845"/>
          <cell r="D3845"/>
        </row>
        <row r="3846">
          <cell r="A3846"/>
          <cell r="B3846"/>
          <cell r="C3846"/>
          <cell r="D3846"/>
        </row>
        <row r="3847">
          <cell r="A3847"/>
          <cell r="B3847"/>
          <cell r="C3847"/>
          <cell r="D3847"/>
        </row>
        <row r="3848">
          <cell r="A3848"/>
          <cell r="B3848"/>
          <cell r="C3848"/>
          <cell r="D3848"/>
        </row>
        <row r="3849">
          <cell r="A3849"/>
          <cell r="B3849"/>
          <cell r="C3849"/>
          <cell r="D3849"/>
        </row>
        <row r="3850">
          <cell r="A3850"/>
          <cell r="B3850"/>
          <cell r="C3850"/>
          <cell r="D3850"/>
        </row>
        <row r="3851">
          <cell r="A3851"/>
          <cell r="B3851"/>
          <cell r="C3851"/>
          <cell r="D3851"/>
        </row>
        <row r="3852">
          <cell r="A3852"/>
          <cell r="B3852"/>
          <cell r="C3852"/>
          <cell r="D3852"/>
        </row>
        <row r="3853">
          <cell r="A3853"/>
          <cell r="B3853"/>
          <cell r="C3853"/>
          <cell r="D3853"/>
        </row>
        <row r="3854">
          <cell r="A3854"/>
          <cell r="B3854"/>
          <cell r="C3854"/>
          <cell r="D3854"/>
        </row>
        <row r="3855">
          <cell r="A3855"/>
          <cell r="B3855"/>
          <cell r="C3855"/>
          <cell r="D3855"/>
        </row>
        <row r="3856">
          <cell r="A3856"/>
          <cell r="B3856"/>
          <cell r="C3856"/>
          <cell r="D3856"/>
        </row>
        <row r="3857">
          <cell r="A3857"/>
          <cell r="B3857"/>
          <cell r="C3857"/>
          <cell r="D3857"/>
        </row>
        <row r="3858">
          <cell r="A3858"/>
          <cell r="B3858"/>
          <cell r="C3858"/>
          <cell r="D3858"/>
        </row>
        <row r="3859">
          <cell r="A3859"/>
          <cell r="B3859"/>
          <cell r="C3859"/>
          <cell r="D3859"/>
        </row>
        <row r="3860">
          <cell r="A3860"/>
          <cell r="B3860"/>
          <cell r="C3860"/>
          <cell r="D3860"/>
        </row>
        <row r="3861">
          <cell r="A3861"/>
          <cell r="B3861"/>
          <cell r="C3861"/>
          <cell r="D3861"/>
        </row>
        <row r="3862">
          <cell r="A3862"/>
          <cell r="B3862"/>
          <cell r="C3862"/>
          <cell r="D3862"/>
        </row>
        <row r="3863">
          <cell r="A3863"/>
          <cell r="B3863"/>
          <cell r="C3863"/>
          <cell r="D3863"/>
        </row>
        <row r="3864">
          <cell r="A3864"/>
          <cell r="B3864"/>
          <cell r="C3864"/>
          <cell r="D3864"/>
        </row>
        <row r="3865">
          <cell r="A3865"/>
          <cell r="B3865"/>
          <cell r="C3865"/>
          <cell r="D3865"/>
        </row>
        <row r="3866">
          <cell r="A3866"/>
          <cell r="B3866"/>
          <cell r="C3866"/>
          <cell r="D3866"/>
        </row>
        <row r="3867">
          <cell r="A3867"/>
          <cell r="B3867"/>
          <cell r="C3867"/>
          <cell r="D3867"/>
        </row>
        <row r="3868">
          <cell r="A3868"/>
          <cell r="B3868"/>
          <cell r="C3868"/>
          <cell r="D3868"/>
        </row>
        <row r="3869">
          <cell r="A3869"/>
          <cell r="B3869"/>
          <cell r="C3869"/>
          <cell r="D3869"/>
        </row>
        <row r="3870">
          <cell r="A3870"/>
          <cell r="B3870"/>
          <cell r="C3870"/>
          <cell r="D3870"/>
        </row>
        <row r="3871">
          <cell r="A3871"/>
          <cell r="B3871"/>
          <cell r="C3871"/>
          <cell r="D3871"/>
        </row>
        <row r="3872">
          <cell r="A3872"/>
          <cell r="B3872"/>
          <cell r="C3872"/>
          <cell r="D3872"/>
        </row>
        <row r="3873">
          <cell r="A3873"/>
          <cell r="B3873"/>
          <cell r="C3873"/>
          <cell r="D3873"/>
        </row>
        <row r="3874">
          <cell r="A3874"/>
          <cell r="B3874"/>
          <cell r="C3874"/>
          <cell r="D3874"/>
        </row>
        <row r="3875">
          <cell r="A3875"/>
          <cell r="B3875"/>
          <cell r="C3875"/>
          <cell r="D3875"/>
        </row>
        <row r="3876">
          <cell r="A3876"/>
          <cell r="B3876"/>
          <cell r="C3876"/>
          <cell r="D3876"/>
        </row>
        <row r="3877">
          <cell r="A3877"/>
          <cell r="B3877"/>
          <cell r="C3877"/>
          <cell r="D3877"/>
        </row>
        <row r="3878">
          <cell r="A3878"/>
          <cell r="B3878"/>
          <cell r="C3878"/>
          <cell r="D3878"/>
        </row>
        <row r="3879">
          <cell r="A3879"/>
          <cell r="B3879"/>
          <cell r="C3879"/>
          <cell r="D3879"/>
        </row>
        <row r="3880">
          <cell r="A3880"/>
          <cell r="B3880"/>
          <cell r="C3880"/>
          <cell r="D3880"/>
        </row>
        <row r="3881">
          <cell r="A3881"/>
          <cell r="B3881"/>
          <cell r="C3881"/>
          <cell r="D3881"/>
        </row>
        <row r="3882">
          <cell r="A3882"/>
          <cell r="B3882"/>
          <cell r="C3882"/>
          <cell r="D3882"/>
        </row>
        <row r="3883">
          <cell r="A3883"/>
          <cell r="B3883"/>
          <cell r="C3883"/>
          <cell r="D3883"/>
        </row>
        <row r="3884">
          <cell r="A3884"/>
          <cell r="B3884"/>
          <cell r="C3884"/>
          <cell r="D3884"/>
        </row>
        <row r="3885">
          <cell r="A3885"/>
          <cell r="B3885"/>
          <cell r="C3885"/>
          <cell r="D3885"/>
        </row>
        <row r="3886">
          <cell r="A3886"/>
          <cell r="B3886"/>
          <cell r="C3886"/>
          <cell r="D3886"/>
        </row>
        <row r="3887">
          <cell r="A3887"/>
          <cell r="B3887"/>
          <cell r="C3887"/>
          <cell r="D3887"/>
        </row>
        <row r="3888">
          <cell r="A3888"/>
          <cell r="B3888"/>
          <cell r="C3888"/>
          <cell r="D3888"/>
        </row>
        <row r="3889">
          <cell r="A3889"/>
          <cell r="B3889"/>
          <cell r="C3889"/>
          <cell r="D3889"/>
        </row>
        <row r="3890">
          <cell r="A3890"/>
          <cell r="B3890"/>
          <cell r="C3890"/>
          <cell r="D3890"/>
        </row>
        <row r="3891">
          <cell r="A3891"/>
          <cell r="B3891"/>
          <cell r="C3891"/>
          <cell r="D3891"/>
        </row>
        <row r="3892">
          <cell r="A3892"/>
          <cell r="B3892"/>
          <cell r="C3892"/>
          <cell r="D3892"/>
        </row>
        <row r="3893">
          <cell r="A3893"/>
          <cell r="B3893"/>
          <cell r="C3893"/>
          <cell r="D3893"/>
        </row>
        <row r="3894">
          <cell r="A3894"/>
          <cell r="B3894"/>
          <cell r="C3894"/>
          <cell r="D3894"/>
        </row>
        <row r="3895">
          <cell r="A3895"/>
          <cell r="B3895"/>
          <cell r="C3895"/>
          <cell r="D3895"/>
        </row>
        <row r="3896">
          <cell r="A3896"/>
          <cell r="B3896"/>
          <cell r="C3896"/>
          <cell r="D3896"/>
        </row>
        <row r="3897">
          <cell r="A3897"/>
          <cell r="B3897"/>
          <cell r="C3897"/>
          <cell r="D3897"/>
        </row>
        <row r="3898">
          <cell r="A3898"/>
          <cell r="B3898"/>
          <cell r="C3898"/>
          <cell r="D3898"/>
        </row>
        <row r="3899">
          <cell r="A3899"/>
          <cell r="B3899"/>
          <cell r="C3899"/>
          <cell r="D3899"/>
        </row>
        <row r="3900">
          <cell r="A3900"/>
          <cell r="B3900"/>
          <cell r="C3900"/>
          <cell r="D3900"/>
        </row>
        <row r="3901">
          <cell r="A3901"/>
          <cell r="B3901"/>
          <cell r="C3901"/>
          <cell r="D3901"/>
        </row>
        <row r="3902">
          <cell r="A3902"/>
          <cell r="B3902"/>
          <cell r="C3902"/>
          <cell r="D3902"/>
        </row>
        <row r="3903">
          <cell r="A3903"/>
          <cell r="B3903"/>
          <cell r="C3903"/>
          <cell r="D3903"/>
        </row>
        <row r="3904">
          <cell r="A3904"/>
          <cell r="B3904"/>
          <cell r="C3904"/>
          <cell r="D3904"/>
        </row>
        <row r="3905">
          <cell r="A3905"/>
          <cell r="B3905"/>
          <cell r="C3905"/>
          <cell r="D3905"/>
        </row>
        <row r="3906">
          <cell r="A3906"/>
          <cell r="B3906"/>
          <cell r="C3906"/>
          <cell r="D3906"/>
        </row>
        <row r="3907">
          <cell r="A3907"/>
          <cell r="B3907"/>
          <cell r="C3907"/>
          <cell r="D3907"/>
        </row>
        <row r="3908">
          <cell r="A3908"/>
          <cell r="B3908"/>
          <cell r="C3908"/>
          <cell r="D3908"/>
        </row>
        <row r="3909">
          <cell r="A3909"/>
          <cell r="B3909"/>
          <cell r="C3909"/>
          <cell r="D3909"/>
        </row>
        <row r="3910">
          <cell r="A3910"/>
          <cell r="B3910"/>
          <cell r="C3910"/>
          <cell r="D3910"/>
        </row>
        <row r="3911">
          <cell r="A3911"/>
          <cell r="B3911"/>
          <cell r="C3911"/>
          <cell r="D3911"/>
        </row>
        <row r="3912">
          <cell r="A3912"/>
          <cell r="B3912"/>
          <cell r="C3912"/>
          <cell r="D3912"/>
        </row>
        <row r="3913">
          <cell r="A3913"/>
          <cell r="B3913"/>
          <cell r="C3913"/>
          <cell r="D3913"/>
        </row>
        <row r="3914">
          <cell r="A3914"/>
          <cell r="B3914"/>
          <cell r="C3914"/>
          <cell r="D3914"/>
        </row>
        <row r="3915">
          <cell r="A3915"/>
          <cell r="B3915"/>
          <cell r="C3915"/>
          <cell r="D3915"/>
        </row>
        <row r="3916">
          <cell r="A3916"/>
          <cell r="B3916"/>
          <cell r="C3916"/>
          <cell r="D3916"/>
        </row>
        <row r="3917">
          <cell r="A3917"/>
          <cell r="B3917"/>
          <cell r="C3917"/>
          <cell r="D3917"/>
        </row>
        <row r="3918">
          <cell r="A3918"/>
          <cell r="B3918"/>
          <cell r="C3918"/>
          <cell r="D3918"/>
        </row>
        <row r="3919">
          <cell r="A3919"/>
          <cell r="B3919"/>
          <cell r="C3919"/>
          <cell r="D3919"/>
        </row>
        <row r="3920">
          <cell r="A3920"/>
          <cell r="B3920"/>
          <cell r="C3920"/>
          <cell r="D3920"/>
        </row>
        <row r="3921">
          <cell r="A3921"/>
          <cell r="B3921"/>
          <cell r="C3921"/>
          <cell r="D3921"/>
        </row>
        <row r="3922">
          <cell r="A3922"/>
          <cell r="B3922"/>
          <cell r="C3922"/>
          <cell r="D3922"/>
        </row>
        <row r="3923">
          <cell r="A3923"/>
          <cell r="B3923"/>
          <cell r="C3923"/>
          <cell r="D3923"/>
        </row>
        <row r="3924">
          <cell r="A3924"/>
          <cell r="B3924"/>
          <cell r="C3924"/>
          <cell r="D3924"/>
        </row>
        <row r="3925">
          <cell r="A3925"/>
          <cell r="B3925"/>
          <cell r="C3925"/>
          <cell r="D3925"/>
        </row>
        <row r="3926">
          <cell r="A3926"/>
          <cell r="B3926"/>
          <cell r="C3926"/>
          <cell r="D3926"/>
        </row>
        <row r="3927">
          <cell r="A3927"/>
          <cell r="B3927"/>
          <cell r="C3927"/>
          <cell r="D3927"/>
        </row>
        <row r="3928">
          <cell r="A3928"/>
          <cell r="B3928"/>
          <cell r="C3928"/>
          <cell r="D3928"/>
        </row>
        <row r="3929">
          <cell r="A3929"/>
          <cell r="B3929"/>
          <cell r="C3929"/>
          <cell r="D3929"/>
        </row>
        <row r="3930">
          <cell r="A3930"/>
          <cell r="B3930"/>
          <cell r="C3930"/>
          <cell r="D3930"/>
        </row>
        <row r="3931">
          <cell r="A3931"/>
          <cell r="B3931"/>
          <cell r="C3931"/>
          <cell r="D3931"/>
        </row>
        <row r="3932">
          <cell r="A3932"/>
          <cell r="B3932"/>
          <cell r="C3932"/>
          <cell r="D3932"/>
        </row>
        <row r="3933">
          <cell r="A3933"/>
          <cell r="B3933"/>
          <cell r="C3933"/>
          <cell r="D3933"/>
        </row>
        <row r="3934">
          <cell r="A3934"/>
          <cell r="B3934"/>
          <cell r="C3934"/>
          <cell r="D3934"/>
        </row>
        <row r="3935">
          <cell r="A3935"/>
          <cell r="B3935"/>
          <cell r="C3935"/>
          <cell r="D3935"/>
        </row>
        <row r="3936">
          <cell r="A3936"/>
          <cell r="B3936"/>
          <cell r="C3936"/>
          <cell r="D3936"/>
        </row>
        <row r="3937">
          <cell r="A3937"/>
          <cell r="B3937"/>
          <cell r="C3937"/>
          <cell r="D3937"/>
        </row>
        <row r="3938">
          <cell r="A3938"/>
          <cell r="B3938"/>
          <cell r="C3938"/>
          <cell r="D3938"/>
        </row>
        <row r="3939">
          <cell r="A3939"/>
          <cell r="B3939"/>
          <cell r="C3939"/>
          <cell r="D3939"/>
        </row>
        <row r="3940">
          <cell r="A3940"/>
          <cell r="B3940"/>
          <cell r="C3940"/>
          <cell r="D3940"/>
        </row>
        <row r="3941">
          <cell r="A3941"/>
          <cell r="B3941"/>
          <cell r="C3941"/>
          <cell r="D3941"/>
        </row>
        <row r="3942">
          <cell r="A3942"/>
          <cell r="B3942"/>
          <cell r="C3942"/>
          <cell r="D3942"/>
        </row>
        <row r="3943">
          <cell r="A3943"/>
          <cell r="B3943"/>
          <cell r="C3943"/>
          <cell r="D3943"/>
        </row>
        <row r="3944">
          <cell r="A3944"/>
          <cell r="B3944"/>
          <cell r="C3944"/>
          <cell r="D3944"/>
        </row>
        <row r="3945">
          <cell r="A3945"/>
          <cell r="B3945"/>
          <cell r="C3945"/>
          <cell r="D3945"/>
        </row>
        <row r="3946">
          <cell r="A3946"/>
          <cell r="B3946"/>
          <cell r="C3946"/>
          <cell r="D3946"/>
        </row>
        <row r="3947">
          <cell r="A3947"/>
          <cell r="B3947"/>
          <cell r="C3947"/>
          <cell r="D3947"/>
        </row>
        <row r="3948">
          <cell r="A3948"/>
          <cell r="B3948"/>
          <cell r="C3948"/>
          <cell r="D3948"/>
        </row>
        <row r="3949">
          <cell r="A3949"/>
          <cell r="B3949"/>
          <cell r="C3949"/>
          <cell r="D3949"/>
        </row>
        <row r="3950">
          <cell r="A3950"/>
          <cell r="B3950"/>
          <cell r="C3950"/>
          <cell r="D3950"/>
        </row>
        <row r="3951">
          <cell r="A3951"/>
          <cell r="B3951"/>
          <cell r="C3951"/>
          <cell r="D3951"/>
        </row>
        <row r="3952">
          <cell r="A3952"/>
          <cell r="B3952"/>
          <cell r="C3952"/>
          <cell r="D3952"/>
        </row>
        <row r="3953">
          <cell r="A3953"/>
          <cell r="B3953"/>
          <cell r="C3953"/>
          <cell r="D3953"/>
        </row>
        <row r="3954">
          <cell r="A3954"/>
          <cell r="B3954"/>
          <cell r="C3954"/>
          <cell r="D3954"/>
        </row>
        <row r="3955">
          <cell r="A3955"/>
          <cell r="B3955"/>
          <cell r="C3955"/>
          <cell r="D3955"/>
        </row>
        <row r="3956">
          <cell r="A3956"/>
          <cell r="B3956"/>
          <cell r="C3956"/>
          <cell r="D3956"/>
        </row>
        <row r="3957">
          <cell r="A3957"/>
          <cell r="B3957"/>
          <cell r="C3957"/>
          <cell r="D3957"/>
        </row>
        <row r="3958">
          <cell r="A3958"/>
          <cell r="B3958"/>
          <cell r="C3958"/>
          <cell r="D3958"/>
        </row>
        <row r="3959">
          <cell r="A3959"/>
          <cell r="B3959"/>
          <cell r="C3959"/>
          <cell r="D3959"/>
        </row>
        <row r="3960">
          <cell r="A3960"/>
          <cell r="B3960"/>
          <cell r="C3960"/>
          <cell r="D3960"/>
        </row>
        <row r="3961">
          <cell r="A3961"/>
          <cell r="B3961"/>
          <cell r="C3961"/>
          <cell r="D3961"/>
        </row>
        <row r="3962">
          <cell r="A3962"/>
          <cell r="B3962"/>
          <cell r="C3962"/>
          <cell r="D3962"/>
        </row>
        <row r="3963">
          <cell r="A3963"/>
          <cell r="B3963"/>
          <cell r="C3963"/>
          <cell r="D3963"/>
        </row>
        <row r="3964">
          <cell r="A3964"/>
          <cell r="B3964"/>
          <cell r="C3964"/>
          <cell r="D3964"/>
        </row>
        <row r="3965">
          <cell r="A3965"/>
          <cell r="B3965"/>
          <cell r="C3965"/>
          <cell r="D3965"/>
        </row>
        <row r="3966">
          <cell r="A3966"/>
          <cell r="B3966"/>
          <cell r="C3966"/>
          <cell r="D3966"/>
        </row>
        <row r="3967">
          <cell r="A3967"/>
          <cell r="B3967"/>
          <cell r="C3967"/>
          <cell r="D3967"/>
        </row>
        <row r="3968">
          <cell r="A3968"/>
          <cell r="B3968"/>
          <cell r="C3968"/>
          <cell r="D3968"/>
        </row>
        <row r="3969">
          <cell r="A3969"/>
          <cell r="B3969"/>
          <cell r="C3969"/>
          <cell r="D3969"/>
        </row>
        <row r="3970">
          <cell r="A3970"/>
          <cell r="B3970"/>
          <cell r="C3970"/>
          <cell r="D3970"/>
        </row>
        <row r="3971">
          <cell r="A3971"/>
          <cell r="B3971"/>
          <cell r="C3971"/>
          <cell r="D3971"/>
        </row>
        <row r="3972">
          <cell r="A3972"/>
          <cell r="B3972"/>
          <cell r="C3972"/>
          <cell r="D3972"/>
        </row>
        <row r="3973">
          <cell r="A3973"/>
          <cell r="B3973"/>
          <cell r="C3973"/>
          <cell r="D3973"/>
        </row>
        <row r="3974">
          <cell r="A3974"/>
          <cell r="B3974"/>
          <cell r="C3974"/>
          <cell r="D3974"/>
        </row>
        <row r="3975">
          <cell r="A3975"/>
          <cell r="B3975"/>
          <cell r="C3975"/>
          <cell r="D3975"/>
        </row>
        <row r="3976">
          <cell r="A3976"/>
          <cell r="B3976"/>
          <cell r="C3976"/>
          <cell r="D3976"/>
        </row>
        <row r="3977">
          <cell r="A3977"/>
          <cell r="B3977"/>
          <cell r="C3977"/>
          <cell r="D3977"/>
        </row>
        <row r="3978">
          <cell r="A3978"/>
          <cell r="B3978"/>
          <cell r="C3978"/>
          <cell r="D3978"/>
        </row>
        <row r="3979">
          <cell r="A3979"/>
          <cell r="B3979"/>
          <cell r="C3979"/>
          <cell r="D3979"/>
        </row>
        <row r="3980">
          <cell r="A3980"/>
          <cell r="B3980"/>
          <cell r="C3980"/>
          <cell r="D3980"/>
        </row>
        <row r="3981">
          <cell r="A3981"/>
          <cell r="B3981"/>
          <cell r="C3981"/>
          <cell r="D3981"/>
        </row>
        <row r="3982">
          <cell r="A3982"/>
          <cell r="B3982"/>
          <cell r="C3982"/>
          <cell r="D3982"/>
        </row>
        <row r="3983">
          <cell r="A3983"/>
          <cell r="B3983"/>
          <cell r="C3983"/>
          <cell r="D3983"/>
        </row>
        <row r="3984">
          <cell r="A3984"/>
          <cell r="B3984"/>
          <cell r="C3984"/>
          <cell r="D3984"/>
        </row>
        <row r="3985">
          <cell r="A3985"/>
          <cell r="B3985"/>
          <cell r="C3985"/>
          <cell r="D3985"/>
        </row>
        <row r="3986">
          <cell r="A3986"/>
          <cell r="B3986"/>
          <cell r="C3986"/>
          <cell r="D3986"/>
        </row>
        <row r="3987">
          <cell r="A3987"/>
          <cell r="B3987"/>
          <cell r="C3987"/>
          <cell r="D3987"/>
        </row>
        <row r="3988">
          <cell r="A3988"/>
          <cell r="B3988"/>
          <cell r="C3988"/>
          <cell r="D3988"/>
        </row>
        <row r="3989">
          <cell r="A3989"/>
          <cell r="B3989"/>
          <cell r="C3989"/>
          <cell r="D3989"/>
        </row>
        <row r="3990">
          <cell r="A3990"/>
          <cell r="B3990"/>
          <cell r="C3990"/>
          <cell r="D3990"/>
        </row>
        <row r="3991">
          <cell r="A3991"/>
          <cell r="B3991"/>
          <cell r="C3991"/>
          <cell r="D3991"/>
        </row>
        <row r="3992">
          <cell r="A3992"/>
          <cell r="B3992"/>
          <cell r="C3992"/>
          <cell r="D3992"/>
        </row>
        <row r="3993">
          <cell r="A3993"/>
          <cell r="B3993"/>
          <cell r="C3993"/>
          <cell r="D3993"/>
        </row>
        <row r="3994">
          <cell r="A3994"/>
          <cell r="B3994"/>
          <cell r="C3994"/>
          <cell r="D3994"/>
        </row>
        <row r="3995">
          <cell r="A3995"/>
          <cell r="B3995"/>
          <cell r="C3995"/>
          <cell r="D3995"/>
        </row>
        <row r="3996">
          <cell r="A3996"/>
          <cell r="B3996"/>
          <cell r="C3996"/>
          <cell r="D3996"/>
        </row>
        <row r="3997">
          <cell r="A3997"/>
          <cell r="B3997"/>
          <cell r="C3997"/>
          <cell r="D3997"/>
        </row>
        <row r="3998">
          <cell r="A3998"/>
          <cell r="B3998"/>
          <cell r="C3998"/>
          <cell r="D3998"/>
        </row>
        <row r="3999">
          <cell r="A3999"/>
          <cell r="B3999"/>
          <cell r="C3999"/>
          <cell r="D3999"/>
        </row>
        <row r="4000">
          <cell r="A4000"/>
          <cell r="B4000"/>
          <cell r="C4000"/>
          <cell r="D4000"/>
        </row>
        <row r="4001">
          <cell r="A4001"/>
          <cell r="B4001"/>
          <cell r="C4001"/>
          <cell r="D4001"/>
        </row>
        <row r="4002">
          <cell r="A4002"/>
          <cell r="B4002"/>
          <cell r="C4002"/>
          <cell r="D4002"/>
        </row>
        <row r="4003">
          <cell r="A4003"/>
          <cell r="B4003"/>
          <cell r="C4003"/>
          <cell r="D4003"/>
        </row>
        <row r="4004">
          <cell r="A4004"/>
          <cell r="B4004"/>
          <cell r="C4004"/>
          <cell r="D4004"/>
        </row>
        <row r="4005">
          <cell r="A4005"/>
          <cell r="B4005"/>
          <cell r="C4005"/>
          <cell r="D4005"/>
        </row>
        <row r="4006">
          <cell r="A4006"/>
          <cell r="B4006"/>
          <cell r="C4006"/>
          <cell r="D4006"/>
        </row>
        <row r="4007">
          <cell r="A4007"/>
          <cell r="B4007"/>
          <cell r="C4007"/>
          <cell r="D4007"/>
        </row>
        <row r="4008">
          <cell r="A4008"/>
          <cell r="B4008"/>
          <cell r="C4008"/>
          <cell r="D4008"/>
        </row>
        <row r="4009">
          <cell r="A4009"/>
          <cell r="B4009"/>
          <cell r="C4009"/>
          <cell r="D4009"/>
        </row>
        <row r="4010">
          <cell r="A4010"/>
          <cell r="B4010"/>
          <cell r="C4010"/>
          <cell r="D4010"/>
        </row>
        <row r="4011">
          <cell r="A4011"/>
          <cell r="B4011"/>
          <cell r="C4011"/>
          <cell r="D4011"/>
        </row>
        <row r="4012">
          <cell r="A4012"/>
          <cell r="B4012"/>
          <cell r="C4012"/>
          <cell r="D4012"/>
        </row>
        <row r="4013">
          <cell r="A4013"/>
          <cell r="B4013"/>
          <cell r="C4013"/>
          <cell r="D4013"/>
        </row>
        <row r="4014">
          <cell r="A4014"/>
          <cell r="B4014"/>
          <cell r="C4014"/>
          <cell r="D4014"/>
        </row>
        <row r="4015">
          <cell r="A4015"/>
          <cell r="B4015"/>
          <cell r="C4015"/>
          <cell r="D4015"/>
        </row>
        <row r="4016">
          <cell r="A4016"/>
          <cell r="B4016"/>
          <cell r="C4016"/>
          <cell r="D4016"/>
        </row>
        <row r="4017">
          <cell r="A4017"/>
          <cell r="B4017"/>
          <cell r="C4017"/>
          <cell r="D4017"/>
        </row>
        <row r="4018">
          <cell r="A4018"/>
          <cell r="B4018"/>
          <cell r="C4018"/>
          <cell r="D4018"/>
        </row>
        <row r="4019">
          <cell r="A4019"/>
          <cell r="B4019"/>
          <cell r="C4019"/>
          <cell r="D4019"/>
        </row>
        <row r="4020">
          <cell r="A4020"/>
          <cell r="B4020"/>
          <cell r="C4020"/>
          <cell r="D4020"/>
        </row>
        <row r="4021">
          <cell r="A4021"/>
          <cell r="B4021"/>
          <cell r="C4021"/>
          <cell r="D4021"/>
        </row>
        <row r="4022">
          <cell r="A4022"/>
          <cell r="B4022"/>
          <cell r="C4022"/>
          <cell r="D4022"/>
        </row>
        <row r="4023">
          <cell r="A4023"/>
          <cell r="B4023"/>
          <cell r="C4023"/>
          <cell r="D4023"/>
        </row>
        <row r="4024">
          <cell r="A4024"/>
          <cell r="B4024"/>
          <cell r="C4024"/>
          <cell r="D4024"/>
        </row>
        <row r="4025">
          <cell r="A4025"/>
          <cell r="B4025"/>
          <cell r="C4025"/>
          <cell r="D4025"/>
        </row>
        <row r="4026">
          <cell r="A4026"/>
          <cell r="B4026"/>
          <cell r="C4026"/>
          <cell r="D4026"/>
        </row>
        <row r="4027">
          <cell r="A4027"/>
          <cell r="B4027"/>
          <cell r="C4027"/>
          <cell r="D4027"/>
        </row>
        <row r="4028">
          <cell r="A4028"/>
          <cell r="B4028"/>
          <cell r="C4028"/>
          <cell r="D4028"/>
        </row>
        <row r="4029">
          <cell r="A4029"/>
          <cell r="B4029"/>
          <cell r="C4029"/>
          <cell r="D4029"/>
        </row>
        <row r="4030">
          <cell r="A4030"/>
          <cell r="B4030"/>
          <cell r="C4030"/>
          <cell r="D4030"/>
        </row>
        <row r="4031">
          <cell r="A4031"/>
          <cell r="B4031"/>
          <cell r="C4031"/>
          <cell r="D4031"/>
        </row>
        <row r="4032">
          <cell r="A4032"/>
          <cell r="B4032"/>
          <cell r="C4032"/>
          <cell r="D4032"/>
        </row>
        <row r="4033">
          <cell r="A4033"/>
          <cell r="B4033"/>
          <cell r="C4033"/>
          <cell r="D4033"/>
        </row>
        <row r="4034">
          <cell r="A4034"/>
          <cell r="B4034"/>
          <cell r="C4034"/>
          <cell r="D4034"/>
        </row>
        <row r="4035">
          <cell r="A4035"/>
          <cell r="B4035"/>
          <cell r="C4035"/>
          <cell r="D4035"/>
        </row>
        <row r="4036">
          <cell r="A4036"/>
          <cell r="B4036"/>
          <cell r="C4036"/>
          <cell r="D4036"/>
        </row>
        <row r="4037">
          <cell r="A4037"/>
          <cell r="B4037"/>
          <cell r="C4037"/>
          <cell r="D4037"/>
        </row>
        <row r="4038">
          <cell r="A4038"/>
          <cell r="B4038"/>
          <cell r="C4038"/>
          <cell r="D4038"/>
        </row>
        <row r="4039">
          <cell r="A4039"/>
          <cell r="B4039"/>
          <cell r="C4039"/>
          <cell r="D4039"/>
        </row>
        <row r="4040">
          <cell r="A4040"/>
          <cell r="B4040"/>
          <cell r="C4040"/>
          <cell r="D4040"/>
        </row>
        <row r="4041">
          <cell r="A4041"/>
          <cell r="B4041"/>
          <cell r="C4041"/>
          <cell r="D4041"/>
        </row>
        <row r="4042">
          <cell r="A4042"/>
          <cell r="B4042"/>
          <cell r="C4042"/>
          <cell r="D4042"/>
        </row>
        <row r="4043">
          <cell r="A4043"/>
          <cell r="B4043"/>
          <cell r="C4043"/>
          <cell r="D4043"/>
        </row>
        <row r="4044">
          <cell r="A4044"/>
          <cell r="B4044"/>
          <cell r="C4044"/>
          <cell r="D4044"/>
        </row>
        <row r="4045">
          <cell r="A4045"/>
          <cell r="B4045"/>
          <cell r="C4045"/>
          <cell r="D4045"/>
        </row>
        <row r="4046">
          <cell r="A4046"/>
          <cell r="B4046"/>
          <cell r="C4046"/>
          <cell r="D4046"/>
        </row>
        <row r="4047">
          <cell r="A4047"/>
          <cell r="B4047"/>
          <cell r="C4047"/>
          <cell r="D4047"/>
        </row>
        <row r="4048">
          <cell r="A4048"/>
          <cell r="B4048"/>
          <cell r="C4048"/>
          <cell r="D4048"/>
        </row>
        <row r="4049">
          <cell r="A4049"/>
          <cell r="B4049"/>
          <cell r="C4049"/>
          <cell r="D4049"/>
        </row>
        <row r="4050">
          <cell r="A4050"/>
          <cell r="B4050"/>
          <cell r="C4050"/>
          <cell r="D4050"/>
        </row>
        <row r="4051">
          <cell r="A4051"/>
          <cell r="B4051"/>
          <cell r="C4051"/>
          <cell r="D4051"/>
        </row>
        <row r="4052">
          <cell r="A4052"/>
          <cell r="B4052"/>
          <cell r="C4052"/>
          <cell r="D4052"/>
        </row>
        <row r="4053">
          <cell r="A4053"/>
          <cell r="B4053"/>
          <cell r="C4053"/>
          <cell r="D4053"/>
        </row>
        <row r="4054">
          <cell r="A4054"/>
          <cell r="B4054"/>
          <cell r="C4054"/>
          <cell r="D4054"/>
        </row>
        <row r="4055">
          <cell r="A4055"/>
          <cell r="B4055"/>
          <cell r="C4055"/>
          <cell r="D4055"/>
        </row>
        <row r="4056">
          <cell r="A4056"/>
          <cell r="B4056"/>
          <cell r="C4056"/>
          <cell r="D4056"/>
        </row>
        <row r="4057">
          <cell r="A4057"/>
          <cell r="B4057"/>
          <cell r="C4057"/>
          <cell r="D4057"/>
        </row>
        <row r="4058">
          <cell r="A4058"/>
          <cell r="B4058"/>
          <cell r="C4058"/>
          <cell r="D4058"/>
        </row>
        <row r="4059">
          <cell r="A4059"/>
          <cell r="B4059"/>
          <cell r="C4059"/>
          <cell r="D4059"/>
        </row>
        <row r="4060">
          <cell r="A4060"/>
          <cell r="B4060"/>
          <cell r="C4060"/>
          <cell r="D4060"/>
        </row>
        <row r="4061">
          <cell r="A4061"/>
          <cell r="B4061"/>
          <cell r="C4061"/>
          <cell r="D4061"/>
        </row>
        <row r="4062">
          <cell r="A4062"/>
          <cell r="B4062"/>
          <cell r="C4062"/>
          <cell r="D4062"/>
        </row>
        <row r="4063">
          <cell r="A4063"/>
          <cell r="B4063"/>
          <cell r="C4063"/>
          <cell r="D4063"/>
        </row>
        <row r="4064">
          <cell r="A4064"/>
          <cell r="B4064"/>
          <cell r="C4064"/>
          <cell r="D4064"/>
        </row>
        <row r="4065">
          <cell r="A4065"/>
          <cell r="B4065"/>
          <cell r="C4065"/>
          <cell r="D4065"/>
        </row>
        <row r="4066">
          <cell r="A4066"/>
          <cell r="B4066"/>
          <cell r="C4066"/>
          <cell r="D4066"/>
        </row>
        <row r="4067">
          <cell r="A4067"/>
          <cell r="B4067"/>
          <cell r="C4067"/>
          <cell r="D4067"/>
        </row>
        <row r="4068">
          <cell r="A4068"/>
          <cell r="B4068"/>
          <cell r="C4068"/>
          <cell r="D4068"/>
        </row>
        <row r="4069">
          <cell r="A4069"/>
          <cell r="B4069"/>
          <cell r="C4069"/>
          <cell r="D4069"/>
        </row>
        <row r="4070">
          <cell r="A4070"/>
          <cell r="B4070"/>
          <cell r="C4070"/>
          <cell r="D4070"/>
        </row>
        <row r="4071">
          <cell r="A4071"/>
          <cell r="B4071"/>
          <cell r="C4071"/>
          <cell r="D4071"/>
        </row>
        <row r="4072">
          <cell r="A4072"/>
          <cell r="B4072"/>
          <cell r="C4072"/>
          <cell r="D4072"/>
        </row>
        <row r="4073">
          <cell r="A4073"/>
          <cell r="B4073"/>
          <cell r="C4073"/>
          <cell r="D4073"/>
        </row>
        <row r="4074">
          <cell r="A4074"/>
          <cell r="B4074"/>
          <cell r="C4074"/>
          <cell r="D4074"/>
        </row>
        <row r="4075">
          <cell r="A4075"/>
          <cell r="B4075"/>
          <cell r="C4075"/>
          <cell r="D4075"/>
        </row>
        <row r="4076">
          <cell r="A4076"/>
          <cell r="B4076"/>
          <cell r="C4076"/>
          <cell r="D4076"/>
        </row>
        <row r="4077">
          <cell r="A4077"/>
          <cell r="B4077"/>
          <cell r="C4077"/>
          <cell r="D4077"/>
        </row>
        <row r="4078">
          <cell r="A4078"/>
          <cell r="B4078"/>
          <cell r="C4078"/>
          <cell r="D4078"/>
        </row>
        <row r="4079">
          <cell r="A4079"/>
          <cell r="B4079"/>
          <cell r="C4079"/>
          <cell r="D4079"/>
        </row>
        <row r="4080">
          <cell r="A4080"/>
          <cell r="B4080"/>
          <cell r="C4080"/>
          <cell r="D4080"/>
        </row>
        <row r="4081">
          <cell r="A4081"/>
          <cell r="B4081"/>
          <cell r="C4081"/>
          <cell r="D4081"/>
        </row>
        <row r="4082">
          <cell r="A4082"/>
          <cell r="B4082"/>
          <cell r="C4082"/>
          <cell r="D4082"/>
        </row>
        <row r="4083">
          <cell r="A4083"/>
          <cell r="B4083"/>
          <cell r="C4083"/>
          <cell r="D4083"/>
        </row>
        <row r="4084">
          <cell r="A4084"/>
          <cell r="B4084"/>
          <cell r="C4084"/>
          <cell r="D4084"/>
        </row>
        <row r="4085">
          <cell r="A4085"/>
          <cell r="B4085"/>
          <cell r="C4085"/>
          <cell r="D4085"/>
        </row>
        <row r="4086">
          <cell r="A4086"/>
          <cell r="B4086"/>
          <cell r="C4086"/>
          <cell r="D4086"/>
        </row>
        <row r="4087">
          <cell r="A4087"/>
          <cell r="B4087"/>
          <cell r="C4087"/>
          <cell r="D4087"/>
        </row>
        <row r="4088">
          <cell r="A4088"/>
          <cell r="B4088"/>
          <cell r="C4088"/>
          <cell r="D4088"/>
        </row>
        <row r="4089">
          <cell r="A4089"/>
          <cell r="B4089"/>
          <cell r="C4089"/>
          <cell r="D4089"/>
        </row>
        <row r="4090">
          <cell r="A4090"/>
          <cell r="B4090"/>
          <cell r="C4090"/>
          <cell r="D4090"/>
        </row>
        <row r="4091">
          <cell r="A4091"/>
          <cell r="B4091"/>
          <cell r="C4091"/>
          <cell r="D4091"/>
        </row>
        <row r="4092">
          <cell r="A4092"/>
          <cell r="B4092"/>
          <cell r="C4092"/>
          <cell r="D4092"/>
        </row>
        <row r="4093">
          <cell r="A4093"/>
          <cell r="B4093"/>
          <cell r="C4093"/>
          <cell r="D4093"/>
        </row>
        <row r="4094">
          <cell r="A4094"/>
          <cell r="B4094"/>
          <cell r="C4094"/>
          <cell r="D4094"/>
        </row>
        <row r="4095">
          <cell r="A4095"/>
          <cell r="B4095"/>
          <cell r="C4095"/>
          <cell r="D4095"/>
        </row>
        <row r="4096">
          <cell r="A4096"/>
          <cell r="B4096"/>
          <cell r="C4096"/>
          <cell r="D4096"/>
        </row>
        <row r="4097">
          <cell r="A4097"/>
          <cell r="B4097"/>
          <cell r="C4097"/>
          <cell r="D4097"/>
        </row>
        <row r="4098">
          <cell r="A4098"/>
          <cell r="B4098"/>
          <cell r="C4098"/>
          <cell r="D4098"/>
        </row>
        <row r="4099">
          <cell r="A4099"/>
          <cell r="B4099"/>
          <cell r="C4099"/>
          <cell r="D4099"/>
        </row>
        <row r="4100">
          <cell r="A4100"/>
          <cell r="B4100"/>
          <cell r="C4100"/>
          <cell r="D4100"/>
        </row>
        <row r="4101">
          <cell r="A4101"/>
          <cell r="B4101"/>
          <cell r="C4101"/>
          <cell r="D4101"/>
        </row>
        <row r="4102">
          <cell r="A4102"/>
          <cell r="B4102"/>
          <cell r="C4102"/>
          <cell r="D4102"/>
        </row>
        <row r="4103">
          <cell r="A4103"/>
          <cell r="B4103"/>
          <cell r="C4103"/>
          <cell r="D4103"/>
        </row>
        <row r="4104">
          <cell r="A4104"/>
          <cell r="B4104"/>
          <cell r="C4104"/>
          <cell r="D4104"/>
        </row>
        <row r="4105">
          <cell r="A4105"/>
          <cell r="B4105"/>
          <cell r="C4105"/>
          <cell r="D4105"/>
        </row>
        <row r="4106">
          <cell r="A4106"/>
          <cell r="B4106"/>
          <cell r="C4106"/>
          <cell r="D4106"/>
        </row>
        <row r="4107">
          <cell r="A4107"/>
          <cell r="B4107"/>
          <cell r="C4107"/>
          <cell r="D4107"/>
        </row>
        <row r="4108">
          <cell r="A4108"/>
          <cell r="B4108"/>
          <cell r="C4108"/>
          <cell r="D4108"/>
        </row>
        <row r="4109">
          <cell r="A4109"/>
          <cell r="B4109"/>
          <cell r="C4109"/>
          <cell r="D4109"/>
        </row>
        <row r="4110">
          <cell r="A4110"/>
          <cell r="B4110"/>
          <cell r="C4110"/>
          <cell r="D4110"/>
        </row>
        <row r="4111">
          <cell r="A4111"/>
          <cell r="B4111"/>
          <cell r="C4111"/>
          <cell r="D4111"/>
        </row>
        <row r="4112">
          <cell r="A4112"/>
          <cell r="B4112"/>
          <cell r="C4112"/>
          <cell r="D4112"/>
        </row>
        <row r="4113">
          <cell r="A4113"/>
          <cell r="B4113"/>
          <cell r="C4113"/>
          <cell r="D4113"/>
        </row>
        <row r="4114">
          <cell r="A4114"/>
          <cell r="B4114"/>
          <cell r="C4114"/>
          <cell r="D4114"/>
        </row>
        <row r="4115">
          <cell r="A4115"/>
          <cell r="B4115"/>
          <cell r="C4115"/>
          <cell r="D4115"/>
        </row>
        <row r="4116">
          <cell r="A4116"/>
          <cell r="B4116"/>
          <cell r="C4116"/>
          <cell r="D4116"/>
        </row>
        <row r="4117">
          <cell r="A4117"/>
          <cell r="B4117"/>
          <cell r="C4117"/>
          <cell r="D4117"/>
        </row>
        <row r="4118">
          <cell r="A4118"/>
          <cell r="B4118"/>
          <cell r="C4118"/>
          <cell r="D4118"/>
        </row>
        <row r="4119">
          <cell r="A4119"/>
          <cell r="B4119"/>
          <cell r="C4119"/>
          <cell r="D4119"/>
        </row>
        <row r="4120">
          <cell r="A4120"/>
          <cell r="B4120"/>
          <cell r="C4120"/>
          <cell r="D4120"/>
        </row>
        <row r="4121">
          <cell r="A4121"/>
          <cell r="B4121"/>
          <cell r="C4121"/>
          <cell r="D4121"/>
        </row>
        <row r="4122">
          <cell r="A4122"/>
          <cell r="B4122"/>
          <cell r="C4122"/>
          <cell r="D4122"/>
        </row>
        <row r="4123">
          <cell r="A4123"/>
          <cell r="B4123"/>
          <cell r="C4123"/>
          <cell r="D4123"/>
        </row>
        <row r="4124">
          <cell r="A4124"/>
          <cell r="B4124"/>
          <cell r="C4124"/>
          <cell r="D4124"/>
        </row>
        <row r="4125">
          <cell r="A4125"/>
          <cell r="B4125"/>
          <cell r="C4125"/>
          <cell r="D4125"/>
        </row>
        <row r="4126">
          <cell r="A4126"/>
          <cell r="B4126"/>
          <cell r="C4126"/>
          <cell r="D4126"/>
        </row>
        <row r="4127">
          <cell r="A4127"/>
          <cell r="B4127"/>
          <cell r="C4127"/>
          <cell r="D4127"/>
        </row>
        <row r="4128">
          <cell r="A4128"/>
          <cell r="B4128"/>
          <cell r="C4128"/>
          <cell r="D4128"/>
        </row>
        <row r="4129">
          <cell r="A4129"/>
          <cell r="B4129"/>
          <cell r="C4129"/>
          <cell r="D4129"/>
        </row>
        <row r="4130">
          <cell r="A4130"/>
          <cell r="B4130"/>
          <cell r="C4130"/>
          <cell r="D4130"/>
        </row>
        <row r="4131">
          <cell r="A4131"/>
          <cell r="B4131"/>
          <cell r="C4131"/>
          <cell r="D4131"/>
        </row>
        <row r="4132">
          <cell r="A4132"/>
          <cell r="B4132"/>
          <cell r="C4132"/>
          <cell r="D4132"/>
        </row>
        <row r="4133">
          <cell r="A4133"/>
          <cell r="B4133"/>
          <cell r="C4133"/>
          <cell r="D4133"/>
        </row>
        <row r="4134">
          <cell r="A4134"/>
          <cell r="B4134"/>
          <cell r="C4134"/>
          <cell r="D4134"/>
        </row>
        <row r="4135">
          <cell r="A4135"/>
          <cell r="B4135"/>
          <cell r="C4135"/>
          <cell r="D4135"/>
        </row>
        <row r="4136">
          <cell r="A4136"/>
          <cell r="B4136"/>
          <cell r="C4136"/>
          <cell r="D4136"/>
        </row>
        <row r="4137">
          <cell r="A4137"/>
          <cell r="B4137"/>
          <cell r="C4137"/>
          <cell r="D4137"/>
        </row>
        <row r="4138">
          <cell r="A4138"/>
          <cell r="B4138"/>
          <cell r="C4138"/>
          <cell r="D4138"/>
        </row>
        <row r="4139">
          <cell r="A4139"/>
          <cell r="B4139"/>
          <cell r="C4139"/>
          <cell r="D4139"/>
        </row>
        <row r="4140">
          <cell r="A4140"/>
          <cell r="B4140"/>
          <cell r="C4140"/>
          <cell r="D4140"/>
        </row>
        <row r="4141">
          <cell r="A4141"/>
          <cell r="B4141"/>
          <cell r="C4141"/>
          <cell r="D4141"/>
        </row>
        <row r="4142">
          <cell r="A4142"/>
          <cell r="B4142"/>
          <cell r="C4142"/>
          <cell r="D4142"/>
        </row>
        <row r="4143">
          <cell r="A4143"/>
          <cell r="B4143"/>
          <cell r="C4143"/>
          <cell r="D4143"/>
        </row>
        <row r="4144">
          <cell r="A4144"/>
          <cell r="B4144"/>
          <cell r="C4144"/>
          <cell r="D4144"/>
        </row>
        <row r="4145">
          <cell r="A4145"/>
          <cell r="B4145"/>
          <cell r="C4145"/>
          <cell r="D4145"/>
        </row>
        <row r="4146">
          <cell r="A4146"/>
          <cell r="B4146"/>
          <cell r="C4146"/>
          <cell r="D4146"/>
        </row>
        <row r="4147">
          <cell r="A4147"/>
          <cell r="B4147"/>
          <cell r="C4147"/>
          <cell r="D4147"/>
        </row>
        <row r="4148">
          <cell r="A4148"/>
          <cell r="B4148"/>
          <cell r="C4148"/>
          <cell r="D4148"/>
        </row>
        <row r="4149">
          <cell r="A4149"/>
          <cell r="B4149"/>
          <cell r="C4149"/>
          <cell r="D4149"/>
        </row>
        <row r="4150">
          <cell r="A4150"/>
          <cell r="B4150"/>
          <cell r="C4150"/>
          <cell r="D4150"/>
        </row>
        <row r="4151">
          <cell r="A4151"/>
          <cell r="B4151"/>
          <cell r="C4151"/>
          <cell r="D4151"/>
        </row>
        <row r="4152">
          <cell r="A4152"/>
          <cell r="B4152"/>
          <cell r="C4152"/>
          <cell r="D4152"/>
        </row>
        <row r="4153">
          <cell r="A4153"/>
          <cell r="B4153"/>
          <cell r="C4153"/>
          <cell r="D4153"/>
        </row>
        <row r="4154">
          <cell r="A4154"/>
          <cell r="B4154"/>
          <cell r="C4154"/>
          <cell r="D4154"/>
        </row>
        <row r="4155">
          <cell r="A4155"/>
          <cell r="B4155"/>
          <cell r="C4155"/>
          <cell r="D4155"/>
        </row>
        <row r="4156">
          <cell r="A4156"/>
          <cell r="B4156"/>
          <cell r="C4156"/>
          <cell r="D4156"/>
        </row>
        <row r="4157">
          <cell r="A4157"/>
          <cell r="B4157"/>
          <cell r="C4157"/>
          <cell r="D4157"/>
        </row>
        <row r="4158">
          <cell r="A4158"/>
          <cell r="B4158"/>
          <cell r="C4158"/>
          <cell r="D4158"/>
        </row>
        <row r="4159">
          <cell r="A4159"/>
          <cell r="B4159"/>
          <cell r="C4159"/>
          <cell r="D4159"/>
        </row>
        <row r="4160">
          <cell r="A4160"/>
          <cell r="B4160"/>
          <cell r="C4160"/>
          <cell r="D4160"/>
        </row>
        <row r="4161">
          <cell r="A4161"/>
          <cell r="B4161"/>
          <cell r="C4161"/>
          <cell r="D4161"/>
        </row>
        <row r="4162">
          <cell r="A4162"/>
          <cell r="B4162"/>
          <cell r="C4162"/>
          <cell r="D4162"/>
        </row>
        <row r="4163">
          <cell r="A4163"/>
          <cell r="B4163"/>
          <cell r="C4163"/>
          <cell r="D4163"/>
        </row>
        <row r="4164">
          <cell r="A4164"/>
          <cell r="B4164"/>
          <cell r="C4164"/>
          <cell r="D4164"/>
        </row>
        <row r="4165">
          <cell r="A4165"/>
          <cell r="B4165"/>
          <cell r="C4165"/>
          <cell r="D4165"/>
        </row>
        <row r="4166">
          <cell r="A4166"/>
          <cell r="B4166"/>
          <cell r="C4166"/>
          <cell r="D4166"/>
        </row>
        <row r="4167">
          <cell r="A4167"/>
          <cell r="B4167"/>
          <cell r="C4167"/>
          <cell r="D4167"/>
        </row>
        <row r="4168">
          <cell r="A4168"/>
          <cell r="B4168"/>
          <cell r="C4168"/>
          <cell r="D4168"/>
        </row>
        <row r="4169">
          <cell r="A4169"/>
          <cell r="B4169"/>
          <cell r="C4169"/>
          <cell r="D4169"/>
        </row>
        <row r="4170">
          <cell r="A4170"/>
          <cell r="B4170"/>
          <cell r="C4170"/>
          <cell r="D4170"/>
        </row>
        <row r="4171">
          <cell r="A4171"/>
          <cell r="B4171"/>
          <cell r="C4171"/>
          <cell r="D4171"/>
        </row>
        <row r="4172">
          <cell r="A4172"/>
          <cell r="B4172"/>
          <cell r="C4172"/>
          <cell r="D4172"/>
        </row>
        <row r="4173">
          <cell r="A4173"/>
          <cell r="B4173"/>
          <cell r="C4173"/>
          <cell r="D4173"/>
        </row>
        <row r="4174">
          <cell r="A4174"/>
          <cell r="B4174"/>
          <cell r="C4174"/>
          <cell r="D4174"/>
        </row>
        <row r="4175">
          <cell r="A4175"/>
          <cell r="B4175"/>
          <cell r="C4175"/>
          <cell r="D4175"/>
        </row>
        <row r="4176">
          <cell r="A4176"/>
          <cell r="B4176"/>
          <cell r="C4176"/>
          <cell r="D4176"/>
        </row>
        <row r="4177">
          <cell r="A4177"/>
          <cell r="B4177"/>
          <cell r="C4177"/>
          <cell r="D4177"/>
        </row>
        <row r="4178">
          <cell r="A4178"/>
          <cell r="B4178"/>
          <cell r="C4178"/>
          <cell r="D4178"/>
        </row>
        <row r="4179">
          <cell r="A4179"/>
          <cell r="B4179"/>
          <cell r="C4179"/>
          <cell r="D4179"/>
        </row>
        <row r="4180">
          <cell r="A4180"/>
          <cell r="B4180"/>
          <cell r="C4180"/>
          <cell r="D4180"/>
        </row>
        <row r="4181">
          <cell r="A4181"/>
          <cell r="B4181"/>
          <cell r="C4181"/>
          <cell r="D4181"/>
        </row>
        <row r="4182">
          <cell r="A4182"/>
          <cell r="B4182"/>
          <cell r="C4182"/>
          <cell r="D4182"/>
        </row>
        <row r="4183">
          <cell r="A4183"/>
          <cell r="B4183"/>
          <cell r="C4183"/>
          <cell r="D4183"/>
        </row>
        <row r="4184">
          <cell r="A4184"/>
          <cell r="B4184"/>
          <cell r="C4184"/>
          <cell r="D4184"/>
        </row>
        <row r="4185">
          <cell r="A4185"/>
          <cell r="B4185"/>
          <cell r="C4185"/>
          <cell r="D4185"/>
        </row>
        <row r="4186">
          <cell r="A4186"/>
          <cell r="B4186"/>
          <cell r="C4186"/>
          <cell r="D4186"/>
        </row>
        <row r="4187">
          <cell r="A4187"/>
          <cell r="B4187"/>
          <cell r="C4187"/>
          <cell r="D4187"/>
        </row>
        <row r="4188">
          <cell r="A4188"/>
          <cell r="B4188"/>
          <cell r="C4188"/>
          <cell r="D4188"/>
        </row>
        <row r="4189">
          <cell r="A4189"/>
          <cell r="B4189"/>
          <cell r="C4189"/>
          <cell r="D4189"/>
        </row>
        <row r="4190">
          <cell r="A4190"/>
          <cell r="B4190"/>
          <cell r="C4190"/>
          <cell r="D4190"/>
        </row>
        <row r="4191">
          <cell r="A4191"/>
          <cell r="B4191"/>
          <cell r="C4191"/>
          <cell r="D4191"/>
        </row>
        <row r="4192">
          <cell r="A4192"/>
          <cell r="B4192"/>
          <cell r="C4192"/>
          <cell r="D4192"/>
        </row>
        <row r="4193">
          <cell r="A4193"/>
          <cell r="B4193"/>
          <cell r="C4193"/>
          <cell r="D4193"/>
        </row>
        <row r="4194">
          <cell r="A4194"/>
          <cell r="B4194"/>
          <cell r="C4194"/>
          <cell r="D4194"/>
        </row>
        <row r="4195">
          <cell r="A4195"/>
          <cell r="B4195"/>
          <cell r="C4195"/>
          <cell r="D4195"/>
        </row>
        <row r="4196">
          <cell r="A4196"/>
          <cell r="B4196"/>
          <cell r="C4196"/>
          <cell r="D4196"/>
        </row>
        <row r="4197">
          <cell r="A4197"/>
          <cell r="B4197"/>
          <cell r="C4197"/>
          <cell r="D4197"/>
        </row>
        <row r="4198">
          <cell r="A4198"/>
          <cell r="B4198"/>
          <cell r="C4198"/>
          <cell r="D4198"/>
        </row>
        <row r="4199">
          <cell r="A4199"/>
          <cell r="B4199"/>
          <cell r="C4199"/>
          <cell r="D4199"/>
        </row>
        <row r="4200">
          <cell r="A4200"/>
          <cell r="B4200"/>
          <cell r="C4200"/>
          <cell r="D4200"/>
        </row>
        <row r="4201">
          <cell r="A4201"/>
          <cell r="B4201"/>
          <cell r="C4201"/>
          <cell r="D4201"/>
        </row>
        <row r="4202">
          <cell r="A4202"/>
          <cell r="B4202"/>
          <cell r="C4202"/>
          <cell r="D4202"/>
        </row>
        <row r="4203">
          <cell r="A4203"/>
          <cell r="B4203"/>
          <cell r="C4203"/>
          <cell r="D4203"/>
        </row>
        <row r="4204">
          <cell r="A4204"/>
          <cell r="B4204"/>
          <cell r="C4204"/>
          <cell r="D4204"/>
        </row>
        <row r="4205">
          <cell r="A4205"/>
          <cell r="B4205"/>
          <cell r="C4205"/>
          <cell r="D4205"/>
        </row>
        <row r="4206">
          <cell r="A4206"/>
          <cell r="B4206"/>
          <cell r="C4206"/>
          <cell r="D4206"/>
        </row>
        <row r="4207">
          <cell r="A4207"/>
          <cell r="B4207"/>
          <cell r="C4207"/>
          <cell r="D4207"/>
        </row>
        <row r="4208">
          <cell r="A4208"/>
          <cell r="B4208"/>
          <cell r="C4208"/>
          <cell r="D4208"/>
        </row>
        <row r="4209">
          <cell r="A4209"/>
          <cell r="B4209"/>
          <cell r="C4209"/>
          <cell r="D4209"/>
        </row>
        <row r="4210">
          <cell r="A4210"/>
          <cell r="B4210"/>
          <cell r="C4210"/>
          <cell r="D4210"/>
        </row>
        <row r="4211">
          <cell r="A4211"/>
          <cell r="B4211"/>
          <cell r="C4211"/>
          <cell r="D4211"/>
        </row>
        <row r="4212">
          <cell r="A4212"/>
          <cell r="B4212"/>
          <cell r="C4212"/>
          <cell r="D4212"/>
        </row>
        <row r="4213">
          <cell r="A4213"/>
          <cell r="B4213"/>
          <cell r="C4213"/>
          <cell r="D4213"/>
        </row>
        <row r="4214">
          <cell r="A4214"/>
          <cell r="B4214"/>
          <cell r="C4214"/>
          <cell r="D4214"/>
        </row>
        <row r="4215">
          <cell r="A4215"/>
          <cell r="B4215"/>
          <cell r="C4215"/>
          <cell r="D4215"/>
        </row>
        <row r="4216">
          <cell r="A4216"/>
          <cell r="B4216"/>
          <cell r="C4216"/>
          <cell r="D4216"/>
        </row>
        <row r="4217">
          <cell r="A4217"/>
          <cell r="B4217"/>
          <cell r="C4217"/>
          <cell r="D4217"/>
        </row>
        <row r="4218">
          <cell r="A4218"/>
          <cell r="B4218"/>
          <cell r="C4218"/>
          <cell r="D4218"/>
        </row>
        <row r="4219">
          <cell r="A4219"/>
          <cell r="B4219"/>
          <cell r="C4219"/>
          <cell r="D4219"/>
        </row>
        <row r="4220">
          <cell r="A4220"/>
          <cell r="B4220"/>
          <cell r="C4220"/>
          <cell r="D4220"/>
        </row>
        <row r="4221">
          <cell r="A4221"/>
          <cell r="B4221"/>
          <cell r="C4221"/>
          <cell r="D4221"/>
        </row>
        <row r="4222">
          <cell r="A4222"/>
          <cell r="B4222"/>
          <cell r="C4222"/>
          <cell r="D4222"/>
        </row>
        <row r="4223">
          <cell r="A4223"/>
          <cell r="B4223"/>
          <cell r="C4223"/>
          <cell r="D4223"/>
        </row>
        <row r="4224">
          <cell r="A4224"/>
          <cell r="B4224"/>
          <cell r="C4224"/>
          <cell r="D4224"/>
        </row>
        <row r="4225">
          <cell r="A4225"/>
          <cell r="B4225"/>
          <cell r="C4225"/>
          <cell r="D4225"/>
        </row>
        <row r="4226">
          <cell r="A4226"/>
          <cell r="B4226"/>
          <cell r="C4226"/>
          <cell r="D4226"/>
        </row>
        <row r="4227">
          <cell r="A4227"/>
          <cell r="B4227"/>
          <cell r="C4227"/>
          <cell r="D4227"/>
        </row>
        <row r="4228">
          <cell r="A4228"/>
          <cell r="B4228"/>
          <cell r="C4228"/>
          <cell r="D4228"/>
        </row>
        <row r="4229">
          <cell r="A4229"/>
          <cell r="B4229"/>
          <cell r="C4229"/>
          <cell r="D4229"/>
        </row>
        <row r="4230">
          <cell r="A4230"/>
          <cell r="B4230"/>
          <cell r="C4230"/>
          <cell r="D4230"/>
        </row>
        <row r="4231">
          <cell r="A4231"/>
          <cell r="B4231"/>
          <cell r="C4231"/>
          <cell r="D4231"/>
        </row>
        <row r="4232">
          <cell r="A4232"/>
          <cell r="B4232"/>
          <cell r="C4232"/>
          <cell r="D4232"/>
        </row>
        <row r="4233">
          <cell r="A4233"/>
          <cell r="B4233"/>
          <cell r="C4233"/>
          <cell r="D4233"/>
        </row>
        <row r="4234">
          <cell r="A4234"/>
          <cell r="B4234"/>
          <cell r="C4234"/>
          <cell r="D4234"/>
        </row>
        <row r="4235">
          <cell r="A4235"/>
          <cell r="B4235"/>
          <cell r="C4235"/>
          <cell r="D4235"/>
        </row>
        <row r="4236">
          <cell r="A4236"/>
          <cell r="B4236"/>
          <cell r="C4236"/>
          <cell r="D4236"/>
        </row>
        <row r="4237">
          <cell r="A4237"/>
          <cell r="B4237"/>
          <cell r="C4237"/>
          <cell r="D4237"/>
        </row>
        <row r="4238">
          <cell r="A4238"/>
          <cell r="B4238"/>
          <cell r="C4238"/>
          <cell r="D4238"/>
        </row>
        <row r="4239">
          <cell r="A4239"/>
          <cell r="B4239"/>
          <cell r="C4239"/>
          <cell r="D4239"/>
        </row>
        <row r="4240">
          <cell r="A4240"/>
          <cell r="B4240"/>
          <cell r="C4240"/>
          <cell r="D4240"/>
        </row>
        <row r="4241">
          <cell r="A4241"/>
          <cell r="B4241"/>
          <cell r="C4241"/>
          <cell r="D4241"/>
        </row>
        <row r="4242">
          <cell r="A4242"/>
          <cell r="B4242"/>
          <cell r="C4242"/>
          <cell r="D4242"/>
        </row>
        <row r="4243">
          <cell r="A4243"/>
          <cell r="B4243"/>
          <cell r="C4243"/>
          <cell r="D4243"/>
        </row>
        <row r="4244">
          <cell r="A4244"/>
          <cell r="B4244"/>
          <cell r="C4244"/>
          <cell r="D4244"/>
        </row>
        <row r="4245">
          <cell r="A4245"/>
          <cell r="B4245"/>
          <cell r="C4245"/>
          <cell r="D4245"/>
        </row>
        <row r="4246">
          <cell r="A4246"/>
          <cell r="B4246"/>
          <cell r="C4246"/>
          <cell r="D4246"/>
        </row>
        <row r="4247">
          <cell r="A4247"/>
          <cell r="B4247"/>
          <cell r="C4247"/>
          <cell r="D4247"/>
        </row>
        <row r="4248">
          <cell r="A4248"/>
          <cell r="B4248"/>
          <cell r="C4248"/>
          <cell r="D4248"/>
        </row>
        <row r="4249">
          <cell r="A4249"/>
          <cell r="B4249"/>
          <cell r="C4249"/>
          <cell r="D4249"/>
        </row>
        <row r="4250">
          <cell r="A4250"/>
          <cell r="B4250"/>
          <cell r="C4250"/>
          <cell r="D4250"/>
        </row>
        <row r="4251">
          <cell r="A4251"/>
          <cell r="B4251"/>
          <cell r="C4251"/>
          <cell r="D4251"/>
        </row>
        <row r="4252">
          <cell r="A4252"/>
          <cell r="B4252"/>
          <cell r="C4252"/>
          <cell r="D4252"/>
        </row>
        <row r="4253">
          <cell r="A4253"/>
          <cell r="B4253"/>
          <cell r="C4253"/>
          <cell r="D4253"/>
        </row>
        <row r="4254">
          <cell r="A4254"/>
          <cell r="B4254"/>
          <cell r="C4254"/>
          <cell r="D4254"/>
        </row>
        <row r="4255">
          <cell r="A4255"/>
          <cell r="B4255"/>
          <cell r="C4255"/>
          <cell r="D4255"/>
        </row>
        <row r="4256">
          <cell r="A4256"/>
          <cell r="B4256"/>
          <cell r="C4256"/>
          <cell r="D4256"/>
        </row>
        <row r="4257">
          <cell r="A4257"/>
          <cell r="B4257"/>
          <cell r="C4257"/>
          <cell r="D4257"/>
        </row>
        <row r="4258">
          <cell r="A4258"/>
          <cell r="B4258"/>
          <cell r="C4258"/>
          <cell r="D4258"/>
        </row>
        <row r="4259">
          <cell r="A4259"/>
          <cell r="B4259"/>
          <cell r="C4259"/>
          <cell r="D4259"/>
        </row>
        <row r="4260">
          <cell r="A4260"/>
          <cell r="B4260"/>
          <cell r="C4260"/>
          <cell r="D4260"/>
        </row>
        <row r="4261">
          <cell r="A4261"/>
          <cell r="B4261"/>
          <cell r="C4261"/>
          <cell r="D4261"/>
        </row>
        <row r="4262">
          <cell r="A4262"/>
          <cell r="B4262"/>
          <cell r="C4262"/>
          <cell r="D4262"/>
        </row>
        <row r="4263">
          <cell r="A4263"/>
          <cell r="B4263"/>
          <cell r="C4263"/>
          <cell r="D4263"/>
        </row>
        <row r="4264">
          <cell r="A4264"/>
          <cell r="B4264"/>
          <cell r="C4264"/>
          <cell r="D4264"/>
        </row>
        <row r="4265">
          <cell r="A4265"/>
          <cell r="B4265"/>
          <cell r="C4265"/>
          <cell r="D4265"/>
        </row>
        <row r="4266">
          <cell r="A4266"/>
          <cell r="B4266"/>
          <cell r="C4266"/>
          <cell r="D4266"/>
        </row>
        <row r="4267">
          <cell r="A4267"/>
          <cell r="B4267"/>
          <cell r="C4267"/>
          <cell r="D4267"/>
        </row>
        <row r="4268">
          <cell r="A4268"/>
          <cell r="B4268"/>
          <cell r="C4268"/>
          <cell r="D4268"/>
        </row>
        <row r="4269">
          <cell r="A4269"/>
          <cell r="B4269"/>
          <cell r="C4269"/>
          <cell r="D4269"/>
        </row>
        <row r="4270">
          <cell r="A4270"/>
          <cell r="B4270"/>
          <cell r="C4270"/>
          <cell r="D4270"/>
        </row>
        <row r="4271">
          <cell r="A4271"/>
          <cell r="B4271"/>
          <cell r="C4271"/>
          <cell r="D4271"/>
        </row>
        <row r="4272">
          <cell r="A4272"/>
          <cell r="B4272"/>
          <cell r="C4272"/>
          <cell r="D4272"/>
        </row>
        <row r="4273">
          <cell r="A4273"/>
          <cell r="B4273"/>
          <cell r="C4273"/>
          <cell r="D4273"/>
        </row>
        <row r="4274">
          <cell r="A4274"/>
          <cell r="B4274"/>
          <cell r="C4274"/>
          <cell r="D4274"/>
        </row>
        <row r="4275">
          <cell r="A4275"/>
          <cell r="B4275"/>
          <cell r="C4275"/>
          <cell r="D4275"/>
        </row>
        <row r="4276">
          <cell r="A4276"/>
          <cell r="B4276"/>
          <cell r="C4276"/>
          <cell r="D4276"/>
        </row>
        <row r="4277">
          <cell r="A4277"/>
          <cell r="B4277"/>
          <cell r="C4277"/>
          <cell r="D4277"/>
        </row>
        <row r="4278">
          <cell r="A4278"/>
          <cell r="B4278"/>
          <cell r="C4278"/>
          <cell r="D4278"/>
        </row>
        <row r="4279">
          <cell r="A4279"/>
          <cell r="B4279"/>
          <cell r="C4279"/>
          <cell r="D4279"/>
        </row>
        <row r="4280">
          <cell r="A4280"/>
          <cell r="B4280"/>
          <cell r="C4280"/>
          <cell r="D4280"/>
        </row>
        <row r="4281">
          <cell r="A4281"/>
          <cell r="B4281"/>
          <cell r="C4281"/>
          <cell r="D4281"/>
        </row>
        <row r="4282">
          <cell r="A4282"/>
          <cell r="B4282"/>
          <cell r="C4282"/>
          <cell r="D4282"/>
        </row>
        <row r="4283">
          <cell r="A4283"/>
          <cell r="B4283"/>
          <cell r="C4283"/>
          <cell r="D4283"/>
        </row>
        <row r="4284">
          <cell r="A4284"/>
          <cell r="B4284"/>
          <cell r="C4284"/>
          <cell r="D4284"/>
        </row>
        <row r="4285">
          <cell r="A4285"/>
          <cell r="B4285"/>
          <cell r="C4285"/>
          <cell r="D4285"/>
        </row>
        <row r="4286">
          <cell r="A4286"/>
          <cell r="B4286"/>
          <cell r="C4286"/>
          <cell r="D4286"/>
        </row>
        <row r="4287">
          <cell r="A4287"/>
          <cell r="B4287"/>
          <cell r="C4287"/>
          <cell r="D4287"/>
        </row>
        <row r="4288">
          <cell r="A4288"/>
          <cell r="B4288"/>
          <cell r="C4288"/>
          <cell r="D4288"/>
        </row>
        <row r="4289">
          <cell r="A4289"/>
          <cell r="B4289"/>
          <cell r="C4289"/>
          <cell r="D4289"/>
        </row>
        <row r="4290">
          <cell r="A4290"/>
          <cell r="B4290"/>
          <cell r="C4290"/>
          <cell r="D4290"/>
        </row>
        <row r="4291">
          <cell r="A4291"/>
          <cell r="B4291"/>
          <cell r="C4291"/>
          <cell r="D4291"/>
        </row>
        <row r="4292">
          <cell r="A4292"/>
          <cell r="B4292"/>
          <cell r="C4292"/>
          <cell r="D4292"/>
        </row>
        <row r="4293">
          <cell r="A4293"/>
          <cell r="B4293"/>
          <cell r="C4293"/>
          <cell r="D4293"/>
        </row>
        <row r="4294">
          <cell r="A4294"/>
          <cell r="B4294"/>
          <cell r="C4294"/>
          <cell r="D4294"/>
        </row>
        <row r="4295">
          <cell r="A4295"/>
          <cell r="B4295"/>
          <cell r="C4295"/>
          <cell r="D4295"/>
        </row>
        <row r="4296">
          <cell r="A4296"/>
          <cell r="B4296"/>
          <cell r="C4296"/>
          <cell r="D4296"/>
        </row>
        <row r="4297">
          <cell r="A4297"/>
          <cell r="B4297"/>
          <cell r="C4297"/>
          <cell r="D4297"/>
        </row>
        <row r="4298">
          <cell r="A4298"/>
          <cell r="B4298"/>
          <cell r="C4298"/>
          <cell r="D4298"/>
        </row>
        <row r="4299">
          <cell r="A4299"/>
          <cell r="B4299"/>
          <cell r="C4299"/>
          <cell r="D4299"/>
        </row>
        <row r="4300">
          <cell r="A4300"/>
          <cell r="B4300"/>
          <cell r="C4300"/>
          <cell r="D4300"/>
        </row>
        <row r="4301">
          <cell r="A4301"/>
          <cell r="B4301"/>
          <cell r="C4301"/>
          <cell r="D4301"/>
        </row>
        <row r="4302">
          <cell r="A4302"/>
          <cell r="B4302"/>
          <cell r="C4302"/>
          <cell r="D4302"/>
        </row>
        <row r="4303">
          <cell r="A4303"/>
          <cell r="B4303"/>
          <cell r="C4303"/>
          <cell r="D4303"/>
        </row>
        <row r="4304">
          <cell r="A4304"/>
          <cell r="B4304"/>
          <cell r="C4304"/>
          <cell r="D4304"/>
        </row>
        <row r="4305">
          <cell r="A4305"/>
          <cell r="B4305"/>
          <cell r="C4305"/>
          <cell r="D4305"/>
        </row>
        <row r="4306">
          <cell r="A4306"/>
          <cell r="B4306"/>
          <cell r="C4306"/>
          <cell r="D4306"/>
        </row>
        <row r="4307">
          <cell r="A4307"/>
          <cell r="B4307"/>
          <cell r="C4307"/>
          <cell r="D4307"/>
        </row>
        <row r="4308">
          <cell r="A4308"/>
          <cell r="B4308"/>
          <cell r="C4308"/>
          <cell r="D4308"/>
        </row>
        <row r="4309">
          <cell r="A4309"/>
          <cell r="B4309"/>
          <cell r="C4309"/>
          <cell r="D4309"/>
        </row>
        <row r="4310">
          <cell r="A4310"/>
          <cell r="B4310"/>
          <cell r="C4310"/>
          <cell r="D4310"/>
        </row>
        <row r="4311">
          <cell r="A4311"/>
          <cell r="B4311"/>
          <cell r="C4311"/>
          <cell r="D4311"/>
        </row>
        <row r="4312">
          <cell r="A4312"/>
          <cell r="B4312"/>
          <cell r="C4312"/>
          <cell r="D4312"/>
        </row>
        <row r="4313">
          <cell r="A4313"/>
          <cell r="B4313"/>
          <cell r="C4313"/>
          <cell r="D4313"/>
        </row>
        <row r="4314">
          <cell r="A4314"/>
          <cell r="B4314"/>
          <cell r="C4314"/>
          <cell r="D4314"/>
        </row>
        <row r="4315">
          <cell r="A4315"/>
          <cell r="B4315"/>
          <cell r="C4315"/>
          <cell r="D4315"/>
        </row>
        <row r="4316">
          <cell r="A4316"/>
          <cell r="B4316"/>
          <cell r="C4316"/>
          <cell r="D4316"/>
        </row>
        <row r="4317">
          <cell r="A4317"/>
          <cell r="B4317"/>
          <cell r="C4317"/>
          <cell r="D4317"/>
        </row>
        <row r="4318">
          <cell r="A4318"/>
          <cell r="B4318"/>
          <cell r="C4318"/>
          <cell r="D4318"/>
        </row>
        <row r="4319">
          <cell r="A4319"/>
          <cell r="B4319"/>
          <cell r="C4319"/>
          <cell r="D4319"/>
        </row>
        <row r="4320">
          <cell r="A4320"/>
          <cell r="B4320"/>
          <cell r="C4320"/>
          <cell r="D4320"/>
        </row>
        <row r="4321">
          <cell r="A4321"/>
          <cell r="B4321"/>
          <cell r="C4321"/>
          <cell r="D4321"/>
        </row>
        <row r="4322">
          <cell r="A4322"/>
          <cell r="B4322"/>
          <cell r="C4322"/>
          <cell r="D4322"/>
        </row>
        <row r="4323">
          <cell r="A4323"/>
          <cell r="B4323"/>
          <cell r="C4323"/>
          <cell r="D4323"/>
        </row>
        <row r="4324">
          <cell r="A4324"/>
          <cell r="B4324"/>
          <cell r="C4324"/>
          <cell r="D4324"/>
        </row>
        <row r="4325">
          <cell r="A4325"/>
          <cell r="B4325"/>
          <cell r="C4325"/>
          <cell r="D4325"/>
        </row>
        <row r="4326">
          <cell r="A4326"/>
          <cell r="B4326"/>
          <cell r="C4326"/>
          <cell r="D4326"/>
        </row>
        <row r="4327">
          <cell r="A4327"/>
          <cell r="B4327"/>
          <cell r="C4327"/>
          <cell r="D4327"/>
        </row>
        <row r="4328">
          <cell r="A4328"/>
          <cell r="B4328"/>
          <cell r="C4328"/>
          <cell r="D4328"/>
        </row>
        <row r="4329">
          <cell r="A4329"/>
          <cell r="B4329"/>
          <cell r="C4329"/>
          <cell r="D4329"/>
        </row>
        <row r="4330">
          <cell r="A4330"/>
          <cell r="B4330"/>
          <cell r="C4330"/>
          <cell r="D4330"/>
        </row>
        <row r="4331">
          <cell r="A4331"/>
          <cell r="B4331"/>
          <cell r="C4331"/>
          <cell r="D4331"/>
        </row>
        <row r="4332">
          <cell r="A4332"/>
          <cell r="B4332"/>
          <cell r="C4332"/>
          <cell r="D4332"/>
        </row>
        <row r="4333">
          <cell r="A4333"/>
          <cell r="B4333"/>
          <cell r="C4333"/>
          <cell r="D4333"/>
        </row>
        <row r="4334">
          <cell r="A4334"/>
          <cell r="B4334"/>
          <cell r="C4334"/>
          <cell r="D4334"/>
        </row>
        <row r="4335">
          <cell r="A4335"/>
          <cell r="B4335"/>
          <cell r="C4335"/>
          <cell r="D4335"/>
        </row>
        <row r="4336">
          <cell r="A4336"/>
          <cell r="B4336"/>
          <cell r="C4336"/>
          <cell r="D4336"/>
        </row>
        <row r="4337">
          <cell r="A4337"/>
          <cell r="B4337"/>
          <cell r="C4337"/>
          <cell r="D4337"/>
        </row>
        <row r="4338">
          <cell r="A4338"/>
          <cell r="B4338"/>
          <cell r="C4338"/>
          <cell r="D4338"/>
        </row>
        <row r="4339">
          <cell r="A4339"/>
          <cell r="B4339"/>
          <cell r="C4339"/>
          <cell r="D4339"/>
        </row>
        <row r="4340">
          <cell r="A4340"/>
          <cell r="B4340"/>
          <cell r="C4340"/>
          <cell r="D4340"/>
        </row>
        <row r="4341">
          <cell r="A4341"/>
          <cell r="B4341"/>
          <cell r="C4341"/>
          <cell r="D4341"/>
        </row>
        <row r="4342">
          <cell r="A4342"/>
          <cell r="B4342"/>
          <cell r="C4342"/>
          <cell r="D4342"/>
        </row>
        <row r="4343">
          <cell r="A4343"/>
          <cell r="B4343"/>
          <cell r="C4343"/>
          <cell r="D4343"/>
        </row>
        <row r="4344">
          <cell r="A4344"/>
          <cell r="B4344"/>
          <cell r="C4344"/>
          <cell r="D4344"/>
        </row>
        <row r="4345">
          <cell r="A4345"/>
          <cell r="B4345"/>
          <cell r="C4345"/>
          <cell r="D4345"/>
        </row>
        <row r="4346">
          <cell r="A4346"/>
          <cell r="B4346"/>
          <cell r="C4346"/>
          <cell r="D4346"/>
        </row>
        <row r="4347">
          <cell r="A4347"/>
          <cell r="B4347"/>
          <cell r="C4347"/>
          <cell r="D4347"/>
        </row>
        <row r="4348">
          <cell r="A4348"/>
          <cell r="B4348"/>
          <cell r="C4348"/>
          <cell r="D4348"/>
        </row>
        <row r="4349">
          <cell r="A4349"/>
          <cell r="B4349"/>
          <cell r="C4349"/>
          <cell r="D4349"/>
        </row>
        <row r="4350">
          <cell r="A4350"/>
          <cell r="B4350"/>
          <cell r="C4350"/>
          <cell r="D4350"/>
        </row>
        <row r="4351">
          <cell r="A4351"/>
          <cell r="B4351"/>
          <cell r="C4351"/>
          <cell r="D4351"/>
        </row>
        <row r="4352">
          <cell r="A4352"/>
          <cell r="B4352"/>
          <cell r="C4352"/>
          <cell r="D4352"/>
        </row>
        <row r="4353">
          <cell r="A4353"/>
          <cell r="B4353"/>
          <cell r="C4353"/>
          <cell r="D4353"/>
        </row>
        <row r="4354">
          <cell r="A4354"/>
          <cell r="B4354"/>
          <cell r="C4354"/>
          <cell r="D4354"/>
        </row>
        <row r="4355">
          <cell r="A4355"/>
          <cell r="B4355"/>
          <cell r="C4355"/>
          <cell r="D4355"/>
        </row>
        <row r="4356">
          <cell r="A4356"/>
          <cell r="B4356"/>
          <cell r="C4356"/>
          <cell r="D4356"/>
        </row>
        <row r="4357">
          <cell r="A4357"/>
          <cell r="B4357"/>
          <cell r="C4357"/>
          <cell r="D4357"/>
        </row>
        <row r="4358">
          <cell r="A4358"/>
          <cell r="B4358"/>
          <cell r="C4358"/>
          <cell r="D4358"/>
        </row>
        <row r="4359">
          <cell r="A4359"/>
          <cell r="B4359"/>
          <cell r="C4359"/>
          <cell r="D4359"/>
        </row>
        <row r="4360">
          <cell r="A4360"/>
          <cell r="B4360"/>
          <cell r="C4360"/>
          <cell r="D4360"/>
        </row>
        <row r="4361">
          <cell r="A4361"/>
          <cell r="B4361"/>
          <cell r="C4361"/>
          <cell r="D4361"/>
        </row>
        <row r="4362">
          <cell r="A4362"/>
          <cell r="B4362"/>
          <cell r="C4362"/>
          <cell r="D4362"/>
        </row>
        <row r="4363">
          <cell r="A4363"/>
          <cell r="B4363"/>
          <cell r="C4363"/>
          <cell r="D4363"/>
        </row>
        <row r="4364">
          <cell r="A4364"/>
          <cell r="B4364"/>
          <cell r="C4364"/>
          <cell r="D4364"/>
        </row>
        <row r="4365">
          <cell r="A4365"/>
          <cell r="B4365"/>
          <cell r="C4365"/>
          <cell r="D4365"/>
        </row>
        <row r="4366">
          <cell r="A4366"/>
          <cell r="B4366"/>
          <cell r="C4366"/>
          <cell r="D4366"/>
        </row>
        <row r="4367">
          <cell r="A4367"/>
          <cell r="B4367"/>
          <cell r="C4367"/>
          <cell r="D4367"/>
        </row>
        <row r="4368">
          <cell r="A4368"/>
          <cell r="B4368"/>
          <cell r="C4368"/>
          <cell r="D4368"/>
        </row>
        <row r="4369">
          <cell r="A4369"/>
          <cell r="B4369"/>
          <cell r="C4369"/>
          <cell r="D4369"/>
        </row>
        <row r="4370">
          <cell r="A4370"/>
          <cell r="B4370"/>
          <cell r="C4370"/>
          <cell r="D4370"/>
        </row>
        <row r="4371">
          <cell r="A4371"/>
          <cell r="B4371"/>
          <cell r="C4371"/>
          <cell r="D4371"/>
        </row>
        <row r="4372">
          <cell r="A4372"/>
          <cell r="B4372"/>
          <cell r="C4372"/>
          <cell r="D4372"/>
        </row>
        <row r="4373">
          <cell r="A4373"/>
          <cell r="B4373"/>
          <cell r="C4373"/>
          <cell r="D4373"/>
        </row>
        <row r="4374">
          <cell r="A4374"/>
          <cell r="B4374"/>
          <cell r="C4374"/>
          <cell r="D4374"/>
        </row>
        <row r="4375">
          <cell r="A4375"/>
          <cell r="B4375"/>
          <cell r="C4375"/>
          <cell r="D4375"/>
        </row>
        <row r="4376">
          <cell r="A4376"/>
          <cell r="B4376"/>
          <cell r="C4376"/>
          <cell r="D4376"/>
        </row>
        <row r="4377">
          <cell r="A4377"/>
          <cell r="B4377"/>
          <cell r="C4377"/>
          <cell r="D4377"/>
        </row>
      </sheetData>
      <sheetData sheetId="2"/>
      <sheetData sheetId="3"/>
      <sheetData sheetId="4"/>
      <sheetData sheetId="5"/>
      <sheetData sheetId="6"/>
      <sheetData sheetId="7"/>
      <sheetData sheetId="8"/>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st YTD"/>
      <sheetName val="FMC"/>
    </sheetNames>
    <sheetDataSet>
      <sheetData sheetId="0">
        <row r="1">
          <cell r="A1" t="str">
            <v>行标签</v>
          </cell>
          <cell r="B1" t="str">
            <v>Material Code</v>
          </cell>
          <cell r="C1" t="str">
            <v>PH05 - Product  Category</v>
          </cell>
          <cell r="D1" t="str">
            <v>Material Name</v>
          </cell>
          <cell r="E1" t="str">
            <v>Material Name</v>
          </cell>
          <cell r="F1" t="str">
            <v>PR00</v>
          </cell>
          <cell r="G1" t="str">
            <v>EA</v>
          </cell>
          <cell r="H1" t="str">
            <v>PR00/EA</v>
          </cell>
          <cell r="I1" t="str">
            <v>2023</v>
          </cell>
          <cell r="J1" t="str">
            <v>2024</v>
          </cell>
          <cell r="K1" t="str">
            <v>2025 JulYTD</v>
          </cell>
          <cell r="L1">
            <v>1.1100000000000001</v>
          </cell>
        </row>
        <row r="2">
          <cell r="A2" t="str">
            <v>2107-61</v>
          </cell>
          <cell r="B2" t="str">
            <v>14014470</v>
          </cell>
          <cell r="C2" t="str">
            <v>Poly Facial</v>
          </cell>
          <cell r="D2" t="str">
            <v>210761KS IF CARTOON 200'S 3P FSC MIX</v>
          </cell>
          <cell r="E2" t="str">
            <v>210761舒洁卡通系列抽纸200抽3包 FSC mix70%</v>
          </cell>
          <cell r="F2">
            <v>338.18</v>
          </cell>
          <cell r="G2">
            <v>20</v>
          </cell>
          <cell r="H2">
            <v>16.908999999999999</v>
          </cell>
          <cell r="I2">
            <v>164.79547529039803</v>
          </cell>
          <cell r="J2">
            <v>156.31185915305963</v>
          </cell>
          <cell r="K2">
            <v>156.56823805084531</v>
          </cell>
          <cell r="L2">
            <v>0.46297308548951832</v>
          </cell>
        </row>
        <row r="3">
          <cell r="A3" t="str">
            <v>2103-90</v>
          </cell>
          <cell r="B3" t="str">
            <v>14016868</v>
          </cell>
          <cell r="C3" t="str">
            <v>Poly Facial</v>
          </cell>
          <cell r="D3" t="str">
            <v>210390KS IF COCO 3ply 80'S4P FSC mix70%</v>
          </cell>
          <cell r="E3" t="str">
            <v>210390舒洁小熊印花抽纸3层80抽4包FSC mix70%</v>
          </cell>
          <cell r="F3">
            <v>287.22000000000003</v>
          </cell>
          <cell r="G3">
            <v>24</v>
          </cell>
          <cell r="H3">
            <v>11.967500000000001</v>
          </cell>
          <cell r="I3" t="e">
            <v>#DIV/0!</v>
          </cell>
          <cell r="J3">
            <v>135.87270594594619</v>
          </cell>
          <cell r="K3">
            <v>135.6390106661467</v>
          </cell>
          <cell r="L3">
            <v>0.47224779147046408</v>
          </cell>
        </row>
        <row r="4">
          <cell r="A4" t="str">
            <v>2148-90</v>
          </cell>
          <cell r="B4" t="str">
            <v>14016869</v>
          </cell>
          <cell r="C4" t="str">
            <v>Poly Facial</v>
          </cell>
          <cell r="D4" t="str">
            <v>214890KS IF COCO 3ply 80'S16P FSC mix70%</v>
          </cell>
          <cell r="E4" t="str">
            <v>214890舒洁小熊印花抽纸3层80抽16包FSC mix70%</v>
          </cell>
          <cell r="F4">
            <v>283.8</v>
          </cell>
          <cell r="G4">
            <v>6</v>
          </cell>
          <cell r="H4">
            <v>47.300000000000004</v>
          </cell>
          <cell r="I4" t="e">
            <v>#DIV/0!</v>
          </cell>
          <cell r="J4">
            <v>133.60268847795166</v>
          </cell>
          <cell r="K4">
            <v>132.95445744278061</v>
          </cell>
          <cell r="L4">
            <v>0.46847941311762015</v>
          </cell>
        </row>
        <row r="5">
          <cell r="A5" t="str">
            <v>2216-35</v>
          </cell>
          <cell r="B5" t="str">
            <v>14015861</v>
          </cell>
          <cell r="C5" t="str">
            <v>RBT</v>
          </cell>
          <cell r="D5" t="str">
            <v>221635KS RBT WHITE 210'S 3PLY 10R</v>
          </cell>
          <cell r="E5" t="str">
            <v xml:space="preserve">221635舒洁卷纸3层纯白10粒（蓝色） </v>
          </cell>
          <cell r="F5">
            <v>240.9</v>
          </cell>
          <cell r="G5">
            <v>10</v>
          </cell>
          <cell r="H5">
            <v>24.09</v>
          </cell>
          <cell r="I5">
            <v>118.95371213463233</v>
          </cell>
          <cell r="J5">
            <v>115.6109574224479</v>
          </cell>
          <cell r="K5">
            <v>116.88752594721599</v>
          </cell>
          <cell r="L5">
            <v>0.48521181381160644</v>
          </cell>
        </row>
        <row r="6">
          <cell r="A6" t="str">
            <v>2161-01</v>
          </cell>
          <cell r="B6" t="str">
            <v>14015256</v>
          </cell>
          <cell r="C6" t="str">
            <v>Poly Facial</v>
          </cell>
          <cell r="D6" t="str">
            <v>216101KS LOTION 6ply 20'S Sampling pack</v>
          </cell>
          <cell r="E6" t="str">
            <v>216101KS LOTION 6ply 20'S Sampling pack</v>
          </cell>
          <cell r="F6" t="e">
            <v>#N/A</v>
          </cell>
          <cell r="G6" t="e">
            <v>#N/A</v>
          </cell>
          <cell r="H6" t="e">
            <v>#N/A</v>
          </cell>
          <cell r="I6">
            <v>102.80482120263702</v>
          </cell>
          <cell r="J6" t="e">
            <v>#DIV/0!</v>
          </cell>
          <cell r="K6" t="e">
            <v>#N/A</v>
          </cell>
          <cell r="L6" t="e">
            <v>#N/A</v>
          </cell>
        </row>
        <row r="7">
          <cell r="A7" t="str">
            <v>2312-16</v>
          </cell>
          <cell r="B7" t="str">
            <v>14014482</v>
          </cell>
          <cell r="C7" t="str">
            <v>Box Facial</v>
          </cell>
          <cell r="D7" t="str">
            <v>231216 KS BF CALLALILY200'S 3P COC</v>
          </cell>
          <cell r="E7" t="str">
            <v>231216 舒洁马蹄莲盒面纸200抽3盒 FSC mix70%</v>
          </cell>
          <cell r="F7">
            <v>243.21</v>
          </cell>
          <cell r="G7">
            <v>10</v>
          </cell>
          <cell r="H7">
            <v>24.321000000000002</v>
          </cell>
          <cell r="I7">
            <v>100.8609733295938</v>
          </cell>
          <cell r="J7">
            <v>103.86193795070773</v>
          </cell>
          <cell r="K7">
            <v>99.687236012678511</v>
          </cell>
          <cell r="L7">
            <v>0.40988132072151023</v>
          </cell>
        </row>
        <row r="8">
          <cell r="A8" t="str">
            <v>2661-00</v>
          </cell>
          <cell r="B8" t="str">
            <v>14014256</v>
          </cell>
          <cell r="C8" t="str">
            <v>Perineal Wipes</v>
          </cell>
          <cell r="D8" t="str">
            <v>266100KS PW FAMILY PACK 80'S 3P</v>
          </cell>
          <cell r="E8" t="str">
            <v xml:space="preserve">266100舒洁湿厕纸80片x3包 </v>
          </cell>
          <cell r="F8">
            <v>310.48</v>
          </cell>
          <cell r="G8">
            <v>8</v>
          </cell>
          <cell r="H8">
            <v>38.81</v>
          </cell>
          <cell r="I8">
            <v>103.84080277256589</v>
          </cell>
          <cell r="J8">
            <v>93.997781885397387</v>
          </cell>
          <cell r="K8">
            <v>92.591001463516619</v>
          </cell>
          <cell r="L8">
            <v>0.29821889159854614</v>
          </cell>
        </row>
        <row r="9">
          <cell r="A9" t="str">
            <v>2701-90</v>
          </cell>
          <cell r="B9" t="str">
            <v>14016871</v>
          </cell>
          <cell r="C9" t="str">
            <v>Hanky</v>
          </cell>
          <cell r="D9" t="str">
            <v>270190KS HK COCO 3ply 9'S10P FSCmix70%</v>
          </cell>
          <cell r="E9" t="str">
            <v>270190舒洁小熊印花手帕纸3层10包FSC mix70%</v>
          </cell>
          <cell r="F9">
            <v>208.47</v>
          </cell>
          <cell r="G9">
            <v>36</v>
          </cell>
          <cell r="H9">
            <v>5.7908333333333335</v>
          </cell>
          <cell r="I9" t="e">
            <v>#DIV/0!</v>
          </cell>
          <cell r="J9">
            <v>89.325836029411889</v>
          </cell>
          <cell r="K9">
            <v>90.158771642511454</v>
          </cell>
          <cell r="L9">
            <v>0.43247839805493093</v>
          </cell>
        </row>
        <row r="10">
          <cell r="A10" t="str">
            <v>2530-00</v>
          </cell>
          <cell r="B10" t="str">
            <v>14015043</v>
          </cell>
          <cell r="C10" t="str">
            <v>FMC Dry Wipes</v>
          </cell>
          <cell r="D10" t="str">
            <v>253000KS Facial Wipes 80S 3P</v>
          </cell>
          <cell r="E10" t="str">
            <v>253000舒洁蚕丝洗脸巾80抽3包装</v>
          </cell>
          <cell r="F10">
            <v>358.2</v>
          </cell>
          <cell r="G10">
            <v>6</v>
          </cell>
          <cell r="H10">
            <v>59.699999999999996</v>
          </cell>
          <cell r="I10">
            <v>89.368291635077171</v>
          </cell>
          <cell r="J10">
            <v>91.957421907538617</v>
          </cell>
          <cell r="K10">
            <v>91.762940378759978</v>
          </cell>
          <cell r="L10">
            <v>0.25617794633936342</v>
          </cell>
        </row>
        <row r="11">
          <cell r="A11" t="str">
            <v>2694-40</v>
          </cell>
          <cell r="B11" t="str">
            <v>14014249</v>
          </cell>
          <cell r="C11" t="str">
            <v>Perineal Wipes</v>
          </cell>
          <cell r="D11" t="str">
            <v>269440KS PW FAMILY PACK 40'S 10P</v>
          </cell>
          <cell r="E11" t="str">
            <v>269440舒洁湿厕纸家庭装40抽10包装</v>
          </cell>
          <cell r="F11">
            <v>330.25</v>
          </cell>
          <cell r="G11">
            <v>4</v>
          </cell>
          <cell r="H11">
            <v>82.5625</v>
          </cell>
          <cell r="I11">
            <v>95.825627621241708</v>
          </cell>
          <cell r="J11">
            <v>89.812515953551596</v>
          </cell>
          <cell r="K11">
            <v>89.16162470984267</v>
          </cell>
          <cell r="L11">
            <v>0.26998220956803232</v>
          </cell>
        </row>
        <row r="12">
          <cell r="A12" t="str">
            <v>2660-00</v>
          </cell>
          <cell r="B12" t="str">
            <v>14014255</v>
          </cell>
          <cell r="C12" t="str">
            <v>Perineal Wipes</v>
          </cell>
          <cell r="D12" t="str">
            <v>266000KS PW FAMILY PACK 80'S</v>
          </cell>
          <cell r="E12" t="str">
            <v xml:space="preserve">266000舒洁湿厕纸80片 </v>
          </cell>
          <cell r="F12">
            <v>326.88</v>
          </cell>
          <cell r="G12">
            <v>24</v>
          </cell>
          <cell r="H12">
            <v>13.62</v>
          </cell>
          <cell r="I12">
            <v>97.32475769575764</v>
          </cell>
          <cell r="J12">
            <v>90.178758712037279</v>
          </cell>
          <cell r="K12">
            <v>88.510710842579542</v>
          </cell>
          <cell r="L12">
            <v>0.27077432342933044</v>
          </cell>
        </row>
        <row r="13">
          <cell r="A13" t="str">
            <v>2673-00</v>
          </cell>
          <cell r="B13" t="str">
            <v>14016683</v>
          </cell>
          <cell r="C13" t="str">
            <v>Perineal Wipes</v>
          </cell>
          <cell r="D13" t="str">
            <v>267300KS PW Camellia 60'S</v>
          </cell>
          <cell r="E13" t="str">
            <v xml:space="preserve">267300舒洁®山茶花系列湿巾（湿厕纸）60片 </v>
          </cell>
          <cell r="F13">
            <v>244.8</v>
          </cell>
          <cell r="G13">
            <v>24</v>
          </cell>
          <cell r="H13">
            <v>10.200000000000001</v>
          </cell>
          <cell r="I13" t="e">
            <v>#DIV/0!</v>
          </cell>
          <cell r="J13">
            <v>86.565503675740089</v>
          </cell>
          <cell r="K13">
            <v>88.186285604311038</v>
          </cell>
          <cell r="L13">
            <v>0.36023809478885227</v>
          </cell>
        </row>
        <row r="14">
          <cell r="A14" t="str">
            <v>2701-81</v>
          </cell>
          <cell r="B14" t="str">
            <v>14014484</v>
          </cell>
          <cell r="C14" t="str">
            <v>Hanky</v>
          </cell>
          <cell r="D14" t="str">
            <v>D270181KS HK MINI COCOBEAR P 3PLY FSCmix</v>
          </cell>
          <cell r="E14" t="str">
            <v>D270181舒洁小熊印花手帕纸3层10包FSC mix70%</v>
          </cell>
          <cell r="F14">
            <v>208.47</v>
          </cell>
          <cell r="G14">
            <v>36</v>
          </cell>
          <cell r="H14">
            <v>5.7908333333333335</v>
          </cell>
          <cell r="I14">
            <v>93.121101634683825</v>
          </cell>
          <cell r="J14">
            <v>87.426270185112458</v>
          </cell>
          <cell r="K14">
            <v>86.790769230769229</v>
          </cell>
          <cell r="L14">
            <v>0.41632258469213423</v>
          </cell>
        </row>
        <row r="15">
          <cell r="A15" t="str">
            <v>2694-30</v>
          </cell>
          <cell r="B15" t="str">
            <v>14014247</v>
          </cell>
          <cell r="C15" t="str">
            <v>Perineal Wipes</v>
          </cell>
          <cell r="D15" t="str">
            <v>269430KS PW FAMILY PACK 40'S</v>
          </cell>
          <cell r="E15" t="str">
            <v xml:space="preserve">269430舒洁湿厕纸家庭装40抽 </v>
          </cell>
          <cell r="F15">
            <v>367.52</v>
          </cell>
          <cell r="G15">
            <v>40</v>
          </cell>
          <cell r="H15">
            <v>9.1879999999999988</v>
          </cell>
          <cell r="I15">
            <v>91.13883569172161</v>
          </cell>
          <cell r="J15">
            <v>86.052307616842597</v>
          </cell>
          <cell r="K15">
            <v>85.429962479608463</v>
          </cell>
          <cell r="L15">
            <v>0.23244983260668389</v>
          </cell>
        </row>
        <row r="16">
          <cell r="A16" t="str">
            <v>2291-60</v>
          </cell>
          <cell r="B16" t="str">
            <v>14014479</v>
          </cell>
          <cell r="C16" t="str">
            <v>RBT</v>
          </cell>
          <cell r="D16" t="str">
            <v>229160KS RBT Grntea&amp;Chamomile250'SP/S10R</v>
          </cell>
          <cell r="E16" t="str">
            <v xml:space="preserve">229160舒洁绿茶洋甘菊印花清香卷纸10粒 </v>
          </cell>
          <cell r="F16">
            <v>153.65</v>
          </cell>
          <cell r="G16">
            <v>5</v>
          </cell>
          <cell r="H16">
            <v>30.73</v>
          </cell>
          <cell r="I16">
            <v>79.870191478005509</v>
          </cell>
          <cell r="J16">
            <v>76.885515161136738</v>
          </cell>
          <cell r="K16">
            <v>77.770919911504436</v>
          </cell>
          <cell r="L16">
            <v>0.50615632874392735</v>
          </cell>
        </row>
        <row r="17">
          <cell r="A17" t="str">
            <v>2153-10</v>
          </cell>
          <cell r="B17" t="str">
            <v>14014941</v>
          </cell>
          <cell r="C17" t="str">
            <v>Poly Facial</v>
          </cell>
          <cell r="D17" t="str">
            <v>D215310KS Ult Sft Moist 3ply 100'S 6P</v>
          </cell>
          <cell r="E17" t="str">
            <v xml:space="preserve">D215310舒洁鎏金系列乳霜纸巾100抽6包 </v>
          </cell>
          <cell r="F17">
            <v>199.6</v>
          </cell>
          <cell r="G17">
            <v>4</v>
          </cell>
          <cell r="H17">
            <v>49.9</v>
          </cell>
          <cell r="I17">
            <v>76.028709397255554</v>
          </cell>
          <cell r="J17" t="e">
            <v>#DIV/0!</v>
          </cell>
          <cell r="K17">
            <v>68.574999999999989</v>
          </cell>
          <cell r="L17">
            <v>0.34356212424849697</v>
          </cell>
        </row>
        <row r="18">
          <cell r="A18" t="str">
            <v>2168-05</v>
          </cell>
          <cell r="B18" t="str">
            <v>14015111</v>
          </cell>
          <cell r="C18" t="str">
            <v>Poly Facial</v>
          </cell>
          <cell r="D18" t="str">
            <v>216805KS SUPER PREMIUM LTN 6ply 80'S 5P</v>
          </cell>
          <cell r="E18" t="str">
            <v>216805舒洁®北海道牛乳系列乳霜纸面巾80抽5包装</v>
          </cell>
          <cell r="F18">
            <v>215.57</v>
          </cell>
          <cell r="G18">
            <v>3</v>
          </cell>
          <cell r="H18">
            <v>71.856666666666669</v>
          </cell>
          <cell r="I18">
            <v>74.52748299975093</v>
          </cell>
          <cell r="J18">
            <v>64.932748497833103</v>
          </cell>
          <cell r="K18">
            <v>61.538780142034184</v>
          </cell>
          <cell r="L18">
            <v>0.28547005678913662</v>
          </cell>
        </row>
        <row r="19">
          <cell r="A19" t="str">
            <v>2167-10</v>
          </cell>
          <cell r="B19" t="str">
            <v>14016042</v>
          </cell>
          <cell r="C19" t="str">
            <v>Poly Facial</v>
          </cell>
          <cell r="D19" t="str">
            <v>216710KS SUPER PREMIUM LTN 6ply 7'S 10P</v>
          </cell>
          <cell r="E19" t="str">
            <v>216710舒洁®牛乳系列乳霜纸面巾口袋包7抽10包装</v>
          </cell>
          <cell r="F19">
            <v>202.8</v>
          </cell>
          <cell r="G19">
            <v>12</v>
          </cell>
          <cell r="H19">
            <v>16.900000000000002</v>
          </cell>
          <cell r="I19">
            <v>71.926110220797781</v>
          </cell>
          <cell r="J19">
            <v>65.038749483086605</v>
          </cell>
          <cell r="K19">
            <v>62.065998041988472</v>
          </cell>
          <cell r="L19">
            <v>0.30604535523662951</v>
          </cell>
        </row>
        <row r="20">
          <cell r="A20" t="str">
            <v>2682-20</v>
          </cell>
          <cell r="B20" t="str">
            <v>14014250</v>
          </cell>
          <cell r="C20" t="str">
            <v>Perineal Wipes</v>
          </cell>
          <cell r="D20" t="str">
            <v>268220KS PW FEMALE 24'S 10p</v>
          </cell>
          <cell r="E20" t="str">
            <v>268220舒洁女性湿厕纸10包装</v>
          </cell>
          <cell r="F20">
            <v>255.41</v>
          </cell>
          <cell r="G20">
            <v>4</v>
          </cell>
          <cell r="H20">
            <v>63.852499999999999</v>
          </cell>
          <cell r="I20">
            <v>61.53209848484844</v>
          </cell>
          <cell r="J20">
            <v>59.230803152683706</v>
          </cell>
          <cell r="K20">
            <v>59.816504966504972</v>
          </cell>
          <cell r="L20">
            <v>0.2341979756724677</v>
          </cell>
        </row>
        <row r="21">
          <cell r="A21" t="str">
            <v>2155-03</v>
          </cell>
          <cell r="B21" t="str">
            <v>14016306</v>
          </cell>
          <cell r="C21" t="str">
            <v>Poly Facial</v>
          </cell>
          <cell r="D21" t="str">
            <v>215503KS PREMIUM LTN 4ply 40'S 3P</v>
          </cell>
          <cell r="E21" t="str">
            <v>215503舒洁®北海道轻牛乳系列乳霜纸面巾40抽3包装</v>
          </cell>
          <cell r="F21">
            <v>222.4</v>
          </cell>
          <cell r="G21">
            <v>16</v>
          </cell>
          <cell r="H21">
            <v>13.9</v>
          </cell>
          <cell r="I21">
            <v>63.282741121539416</v>
          </cell>
          <cell r="J21">
            <v>57.959478193873771</v>
          </cell>
          <cell r="K21">
            <v>55.441514017784648</v>
          </cell>
          <cell r="L21">
            <v>0.24928738317349211</v>
          </cell>
        </row>
        <row r="22">
          <cell r="A22" t="str">
            <v>2156-10</v>
          </cell>
          <cell r="B22" t="str">
            <v>14016307</v>
          </cell>
          <cell r="C22" t="str">
            <v>Poly Facial</v>
          </cell>
          <cell r="D22" t="str">
            <v>215610KS PREMIUM LTN 4ply 100'S 3P</v>
          </cell>
          <cell r="E22" t="str">
            <v>215610舒洁®北海道轻牛乳系列乳霜纸面巾100抽3包装</v>
          </cell>
          <cell r="F22">
            <v>215.4</v>
          </cell>
          <cell r="G22">
            <v>6</v>
          </cell>
          <cell r="H22">
            <v>35.9</v>
          </cell>
          <cell r="I22">
            <v>61.721303830125059</v>
          </cell>
          <cell r="J22">
            <v>55.742069196428538</v>
          </cell>
          <cell r="K22">
            <v>55.076190422641467</v>
          </cell>
          <cell r="L22">
            <v>0.2556926203465249</v>
          </cell>
        </row>
        <row r="23">
          <cell r="A23" t="str">
            <v>2655-00</v>
          </cell>
          <cell r="B23" t="str">
            <v>14014856</v>
          </cell>
          <cell r="C23" t="str">
            <v>Perineal Wipes</v>
          </cell>
          <cell r="D23" t="str">
            <v>265500KS PW MINI PACK 7'S 6P</v>
          </cell>
          <cell r="E23" t="str">
            <v>265500舒洁湿厕纸7抽6包装</v>
          </cell>
          <cell r="F23">
            <v>179.2</v>
          </cell>
          <cell r="G23">
            <v>16</v>
          </cell>
          <cell r="H23">
            <v>11.2</v>
          </cell>
          <cell r="I23">
            <v>52.996875253595391</v>
          </cell>
          <cell r="J23">
            <v>50.573273456818995</v>
          </cell>
          <cell r="K23">
            <v>47.723960132225585</v>
          </cell>
          <cell r="L23">
            <v>0.2663167418092946</v>
          </cell>
        </row>
        <row r="24">
          <cell r="A24" t="str">
            <v>2665-00</v>
          </cell>
          <cell r="B24" t="str">
            <v>14016485</v>
          </cell>
          <cell r="C24" t="str">
            <v>Perineal Wipes</v>
          </cell>
          <cell r="D24" t="str">
            <v>266500KS PW FAMILY PACK 80'S 10P-JD</v>
          </cell>
          <cell r="E24" t="str">
            <v>266500舒洁湿厕纸80片x10包-京东</v>
          </cell>
          <cell r="F24">
            <v>115.7</v>
          </cell>
          <cell r="G24">
            <v>1</v>
          </cell>
          <cell r="H24">
            <v>115.7</v>
          </cell>
          <cell r="I24">
            <v>40.444734737359667</v>
          </cell>
          <cell r="J24">
            <v>37.879395058912948</v>
          </cell>
          <cell r="K24">
            <v>37.465482890452023</v>
          </cell>
          <cell r="L24">
            <v>0.3238157553193779</v>
          </cell>
        </row>
        <row r="25">
          <cell r="A25" t="str">
            <v>2162-08</v>
          </cell>
          <cell r="B25" t="str">
            <v>14015110</v>
          </cell>
          <cell r="C25" t="str">
            <v>Poly Facial</v>
          </cell>
          <cell r="D25" t="str">
            <v>216208KS SUPER PREMIUM LTN 6ply 20'S 8P</v>
          </cell>
          <cell r="E25" t="str">
            <v>216208舒洁®北海道牛乳系列乳霜纸面巾20抽8包装</v>
          </cell>
          <cell r="F25">
            <v>100.5</v>
          </cell>
          <cell r="G25">
            <v>4</v>
          </cell>
          <cell r="H25">
            <v>25.125</v>
          </cell>
          <cell r="I25">
            <v>37.527044438663289</v>
          </cell>
          <cell r="J25">
            <v>32.756294674527268</v>
          </cell>
          <cell r="K25">
            <v>31.391104127769211</v>
          </cell>
          <cell r="L25">
            <v>0.31234929480367374</v>
          </cell>
        </row>
        <row r="26">
          <cell r="A26" t="str">
            <v>2152-04</v>
          </cell>
          <cell r="B26" t="str">
            <v>14014940</v>
          </cell>
          <cell r="C26" t="str">
            <v>Poly Facial</v>
          </cell>
          <cell r="D26" t="str">
            <v>215204KS Ult Sft Moist 3ply 40'S 8P</v>
          </cell>
          <cell r="E26" t="str">
            <v xml:space="preserve">215204舒洁鎏金系列乳霜纸巾40抽8包 </v>
          </cell>
          <cell r="F26">
            <v>105.79</v>
          </cell>
          <cell r="G26">
            <v>4</v>
          </cell>
          <cell r="H26">
            <v>26.447500000000002</v>
          </cell>
          <cell r="I26">
            <v>37.159427483558275</v>
          </cell>
          <cell r="J26">
            <v>33.000594237695054</v>
          </cell>
          <cell r="K26">
            <v>30.927490053723588</v>
          </cell>
          <cell r="L26">
            <v>0.29234795400060104</v>
          </cell>
        </row>
        <row r="27">
          <cell r="A27" t="str">
            <v>2613-00</v>
          </cell>
          <cell r="B27" t="str">
            <v>14004626</v>
          </cell>
          <cell r="C27" t="str">
            <v>Personal Wipes</v>
          </cell>
          <cell r="D27" t="str">
            <v>261300KS WW UNS 10'S 1P</v>
          </cell>
          <cell r="E27" t="str">
            <v xml:space="preserve">261300舒洁无香湿巾单包装 </v>
          </cell>
          <cell r="F27">
            <v>91.36</v>
          </cell>
          <cell r="G27">
            <v>30</v>
          </cell>
          <cell r="H27">
            <v>3.0453333333333332</v>
          </cell>
          <cell r="I27">
            <v>29.169077743168177</v>
          </cell>
          <cell r="J27">
            <v>31.319581648795914</v>
          </cell>
          <cell r="K27">
            <v>30.917937264236144</v>
          </cell>
          <cell r="L27">
            <v>0.33841875289225204</v>
          </cell>
        </row>
        <row r="28">
          <cell r="A28" t="str">
            <v>2664-00</v>
          </cell>
          <cell r="B28" t="str">
            <v>14016484</v>
          </cell>
          <cell r="C28" t="str">
            <v>Perineal Wipes</v>
          </cell>
          <cell r="D28" t="str">
            <v>266400KS PW FAMILY PACK 80'S 8P</v>
          </cell>
          <cell r="E28" t="str">
            <v>266400舒洁湿厕纸80片x8包(黄箱)</v>
          </cell>
          <cell r="F28">
            <v>92.6</v>
          </cell>
          <cell r="G28">
            <v>1</v>
          </cell>
          <cell r="H28">
            <v>92.6</v>
          </cell>
          <cell r="I28">
            <v>32.849058028953337</v>
          </cell>
          <cell r="J28">
            <v>29.967193473165434</v>
          </cell>
          <cell r="K28">
            <v>29.947924659802393</v>
          </cell>
          <cell r="L28">
            <v>0.32341171338879476</v>
          </cell>
        </row>
        <row r="29">
          <cell r="A29" t="str">
            <v>2666-11</v>
          </cell>
          <cell r="B29" t="str">
            <v>14016746</v>
          </cell>
          <cell r="C29" t="str">
            <v>Perineal Wipes</v>
          </cell>
          <cell r="D29" t="str">
            <v>D266611KS PW FAMILY PACK 100'S 6P(pop-up</v>
          </cell>
          <cell r="E29" t="str">
            <v>D266611舒洁湿厕纸100片x6包（点断式）</v>
          </cell>
          <cell r="F29">
            <v>86.8</v>
          </cell>
          <cell r="G29">
            <v>1</v>
          </cell>
          <cell r="H29">
            <v>86.8</v>
          </cell>
          <cell r="I29">
            <v>29.387647646340753</v>
          </cell>
          <cell r="J29">
            <v>29.39162708537782</v>
          </cell>
          <cell r="K29">
            <v>29.37</v>
          </cell>
          <cell r="L29">
            <v>0.33836405529953917</v>
          </cell>
        </row>
        <row r="30">
          <cell r="A30" t="str">
            <v>2670-30</v>
          </cell>
          <cell r="B30" t="str">
            <v>14014253</v>
          </cell>
          <cell r="C30" t="str">
            <v>Perineal Wipes</v>
          </cell>
          <cell r="D30" t="str">
            <v>267030KS PW TRAVEL PACK 10'S 10P</v>
          </cell>
          <cell r="E30" t="str">
            <v>267030舒洁湿厕纸旅行装10包装</v>
          </cell>
          <cell r="F30">
            <v>151.33000000000001</v>
          </cell>
          <cell r="G30">
            <v>4</v>
          </cell>
          <cell r="H30">
            <v>37.832500000000003</v>
          </cell>
          <cell r="I30">
            <v>29.374615218745507</v>
          </cell>
          <cell r="J30">
            <v>28.672148658914281</v>
          </cell>
          <cell r="K30">
            <v>29.300364963503647</v>
          </cell>
          <cell r="L30">
            <v>0.19361901119079922</v>
          </cell>
        </row>
        <row r="31">
          <cell r="A31" t="str">
            <v>2666-00</v>
          </cell>
          <cell r="B31" t="str">
            <v>14016486</v>
          </cell>
          <cell r="C31" t="str">
            <v>Perineal Wipes</v>
          </cell>
          <cell r="D31" t="str">
            <v>266600KS PW FAMILY PACK 100'S 6P</v>
          </cell>
          <cell r="E31" t="str">
            <v xml:space="preserve">266600舒洁湿厕纸100片x6包 </v>
          </cell>
          <cell r="F31">
            <v>86.8</v>
          </cell>
          <cell r="G31">
            <v>1</v>
          </cell>
          <cell r="H31">
            <v>86.8</v>
          </cell>
          <cell r="I31">
            <v>30.926336576905697</v>
          </cell>
          <cell r="J31">
            <v>28.246627449308896</v>
          </cell>
          <cell r="K31">
            <v>28.188397659258765</v>
          </cell>
          <cell r="L31">
            <v>0.32475112510666782</v>
          </cell>
        </row>
        <row r="32">
          <cell r="A32" t="str">
            <v>2662-00</v>
          </cell>
          <cell r="B32" t="str">
            <v>14014257</v>
          </cell>
          <cell r="C32" t="str">
            <v>Perineal Wipes</v>
          </cell>
          <cell r="D32" t="str">
            <v>266200KS PW FAMILY PACK 80'S 6P</v>
          </cell>
          <cell r="E32" t="str">
            <v xml:space="preserve">266200舒洁湿厕纸80片x6包 </v>
          </cell>
          <cell r="F32">
            <v>69.44</v>
          </cell>
          <cell r="G32">
            <v>1</v>
          </cell>
          <cell r="H32">
            <v>69.44</v>
          </cell>
          <cell r="I32">
            <v>25.320697956174175</v>
          </cell>
          <cell r="J32">
            <v>23.102782070881251</v>
          </cell>
          <cell r="K32">
            <v>22.491277449497133</v>
          </cell>
          <cell r="L32">
            <v>0.32389512456073061</v>
          </cell>
        </row>
        <row r="33">
          <cell r="A33" t="str">
            <v>2619-00</v>
          </cell>
          <cell r="B33" t="str">
            <v>14010728</v>
          </cell>
          <cell r="C33" t="str">
            <v>Personal Wipes</v>
          </cell>
          <cell r="D33" t="str">
            <v>D261900KS WW UNS 10'S 10P</v>
          </cell>
          <cell r="E33" t="str">
            <v>D261900舒洁小熊压花无香湿巾10包特惠装</v>
          </cell>
          <cell r="F33">
            <v>91.36</v>
          </cell>
          <cell r="G33">
            <v>3</v>
          </cell>
          <cell r="H33">
            <v>30.453333333333333</v>
          </cell>
          <cell r="I33">
            <v>29.371958553175283</v>
          </cell>
          <cell r="J33" t="e">
            <v>#DIV/0!</v>
          </cell>
          <cell r="K33">
            <v>-12.719999999999999</v>
          </cell>
          <cell r="L33">
            <v>-0.1392294220665499</v>
          </cell>
        </row>
        <row r="34">
          <cell r="A34" t="str">
            <v>2306-20</v>
          </cell>
          <cell r="B34" t="str">
            <v>14016487</v>
          </cell>
          <cell r="C34" t="str">
            <v>Box Facial</v>
          </cell>
          <cell r="D34" t="str">
            <v>230620KS BF ECO 180'S 6P FSC MIX 70%</v>
          </cell>
          <cell r="E34" t="str">
            <v>230620舒洁环保系列盒抽面纸180抽6盒FSC MIX 70%</v>
          </cell>
          <cell r="F34">
            <v>48.6</v>
          </cell>
          <cell r="G34">
            <v>1</v>
          </cell>
          <cell r="H34">
            <v>48.6</v>
          </cell>
          <cell r="I34">
            <v>17.240472206729876</v>
          </cell>
          <cell r="J34">
            <v>20.601408181139938</v>
          </cell>
          <cell r="K34">
            <v>17.666249556894716</v>
          </cell>
          <cell r="L34">
            <v>0.36350307730236042</v>
          </cell>
        </row>
        <row r="35">
          <cell r="A35" t="str">
            <v>2674-00</v>
          </cell>
          <cell r="B35" t="str">
            <v>14016684</v>
          </cell>
          <cell r="C35" t="str">
            <v>Perineal Wipes</v>
          </cell>
          <cell r="D35" t="str">
            <v>267400KS Camellia PW 60'S 4P</v>
          </cell>
          <cell r="E35" t="str">
            <v xml:space="preserve">267400舒洁®山茶花系列湿巾（湿厕纸）60片x4包 </v>
          </cell>
          <cell r="F35">
            <v>41.9</v>
          </cell>
          <cell r="G35">
            <v>1</v>
          </cell>
          <cell r="H35">
            <v>41.9</v>
          </cell>
          <cell r="I35" t="e">
            <v>#DIV/0!</v>
          </cell>
          <cell r="J35">
            <v>14.956165653363231</v>
          </cell>
          <cell r="K35">
            <v>15.139732303937173</v>
          </cell>
          <cell r="L35">
            <v>0.36133012658561275</v>
          </cell>
        </row>
        <row r="36">
          <cell r="A36" t="str">
            <v>2701-60</v>
          </cell>
          <cell r="B36" t="str">
            <v>14006844</v>
          </cell>
          <cell r="C36" t="str">
            <v>Hanky</v>
          </cell>
          <cell r="D36" t="str">
            <v>D270160KS HK MINI COCOBEAR 3PLY FSC mix</v>
          </cell>
          <cell r="E36" t="str">
            <v>D270160舒洁小熊印花手帕纸3层10包 FSC mix70%</v>
          </cell>
          <cell r="F36" t="e">
            <v>#N/A</v>
          </cell>
          <cell r="G36" t="e">
            <v>#N/A</v>
          </cell>
          <cell r="H36" t="e">
            <v>#N/A</v>
          </cell>
          <cell r="I36" t="e">
            <v>#DIV/0!</v>
          </cell>
          <cell r="J36" t="e">
            <v>#DIV/0!</v>
          </cell>
          <cell r="K36" t="e">
            <v>#N/A</v>
          </cell>
          <cell r="L36" t="e">
            <v>#N/A</v>
          </cell>
        </row>
        <row r="37">
          <cell r="A37" t="str">
            <v>2296-10</v>
          </cell>
          <cell r="B37" t="str">
            <v>14014480</v>
          </cell>
          <cell r="C37" t="str">
            <v>RBT</v>
          </cell>
          <cell r="D37" t="str">
            <v>D229610KS RBT Grntea&amp;Chamomile 20R_WEB</v>
          </cell>
          <cell r="E37" t="str">
            <v>D229610舒洁绿茶洋甘菊卷纸20粒装_电商</v>
          </cell>
          <cell r="F37" t="e">
            <v>#N/A</v>
          </cell>
          <cell r="G37" t="e">
            <v>#N/A</v>
          </cell>
          <cell r="H37" t="e">
            <v>#N/A</v>
          </cell>
          <cell r="I37" t="e">
            <v>#DIV/0!</v>
          </cell>
          <cell r="J37" t="e">
            <v>#DIV/0!</v>
          </cell>
          <cell r="K37" t="e">
            <v>#N/A</v>
          </cell>
          <cell r="L37" t="e">
            <v>#N/A</v>
          </cell>
        </row>
        <row r="38">
          <cell r="A38" t="str">
            <v>2282-01</v>
          </cell>
          <cell r="B38" t="str">
            <v>14000457</v>
          </cell>
          <cell r="C38" t="str">
            <v>RBT</v>
          </cell>
          <cell r="D38" t="str">
            <v>D228201 KS RBT 260's 3PLY 10R-OUTER BAG</v>
          </cell>
          <cell r="E38" t="str">
            <v xml:space="preserve">D228201舒洁卷纸3层10粒（外袋） </v>
          </cell>
          <cell r="F38" t="e">
            <v>#N/A</v>
          </cell>
          <cell r="G38" t="e">
            <v>#N/A</v>
          </cell>
          <cell r="H38" t="e">
            <v>#N/A</v>
          </cell>
          <cell r="I38" t="e">
            <v>#DIV/0!</v>
          </cell>
          <cell r="J38" t="e">
            <v>#DIV/0!</v>
          </cell>
          <cell r="K38" t="e">
            <v>#N/A</v>
          </cell>
          <cell r="L38" t="e">
            <v>#N/A</v>
          </cell>
        </row>
        <row r="39">
          <cell r="A39" t="str">
            <v>2296-00</v>
          </cell>
          <cell r="B39" t="str">
            <v>14008452</v>
          </cell>
          <cell r="C39" t="str">
            <v>RBT</v>
          </cell>
          <cell r="D39" t="str">
            <v>D229600KS RBT Grntea&amp;Chamomile 20R_WEB</v>
          </cell>
          <cell r="E39" t="str">
            <v>D229600舒洁绿茶洋甘菊卷纸20粒装_电商</v>
          </cell>
          <cell r="F39" t="e">
            <v>#N/A</v>
          </cell>
          <cell r="G39" t="e">
            <v>#N/A</v>
          </cell>
          <cell r="H39" t="e">
            <v>#N/A</v>
          </cell>
          <cell r="I39" t="e">
            <v>#DIV/0!</v>
          </cell>
          <cell r="J39" t="e">
            <v>#DIV/0!</v>
          </cell>
          <cell r="K39" t="e">
            <v>#N/A</v>
          </cell>
          <cell r="L39" t="e">
            <v>#N/A</v>
          </cell>
        </row>
        <row r="40">
          <cell r="A40" t="str">
            <v>2689-10</v>
          </cell>
          <cell r="B40" t="str">
            <v>14014254</v>
          </cell>
          <cell r="C40" t="str">
            <v>Perineal Wipes</v>
          </cell>
          <cell r="D40" t="str">
            <v>D268910KS PW FAMILY PACK 40'S 9P</v>
          </cell>
          <cell r="E40" t="str">
            <v>D268910舒洁湿厕纸家庭装40抽9包装</v>
          </cell>
          <cell r="F40" t="e">
            <v>#N/A</v>
          </cell>
          <cell r="G40" t="e">
            <v>#N/A</v>
          </cell>
          <cell r="H40" t="e">
            <v>#N/A</v>
          </cell>
          <cell r="I40" t="e">
            <v>#DIV/0!</v>
          </cell>
          <cell r="J40" t="e">
            <v>#DIV/0!</v>
          </cell>
          <cell r="K40" t="e">
            <v>#N/A</v>
          </cell>
          <cell r="L40" t="e">
            <v>#N/A</v>
          </cell>
        </row>
        <row r="41">
          <cell r="A41" t="str">
            <v>2312-02</v>
          </cell>
          <cell r="B41" t="str">
            <v>14006301</v>
          </cell>
          <cell r="C41" t="str">
            <v>Box Facial</v>
          </cell>
          <cell r="D41" t="str">
            <v>D231202KS BF CALLALILY200'S 3P COC</v>
          </cell>
          <cell r="E41" t="str">
            <v>D231202舒洁马蹄莲盒面纸200抽3盒 FSC mix70%</v>
          </cell>
          <cell r="F41" t="e">
            <v>#N/A</v>
          </cell>
          <cell r="G41" t="e">
            <v>#N/A</v>
          </cell>
          <cell r="H41" t="e">
            <v>#N/A</v>
          </cell>
          <cell r="I41" t="e">
            <v>#DIV/0!</v>
          </cell>
          <cell r="J41" t="e">
            <v>#DIV/0!</v>
          </cell>
          <cell r="K41" t="e">
            <v>#N/A</v>
          </cell>
          <cell r="L41" t="e">
            <v>#N/A</v>
          </cell>
        </row>
        <row r="42">
          <cell r="A42" t="str">
            <v>2757-60</v>
          </cell>
          <cell r="B42" t="str">
            <v>14006857</v>
          </cell>
          <cell r="C42" t="str">
            <v>Hanky</v>
          </cell>
          <cell r="D42" t="str">
            <v>D275760KS HK COCO BEAR 40P_SAMS FSC mix</v>
          </cell>
          <cell r="E42" t="str">
            <v>D275760舒洁小熊印花手帕纸3层40包-SAMS FSC mix70%</v>
          </cell>
          <cell r="F42" t="e">
            <v>#N/A</v>
          </cell>
          <cell r="G42" t="e">
            <v>#N/A</v>
          </cell>
          <cell r="H42" t="e">
            <v>#N/A</v>
          </cell>
          <cell r="I42" t="e">
            <v>#DIV/0!</v>
          </cell>
          <cell r="J42" t="e">
            <v>#DIV/0!</v>
          </cell>
          <cell r="K42" t="e">
            <v>#N/A</v>
          </cell>
          <cell r="L42" t="e">
            <v>#N/A</v>
          </cell>
        </row>
        <row r="43">
          <cell r="A43" t="str">
            <v>2312-03</v>
          </cell>
          <cell r="B43" t="str">
            <v>14006302</v>
          </cell>
          <cell r="C43" t="str">
            <v>Poly Facial</v>
          </cell>
          <cell r="D43" t="str">
            <v>D231203KS BF PAISLEY 200'S 3P COC</v>
          </cell>
          <cell r="E43" t="str">
            <v>D231203舒洁经典盒纸面纸200抽3盒FSC mix70%</v>
          </cell>
          <cell r="F43" t="e">
            <v>#N/A</v>
          </cell>
          <cell r="G43" t="e">
            <v>#N/A</v>
          </cell>
          <cell r="H43" t="e">
            <v>#N/A</v>
          </cell>
          <cell r="I43" t="e">
            <v>#DIV/0!</v>
          </cell>
          <cell r="J43" t="e">
            <v>#DIV/0!</v>
          </cell>
          <cell r="K43" t="e">
            <v>#N/A</v>
          </cell>
          <cell r="L43" t="e">
            <v>#N/A</v>
          </cell>
        </row>
        <row r="44">
          <cell r="A44" t="str">
            <v>2289-10</v>
          </cell>
          <cell r="B44" t="str">
            <v>14014478</v>
          </cell>
          <cell r="C44" t="str">
            <v>RBT</v>
          </cell>
          <cell r="D44" t="str">
            <v>D228910KS RBT 210'S 3PLY 30R_JUMBO PACK</v>
          </cell>
          <cell r="E44" t="str">
            <v>D228910舒洁卷筒卫生纸3层纯白30粒大包装</v>
          </cell>
          <cell r="F44" t="e">
            <v>#N/A</v>
          </cell>
          <cell r="G44" t="e">
            <v>#N/A</v>
          </cell>
          <cell r="H44" t="e">
            <v>#N/A</v>
          </cell>
          <cell r="I44" t="e">
            <v>#DIV/0!</v>
          </cell>
          <cell r="J44" t="e">
            <v>#DIV/0!</v>
          </cell>
          <cell r="K44" t="e">
            <v>#N/A</v>
          </cell>
          <cell r="L44" t="e">
            <v>#N/A</v>
          </cell>
        </row>
        <row r="45">
          <cell r="A45" t="str">
            <v>2312-13</v>
          </cell>
          <cell r="B45" t="str">
            <v>14014483</v>
          </cell>
          <cell r="C45" t="str">
            <v>Box Facial</v>
          </cell>
          <cell r="D45" t="str">
            <v>D231213KS BF PAISLEY 200'S 3P COC</v>
          </cell>
          <cell r="E45" t="str">
            <v>D231213舒洁经典盒纸面纸200抽3盒FSC mix70%</v>
          </cell>
          <cell r="F45" t="e">
            <v>#N/A</v>
          </cell>
          <cell r="G45" t="e">
            <v>#N/A</v>
          </cell>
          <cell r="H45" t="e">
            <v>#N/A</v>
          </cell>
          <cell r="I45">
            <v>51.309999999999995</v>
          </cell>
          <cell r="J45" t="e">
            <v>#DIV/0!</v>
          </cell>
          <cell r="K45" t="e">
            <v>#N/A</v>
          </cell>
          <cell r="L45" t="e">
            <v>#N/A</v>
          </cell>
        </row>
        <row r="46">
          <cell r="A46" t="str">
            <v>2107-60</v>
          </cell>
          <cell r="B46" t="str">
            <v>14006816</v>
          </cell>
          <cell r="C46" t="str">
            <v>Poly Facial</v>
          </cell>
          <cell r="D46" t="str">
            <v>D210760KS IF CARTOON 200'S 3P FSC mix</v>
          </cell>
          <cell r="E46" t="str">
            <v>D210760舒洁卡通系列抽纸200抽3包 FSC mix70%</v>
          </cell>
          <cell r="F46" t="e">
            <v>#N/A</v>
          </cell>
          <cell r="G46" t="e">
            <v>#N/A</v>
          </cell>
          <cell r="H46" t="e">
            <v>#N/A</v>
          </cell>
          <cell r="I46" t="e">
            <v>#DIV/0!</v>
          </cell>
          <cell r="J46" t="e">
            <v>#DIV/0!</v>
          </cell>
          <cell r="K46" t="e">
            <v>#N/A</v>
          </cell>
          <cell r="L46" t="e">
            <v>#N/A</v>
          </cell>
        </row>
        <row r="47">
          <cell r="A47" t="str">
            <v>48990534-00</v>
          </cell>
          <cell r="B47" t="str">
            <v>14011660</v>
          </cell>
          <cell r="C47" t="str">
            <v>Personal Wipes</v>
          </cell>
          <cell r="D47" t="str">
            <v>KLEENEX HSW SENSITIVE(10X20)X6</v>
          </cell>
          <cell r="E47" t="str">
            <v>健力氏綿柔消毒濕手巾(10片) x 20 x 6</v>
          </cell>
          <cell r="F47">
            <v>0</v>
          </cell>
          <cell r="G47">
            <v>120</v>
          </cell>
          <cell r="H47">
            <v>0</v>
          </cell>
          <cell r="I47" t="e">
            <v>#DIV/0!</v>
          </cell>
          <cell r="J47" t="e">
            <v>#DIV/0!</v>
          </cell>
          <cell r="K47" t="e">
            <v>#N/A</v>
          </cell>
          <cell r="L47" t="e">
            <v>#N/A</v>
          </cell>
        </row>
        <row r="48">
          <cell r="A48" t="str">
            <v>2148-00</v>
          </cell>
          <cell r="B48" t="str">
            <v>14008630</v>
          </cell>
          <cell r="C48" t="str">
            <v>Poly Facial</v>
          </cell>
          <cell r="D48" t="str">
            <v>D 214800KS IF FACIAL 120'S 16P FSC mix</v>
          </cell>
          <cell r="E48" t="str">
            <v>D 214800舒洁小熊印花抽纸120抽16包 FSC mix70%</v>
          </cell>
          <cell r="F48" t="e">
            <v>#N/A</v>
          </cell>
          <cell r="G48" t="e">
            <v>#N/A</v>
          </cell>
          <cell r="H48" t="e">
            <v>#N/A</v>
          </cell>
          <cell r="I48" t="e">
            <v>#DIV/0!</v>
          </cell>
          <cell r="J48" t="e">
            <v>#DIV/0!</v>
          </cell>
          <cell r="K48" t="e">
            <v>#N/A</v>
          </cell>
          <cell r="L48" t="e">
            <v>#N/A</v>
          </cell>
        </row>
        <row r="49">
          <cell r="A49" t="str">
            <v>2103-60</v>
          </cell>
          <cell r="B49" t="str">
            <v>14006811</v>
          </cell>
          <cell r="C49" t="str">
            <v>Poly Facial</v>
          </cell>
          <cell r="D49" t="str">
            <v>D210360KS IF COCO P 120'S 4P FSC mix</v>
          </cell>
          <cell r="E49" t="str">
            <v>D210360舒洁小熊印花抽纸120抽4包FSC mix70%</v>
          </cell>
          <cell r="F49" t="e">
            <v>#N/A</v>
          </cell>
          <cell r="G49" t="e">
            <v>#N/A</v>
          </cell>
          <cell r="H49" t="e">
            <v>#N/A</v>
          </cell>
          <cell r="I49" t="e">
            <v>#DIV/0!</v>
          </cell>
          <cell r="J49" t="e">
            <v>#DIV/0!</v>
          </cell>
          <cell r="K49" t="e">
            <v>#N/A</v>
          </cell>
          <cell r="L49" t="e">
            <v>#N/A</v>
          </cell>
        </row>
        <row r="50">
          <cell r="A50" t="str">
            <v>2136-80</v>
          </cell>
          <cell r="B50" t="str">
            <v>14012833</v>
          </cell>
          <cell r="C50" t="str">
            <v>Poly Facial</v>
          </cell>
          <cell r="D50" t="str">
            <v>2136-80 KS IF S SIZE 120'S 24P FSC mix70</v>
          </cell>
          <cell r="E50" t="str">
            <v>D213680 舒洁夏日版抽纸小尺寸120抽20包装FSC mix 70%</v>
          </cell>
          <cell r="F50" t="e">
            <v>#N/A</v>
          </cell>
          <cell r="G50" t="e">
            <v>#N/A</v>
          </cell>
          <cell r="H50" t="e">
            <v>#N/A</v>
          </cell>
          <cell r="I50" t="e">
            <v>#DIV/0!</v>
          </cell>
          <cell r="J50" t="e">
            <v>#DIV/0!</v>
          </cell>
          <cell r="K50" t="e">
            <v>#N/A</v>
          </cell>
          <cell r="L50" t="e">
            <v>#N/A</v>
          </cell>
        </row>
        <row r="51">
          <cell r="A51" t="str">
            <v>2520-00</v>
          </cell>
          <cell r="B51" t="str">
            <v>14015042</v>
          </cell>
          <cell r="C51" t="str">
            <v>FMC Dry Wipes</v>
          </cell>
          <cell r="D51" t="str">
            <v>D252000KS Facial Wipes Trial Pack 20S</v>
          </cell>
          <cell r="E51" t="str">
            <v xml:space="preserve">D252000舒洁蚕丝洗脸巾20抽 </v>
          </cell>
          <cell r="F51" t="e">
            <v>#N/A</v>
          </cell>
          <cell r="G51" t="e">
            <v>#N/A</v>
          </cell>
          <cell r="H51" t="e">
            <v>#N/A</v>
          </cell>
          <cell r="I51">
            <v>81.021868033883237</v>
          </cell>
          <cell r="J51" t="e">
            <v>#DIV/0!</v>
          </cell>
          <cell r="K51" t="e">
            <v>#N/A</v>
          </cell>
          <cell r="L51" t="e">
            <v>#N/A</v>
          </cell>
        </row>
        <row r="52">
          <cell r="A52" t="str">
            <v>2107-80</v>
          </cell>
          <cell r="B52" t="str">
            <v>14012200</v>
          </cell>
          <cell r="C52" t="str">
            <v>Poly Facial</v>
          </cell>
          <cell r="D52" t="str">
            <v>D210780 KS IF L SIZE 100'S 12P FSCmix70%</v>
          </cell>
          <cell r="E52" t="str">
            <v>D210780舒洁印花系列抽纸大尺寸100抽12包装FSC mix70%</v>
          </cell>
          <cell r="F52" t="e">
            <v>#N/A</v>
          </cell>
          <cell r="G52" t="e">
            <v>#N/A</v>
          </cell>
          <cell r="H52" t="e">
            <v>#N/A</v>
          </cell>
          <cell r="I52" t="e">
            <v>#DIV/0!</v>
          </cell>
          <cell r="J52" t="e">
            <v>#DIV/0!</v>
          </cell>
          <cell r="K52" t="e">
            <v>#N/A</v>
          </cell>
          <cell r="L52" t="e">
            <v>#N/A</v>
          </cell>
        </row>
        <row r="53">
          <cell r="A53" t="str">
            <v>2121-80</v>
          </cell>
          <cell r="B53" t="str">
            <v>14012199</v>
          </cell>
          <cell r="C53" t="str">
            <v>Poly Facial</v>
          </cell>
          <cell r="D53" t="str">
            <v>D212180 KS IF MINI 45'S 5P</v>
          </cell>
          <cell r="E53" t="str">
            <v>D212180舒洁迷你系列抽纸45抽5包装</v>
          </cell>
          <cell r="F53" t="e">
            <v>#N/A</v>
          </cell>
          <cell r="G53" t="e">
            <v>#N/A</v>
          </cell>
          <cell r="H53" t="e">
            <v>#N/A</v>
          </cell>
          <cell r="I53" t="e">
            <v>#DIV/0!</v>
          </cell>
          <cell r="J53" t="e">
            <v>#DIV/0!</v>
          </cell>
          <cell r="K53" t="e">
            <v>#N/A</v>
          </cell>
          <cell r="L53" t="e">
            <v>#N/A</v>
          </cell>
        </row>
        <row r="54">
          <cell r="A54" t="str">
            <v>2289-00</v>
          </cell>
          <cell r="B54" t="str">
            <v>14005765</v>
          </cell>
          <cell r="C54" t="str">
            <v>RBT</v>
          </cell>
          <cell r="D54" t="str">
            <v>D228900KS RBT 210'S 3PLY 30R_JUMBO PACK</v>
          </cell>
          <cell r="E54" t="str">
            <v>D228900舒洁卷筒卫生纸3层纯白30粒大包装</v>
          </cell>
          <cell r="F54" t="e">
            <v>#N/A</v>
          </cell>
          <cell r="G54" t="e">
            <v>#N/A</v>
          </cell>
          <cell r="H54" t="e">
            <v>#N/A</v>
          </cell>
          <cell r="I54" t="e">
            <v>#DIV/0!</v>
          </cell>
          <cell r="J54" t="e">
            <v>#DIV/0!</v>
          </cell>
          <cell r="K54" t="e">
            <v>#N/A</v>
          </cell>
          <cell r="L54" t="e">
            <v>#N/A</v>
          </cell>
        </row>
        <row r="55">
          <cell r="A55" t="str">
            <v>2531-00</v>
          </cell>
          <cell r="B55" t="str">
            <v>14015044</v>
          </cell>
          <cell r="C55" t="str">
            <v>FMC Dry Wipes</v>
          </cell>
          <cell r="D55" t="str">
            <v>253100 FMC WS Facial Wipes 80P</v>
          </cell>
          <cell r="E55" t="str">
            <v xml:space="preserve">253100舒洁蚕丝洗脸巾80抽 </v>
          </cell>
          <cell r="F55" t="e">
            <v>#N/A</v>
          </cell>
          <cell r="G55" t="e">
            <v>#N/A</v>
          </cell>
          <cell r="H55" t="e">
            <v>#N/A</v>
          </cell>
          <cell r="I55" t="e">
            <v>#DIV/0!</v>
          </cell>
          <cell r="J55" t="e">
            <v>#DIV/0!</v>
          </cell>
          <cell r="K55" t="e">
            <v>#N/A</v>
          </cell>
          <cell r="L55" t="e">
            <v>#N/A</v>
          </cell>
        </row>
        <row r="56">
          <cell r="A56" t="str">
            <v>2671-30</v>
          </cell>
          <cell r="B56" t="str">
            <v>14014387</v>
          </cell>
          <cell r="C56" t="str">
            <v>Perineal Wipes</v>
          </cell>
          <cell r="D56" t="str">
            <v>267130 KS PW 10'S sampling pack</v>
          </cell>
          <cell r="E56" t="str">
            <v>267130 KS PW 10'S sampling pack</v>
          </cell>
          <cell r="F56" t="e">
            <v>#N/A</v>
          </cell>
          <cell r="G56" t="e">
            <v>#N/A</v>
          </cell>
          <cell r="H56" t="e">
            <v>#N/A</v>
          </cell>
          <cell r="I56">
            <v>28.071999999999996</v>
          </cell>
          <cell r="J56">
            <v>25.846999999999998</v>
          </cell>
          <cell r="K56" t="e">
            <v>#N/A</v>
          </cell>
          <cell r="L56" t="e">
            <v>#N/A</v>
          </cell>
        </row>
        <row r="57">
          <cell r="A57" t="str">
            <v>2149-90</v>
          </cell>
          <cell r="B57" t="str">
            <v>14014476</v>
          </cell>
          <cell r="C57" t="str">
            <v>Poly Facial</v>
          </cell>
          <cell r="D57" t="str">
            <v>D214990 KS IF S SIZE 120'S 3P FSC mix70%</v>
          </cell>
          <cell r="E57" t="str">
            <v>D214990舒洁新系列抽纸小尺寸120抽3包装FSC mix70%</v>
          </cell>
          <cell r="F57" t="e">
            <v>#N/A</v>
          </cell>
          <cell r="G57" t="e">
            <v>#N/A</v>
          </cell>
          <cell r="H57" t="e">
            <v>#N/A</v>
          </cell>
          <cell r="I57" t="e">
            <v>#DIV/0!</v>
          </cell>
          <cell r="J57" t="e">
            <v>#DIV/0!</v>
          </cell>
          <cell r="K57" t="e">
            <v>#N/A</v>
          </cell>
          <cell r="L57" t="e">
            <v>#N/A</v>
          </cell>
        </row>
        <row r="58">
          <cell r="A58" t="str">
            <v>2677-30</v>
          </cell>
          <cell r="B58" t="str">
            <v>14014388</v>
          </cell>
          <cell r="C58" t="str">
            <v>Perineal Wipes</v>
          </cell>
          <cell r="D58" t="str">
            <v>267730KS PW FEMALE 10'S sampling pack</v>
          </cell>
          <cell r="E58" t="str">
            <v>267730KS PW FEMALE 10'S sampling pack</v>
          </cell>
          <cell r="F58" t="e">
            <v>#N/A</v>
          </cell>
          <cell r="G58" t="e">
            <v>#N/A</v>
          </cell>
          <cell r="H58" t="e">
            <v>#N/A</v>
          </cell>
          <cell r="I58">
            <v>-0.73000000000000143</v>
          </cell>
          <cell r="J58" t="e">
            <v>#DIV/0!</v>
          </cell>
          <cell r="K58" t="e">
            <v>#N/A</v>
          </cell>
          <cell r="L58" t="e">
            <v>#N/A</v>
          </cell>
        </row>
        <row r="59">
          <cell r="A59" t="str">
            <v>2139-90</v>
          </cell>
          <cell r="B59" t="str">
            <v>14014473</v>
          </cell>
          <cell r="C59" t="str">
            <v>Poly Facial</v>
          </cell>
          <cell r="D59" t="str">
            <v>D213990 KS IF S SIZE120'S 24P FSC mix70%</v>
          </cell>
          <cell r="E59" t="str">
            <v>D 213990舒洁新系列抽纸小尺寸120抽24包装FSC mix70%</v>
          </cell>
          <cell r="F59" t="e">
            <v>#N/A</v>
          </cell>
          <cell r="G59" t="e">
            <v>#N/A</v>
          </cell>
          <cell r="H59" t="e">
            <v>#N/A</v>
          </cell>
          <cell r="I59" t="e">
            <v>#DIV/0!</v>
          </cell>
          <cell r="J59" t="e">
            <v>#DIV/0!</v>
          </cell>
          <cell r="K59" t="e">
            <v>#N/A</v>
          </cell>
          <cell r="L59" t="e">
            <v>#N/A</v>
          </cell>
        </row>
        <row r="60">
          <cell r="A60" t="str">
            <v>2679-20</v>
          </cell>
          <cell r="B60" t="str">
            <v>14011751</v>
          </cell>
          <cell r="C60" t="str">
            <v>Perineal Wipes</v>
          </cell>
          <cell r="D60" t="str">
            <v>D267920KS FEMALE PW 24'S 2P - Line</v>
          </cell>
          <cell r="E60" t="str">
            <v>D267920舒洁女性湿厕纸2包装 - Line</v>
          </cell>
          <cell r="F60" t="e">
            <v>#N/A</v>
          </cell>
          <cell r="G60" t="e">
            <v>#N/A</v>
          </cell>
          <cell r="H60" t="e">
            <v>#N/A</v>
          </cell>
          <cell r="I60" t="e">
            <v>#DIV/0!</v>
          </cell>
          <cell r="J60" t="e">
            <v>#DIV/0!</v>
          </cell>
          <cell r="K60" t="e">
            <v>#N/A</v>
          </cell>
          <cell r="L60" t="e">
            <v>#N/A</v>
          </cell>
        </row>
        <row r="61">
          <cell r="A61" t="str">
            <v>2679-30</v>
          </cell>
          <cell r="B61" t="str">
            <v>14014252</v>
          </cell>
          <cell r="C61" t="str">
            <v>Perineal Wipes</v>
          </cell>
          <cell r="D61" t="str">
            <v>D267930KS PW FEMALE 24'S 2P</v>
          </cell>
          <cell r="E61" t="str">
            <v>D267930舒洁女性湿厕纸2包装</v>
          </cell>
          <cell r="F61" t="e">
            <v>#N/A</v>
          </cell>
          <cell r="G61" t="e">
            <v>#N/A</v>
          </cell>
          <cell r="H61" t="e">
            <v>#N/A</v>
          </cell>
          <cell r="I61">
            <v>63.240902061855678</v>
          </cell>
          <cell r="J61" t="e">
            <v>#DIV/0!</v>
          </cell>
          <cell r="K61" t="e">
            <v>#N/A</v>
          </cell>
          <cell r="L61" t="e">
            <v>#N/A</v>
          </cell>
        </row>
        <row r="62">
          <cell r="A62" t="str">
            <v>2680-30</v>
          </cell>
          <cell r="B62" t="str">
            <v>14014251</v>
          </cell>
          <cell r="C62" t="str">
            <v>Perineal Wipes</v>
          </cell>
          <cell r="D62" t="str">
            <v>D268030KS PW FEMALE 24'S 5P</v>
          </cell>
          <cell r="E62" t="str">
            <v>D268030舒洁女性湿厕纸5包装</v>
          </cell>
          <cell r="F62" t="e">
            <v>#N/A</v>
          </cell>
          <cell r="G62" t="e">
            <v>#N/A</v>
          </cell>
          <cell r="H62" t="e">
            <v>#N/A</v>
          </cell>
          <cell r="I62" t="e">
            <v>#DIV/0!</v>
          </cell>
          <cell r="J62" t="e">
            <v>#DIV/0!</v>
          </cell>
          <cell r="K62" t="e">
            <v>#N/A</v>
          </cell>
          <cell r="L62" t="e">
            <v>#N/A</v>
          </cell>
        </row>
        <row r="63">
          <cell r="A63" t="str">
            <v>2167-03</v>
          </cell>
          <cell r="B63" t="str">
            <v>14016043</v>
          </cell>
          <cell r="C63" t="str">
            <v>Poly Facial</v>
          </cell>
          <cell r="D63" t="str">
            <v>216703KS PREMIUM LTN 6Ply 7'S 3P Samplin</v>
          </cell>
          <cell r="E63" t="str">
            <v>216703KS PREMIUM LTN 6Ply 7'S 3P Samplin</v>
          </cell>
          <cell r="F63" t="e">
            <v>#N/A</v>
          </cell>
          <cell r="G63" t="e">
            <v>#N/A</v>
          </cell>
          <cell r="H63" t="e">
            <v>#N/A</v>
          </cell>
          <cell r="I63">
            <v>122.13806327900286</v>
          </cell>
          <cell r="J63">
            <v>109.63073852295409</v>
          </cell>
          <cell r="K63" t="e">
            <v>#N/A</v>
          </cell>
          <cell r="L63" t="e">
            <v>#N/A</v>
          </cell>
        </row>
        <row r="64">
          <cell r="A64" t="str">
            <v>2149-80</v>
          </cell>
          <cell r="B64" t="str">
            <v>14012198</v>
          </cell>
          <cell r="C64" t="str">
            <v>Poly Facial</v>
          </cell>
          <cell r="D64" t="str">
            <v>D214980 KS IF S SIZE 120'S 3P FSC mix70%</v>
          </cell>
          <cell r="E64" t="str">
            <v>D214980舒洁新系列抽纸小尺寸120抽3包装FSC mix70%</v>
          </cell>
          <cell r="F64" t="e">
            <v>#N/A</v>
          </cell>
          <cell r="G64" t="e">
            <v>#N/A</v>
          </cell>
          <cell r="H64" t="e">
            <v>#N/A</v>
          </cell>
          <cell r="I64" t="e">
            <v>#DIV/0!</v>
          </cell>
          <cell r="J64" t="e">
            <v>#DIV/0!</v>
          </cell>
          <cell r="K64" t="e">
            <v>#N/A</v>
          </cell>
          <cell r="L64" t="e">
            <v>#N/A</v>
          </cell>
        </row>
        <row r="65">
          <cell r="A65" t="str">
            <v>2693-10</v>
          </cell>
          <cell r="B65" t="str">
            <v>14014248</v>
          </cell>
          <cell r="C65" t="str">
            <v>Perineal Wipes</v>
          </cell>
          <cell r="D65" t="str">
            <v>D269310KS PW TRAVEL PACK 10'S</v>
          </cell>
          <cell r="E65" t="str">
            <v xml:space="preserve">D269310舒洁湿厕纸旅行装10片 </v>
          </cell>
          <cell r="F65" t="e">
            <v>#N/A</v>
          </cell>
          <cell r="G65" t="e">
            <v>#N/A</v>
          </cell>
          <cell r="H65" t="e">
            <v>#N/A</v>
          </cell>
          <cell r="I65">
            <v>26.030963525835897</v>
          </cell>
          <cell r="J65" t="e">
            <v>#DIV/0!</v>
          </cell>
          <cell r="K65" t="e">
            <v>#N/A</v>
          </cell>
          <cell r="L65" t="e">
            <v>#N/A</v>
          </cell>
        </row>
        <row r="66">
          <cell r="A66" t="str">
            <v>2157-03</v>
          </cell>
          <cell r="B66" t="str">
            <v>14016310</v>
          </cell>
          <cell r="C66" t="str">
            <v>Poly Facial</v>
          </cell>
          <cell r="D66" t="str">
            <v>215703KS PREMIUM LTN 4Ply 40'S Sampling</v>
          </cell>
          <cell r="E66" t="str">
            <v>215703KS PREMIUM LTN 4Ply 40'S Sampling</v>
          </cell>
          <cell r="F66" t="e">
            <v>#N/A</v>
          </cell>
          <cell r="G66" t="e">
            <v>#N/A</v>
          </cell>
          <cell r="H66" t="e">
            <v>#N/A</v>
          </cell>
          <cell r="I66" t="e">
            <v>#DIV/0!</v>
          </cell>
          <cell r="J66">
            <v>53.194444444444443</v>
          </cell>
          <cell r="K66" t="e">
            <v>#N/A</v>
          </cell>
          <cell r="L66" t="e">
            <v>#N/A</v>
          </cell>
        </row>
        <row r="67">
          <cell r="A67" t="str">
            <v>2148-10</v>
          </cell>
          <cell r="B67" t="str">
            <v>14014475</v>
          </cell>
          <cell r="C67" t="str">
            <v>Poly Facial</v>
          </cell>
          <cell r="D67" t="str">
            <v>D214810KS IF FACIAL 120'S 16P FSC mix</v>
          </cell>
          <cell r="E67" t="str">
            <v>D214810舒洁小熊印花抽纸120抽16包FSC mix70%</v>
          </cell>
          <cell r="F67" t="e">
            <v>#N/A</v>
          </cell>
          <cell r="G67" t="e">
            <v>#N/A</v>
          </cell>
          <cell r="H67" t="e">
            <v>#N/A</v>
          </cell>
          <cell r="I67">
            <v>161.33800241429256</v>
          </cell>
          <cell r="J67">
            <v>157.24910474755092</v>
          </cell>
          <cell r="K67" t="e">
            <v>#DIV/0!</v>
          </cell>
          <cell r="L67" t="e">
            <v>#DIV/0!</v>
          </cell>
        </row>
        <row r="68">
          <cell r="A68" t="str">
            <v>2131-80</v>
          </cell>
          <cell r="B68" t="str">
            <v>14012202</v>
          </cell>
          <cell r="C68" t="str">
            <v>Poly Facial</v>
          </cell>
          <cell r="D68" t="str">
            <v>D213180 KS IF L SIZE120'S 12P FSC mix70%</v>
          </cell>
          <cell r="E68" t="str">
            <v>D213180舒洁新系列抽纸大尺寸120抽12包装FSC mix70%</v>
          </cell>
          <cell r="F68" t="e">
            <v>#N/A</v>
          </cell>
          <cell r="G68" t="e">
            <v>#N/A</v>
          </cell>
          <cell r="H68" t="e">
            <v>#N/A</v>
          </cell>
          <cell r="I68" t="e">
            <v>#DIV/0!</v>
          </cell>
          <cell r="J68" t="e">
            <v>#DIV/0!</v>
          </cell>
          <cell r="K68" t="e">
            <v>#N/A</v>
          </cell>
          <cell r="L68" t="e">
            <v>#N/A</v>
          </cell>
        </row>
        <row r="69">
          <cell r="A69" t="str">
            <v>2216-15</v>
          </cell>
          <cell r="B69" t="str">
            <v>14003354</v>
          </cell>
          <cell r="C69" t="str">
            <v>RBT</v>
          </cell>
          <cell r="D69" t="str">
            <v>D221615KS RBT white 210'S 3PLY 10R</v>
          </cell>
          <cell r="E69" t="str">
            <v xml:space="preserve">D221615舒洁卷纸3层纯白10粒（蓝色） </v>
          </cell>
          <cell r="F69" t="e">
            <v>#N/A</v>
          </cell>
          <cell r="G69" t="e">
            <v>#N/A</v>
          </cell>
          <cell r="H69" t="e">
            <v>#N/A</v>
          </cell>
          <cell r="I69" t="e">
            <v>#DIV/0!</v>
          </cell>
          <cell r="J69" t="e">
            <v>#DIV/0!</v>
          </cell>
          <cell r="K69" t="e">
            <v>#N/A</v>
          </cell>
          <cell r="L69" t="e">
            <v>#N/A</v>
          </cell>
        </row>
        <row r="70">
          <cell r="A70" t="str">
            <v>2757-80</v>
          </cell>
          <cell r="B70" t="str">
            <v>14014485</v>
          </cell>
          <cell r="C70" t="str">
            <v>Hanky</v>
          </cell>
          <cell r="D70" t="str">
            <v>D 275780KS HK COCO BEAR 40P_SAMS FSC mix</v>
          </cell>
          <cell r="E70" t="str">
            <v>D 275780舒洁小熊印花手帕纸3层40包-SAMS FSC mix70%</v>
          </cell>
          <cell r="F70" t="e">
            <v>#N/A</v>
          </cell>
          <cell r="G70" t="e">
            <v>#N/A</v>
          </cell>
          <cell r="H70" t="e">
            <v>#N/A</v>
          </cell>
          <cell r="I70" t="e">
            <v>#DIV/0!</v>
          </cell>
          <cell r="J70" t="e">
            <v>#DIV/0!</v>
          </cell>
          <cell r="K70" t="e">
            <v>#N/A</v>
          </cell>
          <cell r="L70" t="e">
            <v>#N/A</v>
          </cell>
        </row>
        <row r="71">
          <cell r="A71" t="str">
            <v>2717-70</v>
          </cell>
          <cell r="B71" t="str">
            <v>14012196</v>
          </cell>
          <cell r="C71" t="str">
            <v>Hanky</v>
          </cell>
          <cell r="D71" t="str">
            <v>D271770 KS HK 7'S 18P - Line FSC mix70%</v>
          </cell>
          <cell r="E71" t="str">
            <v>D271770舒洁手帕纸7张18包-Line FSC mix70%</v>
          </cell>
          <cell r="F71" t="e">
            <v>#N/A</v>
          </cell>
          <cell r="G71" t="e">
            <v>#N/A</v>
          </cell>
          <cell r="H71" t="e">
            <v>#N/A</v>
          </cell>
          <cell r="I71" t="e">
            <v>#DIV/0!</v>
          </cell>
          <cell r="J71" t="e">
            <v>#DIV/0!</v>
          </cell>
          <cell r="K71" t="e">
            <v>#N/A</v>
          </cell>
          <cell r="L71" t="e">
            <v>#N/A</v>
          </cell>
        </row>
        <row r="72">
          <cell r="A72" t="str">
            <v>48990474-05</v>
          </cell>
          <cell r="B72" t="str">
            <v>14012259</v>
          </cell>
          <cell r="C72" t="str">
            <v>Perineal Wipes</v>
          </cell>
          <cell r="D72" t="str">
            <v>ANDREX MBT(10X20)X6</v>
          </cell>
          <cell r="E72" t="str">
            <v>皇冠濕廁紙10片裝x20x6</v>
          </cell>
          <cell r="F72" t="e">
            <v>#N/A</v>
          </cell>
          <cell r="G72" t="e">
            <v>#N/A</v>
          </cell>
          <cell r="H72" t="e">
            <v>#N/A</v>
          </cell>
          <cell r="I72" t="e">
            <v>#DIV/0!</v>
          </cell>
          <cell r="J72" t="e">
            <v>#DIV/0!</v>
          </cell>
          <cell r="K72" t="e">
            <v>#N/A</v>
          </cell>
          <cell r="L72" t="e">
            <v>#N/A</v>
          </cell>
        </row>
        <row r="73">
          <cell r="A73" t="str">
            <v>2291-50</v>
          </cell>
          <cell r="B73" t="str">
            <v>14003357</v>
          </cell>
          <cell r="C73" t="str">
            <v>RBT</v>
          </cell>
          <cell r="D73" t="str">
            <v>D229150KS RBT Grntea&amp;Chamomile250'SP/S10</v>
          </cell>
          <cell r="E73" t="str">
            <v xml:space="preserve">D229150舒洁绿茶洋甘菊印花清香卷纸10粒 </v>
          </cell>
          <cell r="F73" t="e">
            <v>#N/A</v>
          </cell>
          <cell r="G73" t="e">
            <v>#N/A</v>
          </cell>
          <cell r="H73" t="e">
            <v>#N/A</v>
          </cell>
          <cell r="I73" t="e">
            <v>#DIV/0!</v>
          </cell>
          <cell r="J73" t="e">
            <v>#DIV/0!</v>
          </cell>
          <cell r="K73" t="e">
            <v>#N/A</v>
          </cell>
          <cell r="L73" t="e">
            <v>#N/A</v>
          </cell>
        </row>
        <row r="74">
          <cell r="A74" t="str">
            <v>48990477-05</v>
          </cell>
          <cell r="B74" t="str">
            <v>14012260</v>
          </cell>
          <cell r="C74" t="str">
            <v>Perineal Wipes</v>
          </cell>
          <cell r="D74" t="str">
            <v>ANDREX MBT REFILL(40X15)</v>
          </cell>
          <cell r="E74" t="str">
            <v>皇冠濕廁紙40片補充裝x15</v>
          </cell>
          <cell r="F74" t="e">
            <v>#N/A</v>
          </cell>
          <cell r="G74" t="e">
            <v>#N/A</v>
          </cell>
          <cell r="H74" t="e">
            <v>#N/A</v>
          </cell>
          <cell r="I74" t="e">
            <v>#DIV/0!</v>
          </cell>
          <cell r="J74" t="e">
            <v>#DIV/0!</v>
          </cell>
          <cell r="K74" t="e">
            <v>#N/A</v>
          </cell>
          <cell r="L74" t="e">
            <v>#N/A</v>
          </cell>
        </row>
        <row r="75">
          <cell r="A75" t="str">
            <v>48990474-06</v>
          </cell>
          <cell r="B75" t="str">
            <v>14014717</v>
          </cell>
          <cell r="C75" t="str">
            <v>Perineal Wipes</v>
          </cell>
          <cell r="D75" t="str">
            <v>ANDREX MBT (10X20)X6</v>
          </cell>
          <cell r="E75" t="str">
            <v>皇冠濕廁紙10片裝x20x6</v>
          </cell>
          <cell r="F75">
            <v>0</v>
          </cell>
          <cell r="G75">
            <v>6</v>
          </cell>
          <cell r="H75">
            <v>0</v>
          </cell>
          <cell r="I75" t="e">
            <v>#DIV/0!</v>
          </cell>
          <cell r="J75" t="e">
            <v>#DIV/0!</v>
          </cell>
          <cell r="K75" t="e">
            <v>#N/A</v>
          </cell>
          <cell r="L75" t="e">
            <v>#N/A</v>
          </cell>
        </row>
        <row r="76">
          <cell r="A76" t="str">
            <v>2663-00</v>
          </cell>
          <cell r="B76" t="str">
            <v>14015394</v>
          </cell>
          <cell r="C76" t="str">
            <v>Perineal Wipes</v>
          </cell>
          <cell r="D76" t="str">
            <v>D266300KS PW FAMILY PACK 80'S 8P-Sams</v>
          </cell>
          <cell r="E76" t="str">
            <v>D266300舒洁湿厕纸80片x8包-山姆</v>
          </cell>
          <cell r="F76" t="e">
            <v>#N/A</v>
          </cell>
          <cell r="G76" t="e">
            <v>#N/A</v>
          </cell>
          <cell r="H76" t="e">
            <v>#N/A</v>
          </cell>
          <cell r="I76">
            <v>34.583688865730281</v>
          </cell>
          <cell r="J76">
            <v>31.521887410407796</v>
          </cell>
          <cell r="K76" t="e">
            <v>#DIV/0!</v>
          </cell>
          <cell r="L76" t="e">
            <v>#DIV/0!</v>
          </cell>
        </row>
        <row r="77">
          <cell r="A77" t="str">
            <v>48990477-06</v>
          </cell>
          <cell r="B77" t="str">
            <v>14014716</v>
          </cell>
          <cell r="C77" t="str">
            <v>Perineal Wipes</v>
          </cell>
          <cell r="D77" t="str">
            <v>ANDREX MBT (40X15)</v>
          </cell>
          <cell r="E77" t="str">
            <v>皇冠濕廁紙40片裝x15</v>
          </cell>
          <cell r="F77">
            <v>0</v>
          </cell>
          <cell r="G77">
            <v>15</v>
          </cell>
          <cell r="H77">
            <v>0</v>
          </cell>
          <cell r="I77" t="e">
            <v>#DIV/0!</v>
          </cell>
          <cell r="J77" t="e">
            <v>#DIV/0!</v>
          </cell>
          <cell r="K77" t="e">
            <v>#N/A</v>
          </cell>
          <cell r="L77" t="e">
            <v>#N/A</v>
          </cell>
        </row>
        <row r="78">
          <cell r="A78" t="str">
            <v>48990514-03</v>
          </cell>
          <cell r="B78" t="str">
            <v>14012262</v>
          </cell>
          <cell r="C78" t="str">
            <v>Perineal Wipes</v>
          </cell>
          <cell r="D78" t="str">
            <v>ANDREX MBT REFILL(40X3)X12</v>
          </cell>
          <cell r="E78" t="str">
            <v>皇冠濕廁紙40片補充裝3包優惠裝x12</v>
          </cell>
          <cell r="F78" t="e">
            <v>#N/A</v>
          </cell>
          <cell r="G78" t="e">
            <v>#N/A</v>
          </cell>
          <cell r="H78" t="e">
            <v>#N/A</v>
          </cell>
          <cell r="I78" t="e">
            <v>#DIV/0!</v>
          </cell>
          <cell r="J78" t="e">
            <v>#DIV/0!</v>
          </cell>
          <cell r="K78" t="e">
            <v>#N/A</v>
          </cell>
          <cell r="L78" t="e">
            <v>#N/A</v>
          </cell>
        </row>
        <row r="79">
          <cell r="A79" t="str">
            <v>48990514-04</v>
          </cell>
          <cell r="B79" t="str">
            <v>14014715</v>
          </cell>
          <cell r="C79" t="str">
            <v>Perineal Wipes</v>
          </cell>
          <cell r="D79" t="str">
            <v>ANDREX MBT (40X3)X12</v>
          </cell>
          <cell r="E79" t="str">
            <v>皇冠濕廁紙40片裝3包優惠裝x12</v>
          </cell>
          <cell r="F79">
            <v>0</v>
          </cell>
          <cell r="G79">
            <v>12</v>
          </cell>
          <cell r="H79">
            <v>0</v>
          </cell>
          <cell r="I79" t="e">
            <v>#DIV/0!</v>
          </cell>
          <cell r="J79" t="e">
            <v>#DIV/0!</v>
          </cell>
          <cell r="K79" t="e">
            <v>#N/A</v>
          </cell>
          <cell r="L79" t="e">
            <v>#N/A</v>
          </cell>
        </row>
        <row r="80">
          <cell r="A80" t="str">
            <v>2216-25</v>
          </cell>
          <cell r="B80" t="str">
            <v>14014477</v>
          </cell>
          <cell r="C80" t="str">
            <v>RBT</v>
          </cell>
          <cell r="D80" t="str">
            <v>D221625KS RBT white 210'S 3PLY 10R</v>
          </cell>
          <cell r="E80" t="str">
            <v xml:space="preserve">D221625舒洁卷纸3层纯白10粒（蓝色） </v>
          </cell>
          <cell r="F80" t="e">
            <v>#N/A</v>
          </cell>
          <cell r="G80" t="e">
            <v>#N/A</v>
          </cell>
          <cell r="H80" t="e">
            <v>#N/A</v>
          </cell>
          <cell r="I80">
            <v>249.51336683417088</v>
          </cell>
          <cell r="J80" t="e">
            <v>#DIV/0!</v>
          </cell>
          <cell r="K80" t="e">
            <v>#N/A</v>
          </cell>
          <cell r="L80" t="e">
            <v>#N/A</v>
          </cell>
        </row>
        <row r="81">
          <cell r="A81" t="str">
            <v>2103-80</v>
          </cell>
          <cell r="B81" t="str">
            <v>14014469</v>
          </cell>
          <cell r="C81" t="str">
            <v>Poly Facial</v>
          </cell>
          <cell r="D81" t="str">
            <v>D210380KS IF COCO P 120'S 4P FSC mix70%</v>
          </cell>
          <cell r="E81" t="str">
            <v>D210380舒洁小熊印花抽纸120抽4包FSC mix70%</v>
          </cell>
          <cell r="F81" t="e">
            <v>#N/A</v>
          </cell>
          <cell r="G81" t="e">
            <v>#N/A</v>
          </cell>
          <cell r="H81" t="e">
            <v>#N/A</v>
          </cell>
          <cell r="I81">
            <v>153.12711144756784</v>
          </cell>
          <cell r="J81">
            <v>148.93932576459676</v>
          </cell>
          <cell r="K81" t="e">
            <v>#DIV/0!</v>
          </cell>
          <cell r="L81" t="e">
            <v>#DIV/0!</v>
          </cell>
        </row>
        <row r="82">
          <cell r="A82" t="str">
            <v>2318-70</v>
          </cell>
          <cell r="B82" t="str">
            <v>14012192</v>
          </cell>
          <cell r="C82" t="str">
            <v>Box Facial</v>
          </cell>
          <cell r="D82" t="str">
            <v>D231870 KS BF 120'S 3P-Line FSC mix70%</v>
          </cell>
          <cell r="E82" t="str">
            <v>D231870舒洁盒纸面纸120抽3盒-LineFSC mix70%</v>
          </cell>
          <cell r="F82" t="e">
            <v>#N/A</v>
          </cell>
          <cell r="G82" t="e">
            <v>#N/A</v>
          </cell>
          <cell r="H82" t="e">
            <v>#N/A</v>
          </cell>
          <cell r="I82" t="e">
            <v>#DIV/0!</v>
          </cell>
          <cell r="J82" t="e">
            <v>#DIV/0!</v>
          </cell>
          <cell r="K82" t="e">
            <v>#N/A</v>
          </cell>
          <cell r="L82" t="e">
            <v>#N/A</v>
          </cell>
        </row>
        <row r="83">
          <cell r="A83" t="str">
            <v>2660-10</v>
          </cell>
          <cell r="B83" t="str">
            <v>14017865</v>
          </cell>
          <cell r="C83" t="str">
            <v>Perineal Wipes</v>
          </cell>
          <cell r="D83" t="str">
            <v>266010 KS PW FAMILY PACK 80'S</v>
          </cell>
          <cell r="E83" t="str">
            <v xml:space="preserve">266010舒洁湿厕纸80片 </v>
          </cell>
          <cell r="F83">
            <v>326.88</v>
          </cell>
          <cell r="G83">
            <v>24</v>
          </cell>
          <cell r="H83">
            <v>13.62</v>
          </cell>
          <cell r="I83"/>
          <cell r="J83"/>
          <cell r="K83">
            <v>88.510710842579542</v>
          </cell>
          <cell r="L83">
            <v>0.27077432342933044</v>
          </cell>
        </row>
        <row r="84">
          <cell r="A84" t="str">
            <v>2661-10</v>
          </cell>
          <cell r="B84" t="str">
            <v>14017866</v>
          </cell>
          <cell r="C84" t="str">
            <v>Perineal Wipes</v>
          </cell>
          <cell r="D84" t="str">
            <v>266110 KS PW FAMILY PACK 80'S 3P</v>
          </cell>
          <cell r="E84" t="str">
            <v xml:space="preserve">266110舒洁湿厕纸80片x3包 </v>
          </cell>
          <cell r="F84">
            <v>310.48</v>
          </cell>
          <cell r="G84">
            <v>8</v>
          </cell>
          <cell r="H84">
            <v>38.81</v>
          </cell>
          <cell r="I84"/>
          <cell r="J84"/>
          <cell r="K84" t="e">
            <v>#DIV/0!</v>
          </cell>
          <cell r="L84" t="e">
            <v>#DIV/0!</v>
          </cell>
        </row>
        <row r="85">
          <cell r="A85" t="str">
            <v>2662-10</v>
          </cell>
          <cell r="B85" t="str">
            <v>14017868</v>
          </cell>
          <cell r="C85" t="str">
            <v>Perineal Wipes</v>
          </cell>
          <cell r="D85" t="str">
            <v>266210 KS PW FAMILY PACK 80'S 6P</v>
          </cell>
          <cell r="E85" t="str">
            <v xml:space="preserve">266210舒洁湿厕纸80片x6包 </v>
          </cell>
          <cell r="F85">
            <v>69.44</v>
          </cell>
          <cell r="G85">
            <v>1</v>
          </cell>
          <cell r="H85">
            <v>69.44</v>
          </cell>
          <cell r="I85"/>
          <cell r="J85"/>
          <cell r="K85">
            <v>23.541880686667628</v>
          </cell>
          <cell r="L85">
            <v>0.3390247794739002</v>
          </cell>
        </row>
        <row r="86">
          <cell r="A86" t="str">
            <v>2664-10</v>
          </cell>
          <cell r="B86" t="str">
            <v>14017869</v>
          </cell>
          <cell r="C86" t="str">
            <v>Perineal Wipes</v>
          </cell>
          <cell r="D86" t="str">
            <v>266410 KS PW FAMILY PACK 80'S 8P</v>
          </cell>
          <cell r="E86" t="str">
            <v>266410舒洁湿厕纸80片x8包(黄箱)</v>
          </cell>
          <cell r="F86">
            <v>92.6</v>
          </cell>
          <cell r="G86">
            <v>1</v>
          </cell>
          <cell r="H86">
            <v>92.6</v>
          </cell>
          <cell r="I86"/>
          <cell r="J86"/>
          <cell r="K86">
            <v>31.553882711797694</v>
          </cell>
          <cell r="L86">
            <v>0.34075467291358202</v>
          </cell>
        </row>
        <row r="87">
          <cell r="A87" t="str">
            <v>2665-10</v>
          </cell>
          <cell r="B87" t="str">
            <v>14017870</v>
          </cell>
          <cell r="C87" t="str">
            <v>Perineal Wipes</v>
          </cell>
          <cell r="D87" t="str">
            <v>266510 KS PW FAMILY PACK 80'S 10P-JD</v>
          </cell>
          <cell r="E87" t="str">
            <v>266510舒洁湿厕纸80片x10包-京东</v>
          </cell>
          <cell r="F87">
            <v>115.7</v>
          </cell>
          <cell r="G87">
            <v>1</v>
          </cell>
          <cell r="H87">
            <v>115.7</v>
          </cell>
          <cell r="I87"/>
          <cell r="J87"/>
          <cell r="K87">
            <v>39.320073195415276</v>
          </cell>
          <cell r="L87">
            <v>0.33984505786875779</v>
          </cell>
        </row>
        <row r="88">
          <cell r="A88" t="str">
            <v>2670-40</v>
          </cell>
          <cell r="B88" t="str">
            <v>14017871</v>
          </cell>
          <cell r="C88" t="str">
            <v>Perineal Wipes</v>
          </cell>
          <cell r="D88" t="str">
            <v>267040 KS PW TRAVEL PACK 10'S 10P</v>
          </cell>
          <cell r="E88" t="str">
            <v>267040舒洁湿厕纸旅行装10包装</v>
          </cell>
          <cell r="F88">
            <v>151.33000000000001</v>
          </cell>
          <cell r="G88">
            <v>4</v>
          </cell>
          <cell r="H88">
            <v>37.832500000000003</v>
          </cell>
          <cell r="I88"/>
          <cell r="J88"/>
          <cell r="K88">
            <v>28.370303550973656</v>
          </cell>
          <cell r="L88">
            <v>0.18747309555919944</v>
          </cell>
        </row>
        <row r="89">
          <cell r="A89" t="str">
            <v>2694-50</v>
          </cell>
          <cell r="B89" t="str">
            <v>14017864</v>
          </cell>
          <cell r="C89" t="str">
            <v>Perineal Wipes</v>
          </cell>
          <cell r="D89" t="str">
            <v>269450 KS PW FAMILY PACK 40'S</v>
          </cell>
          <cell r="E89" t="str">
            <v xml:space="preserve">269450舒洁湿厕纸家庭装40抽 </v>
          </cell>
          <cell r="F89">
            <v>367.52</v>
          </cell>
          <cell r="G89">
            <v>40</v>
          </cell>
          <cell r="H89">
            <v>9.1879999999999988</v>
          </cell>
          <cell r="I89"/>
          <cell r="J89"/>
          <cell r="K89" t="e">
            <v>#DIV/0!</v>
          </cell>
          <cell r="L89" t="e">
            <v>#DIV/0!</v>
          </cell>
        </row>
        <row r="90">
          <cell r="A90" t="str">
            <v>2694-60</v>
          </cell>
          <cell r="B90" t="str">
            <v>14017872</v>
          </cell>
          <cell r="C90" t="str">
            <v>Perineal Wipes</v>
          </cell>
          <cell r="D90" t="str">
            <v>269460 KS PW FAMILY PACK 40'S 10P</v>
          </cell>
          <cell r="E90" t="str">
            <v>269460舒洁湿厕纸家庭装40抽10包装</v>
          </cell>
          <cell r="F90">
            <v>330.25</v>
          </cell>
          <cell r="G90">
            <v>4</v>
          </cell>
          <cell r="H90">
            <v>82.5625</v>
          </cell>
          <cell r="I90"/>
          <cell r="J90"/>
          <cell r="K90">
            <v>92.69945824847251</v>
          </cell>
          <cell r="L90">
            <v>0.28069480166077976</v>
          </cell>
        </row>
        <row r="91">
          <cell r="A91" t="str">
            <v>2655-10</v>
          </cell>
          <cell r="B91"/>
          <cell r="C91" t="str">
            <v>Perineal Wipes</v>
          </cell>
          <cell r="D91"/>
          <cell r="E91" t="str">
            <v>265510舒洁湿厕纸7抽6包装</v>
          </cell>
          <cell r="F91">
            <v>179.2</v>
          </cell>
          <cell r="G91">
            <v>16</v>
          </cell>
          <cell r="H91">
            <v>11.2</v>
          </cell>
          <cell r="I91"/>
          <cell r="J91"/>
          <cell r="K91">
            <v>47.723960132225585</v>
          </cell>
          <cell r="L91">
            <v>0.2663167418092946</v>
          </cell>
        </row>
        <row r="92">
          <cell r="A92"/>
          <cell r="E92"/>
          <cell r="F92"/>
          <cell r="G92"/>
          <cell r="H92"/>
          <cell r="I92"/>
          <cell r="J92"/>
          <cell r="K92"/>
          <cell r="L92"/>
        </row>
        <row r="93">
          <cell r="E93"/>
          <cell r="F93"/>
          <cell r="G93"/>
          <cell r="H93"/>
          <cell r="I93"/>
          <cell r="J93"/>
          <cell r="K93"/>
          <cell r="L93"/>
        </row>
        <row r="94">
          <cell r="E94"/>
          <cell r="F94"/>
          <cell r="G94"/>
          <cell r="H94"/>
          <cell r="I94"/>
          <cell r="J94"/>
          <cell r="K94"/>
          <cell r="L94"/>
        </row>
        <row r="95">
          <cell r="E95"/>
          <cell r="F95"/>
          <cell r="G95"/>
          <cell r="H95"/>
          <cell r="I95"/>
          <cell r="J95"/>
          <cell r="K95"/>
          <cell r="L95"/>
        </row>
        <row r="96">
          <cell r="E96"/>
          <cell r="F96"/>
          <cell r="G96"/>
          <cell r="H96"/>
          <cell r="I96"/>
          <cell r="J96"/>
          <cell r="K96"/>
          <cell r="L96"/>
        </row>
        <row r="97">
          <cell r="E97"/>
          <cell r="F97"/>
          <cell r="G97"/>
          <cell r="H97"/>
          <cell r="I97"/>
          <cell r="J97"/>
          <cell r="K97"/>
        </row>
        <row r="98">
          <cell r="E98"/>
          <cell r="F98"/>
          <cell r="G98"/>
          <cell r="H98"/>
          <cell r="I98"/>
          <cell r="J98"/>
          <cell r="K98"/>
        </row>
        <row r="99">
          <cell r="E99"/>
          <cell r="F99"/>
          <cell r="G99"/>
          <cell r="H99"/>
          <cell r="I99"/>
          <cell r="J99"/>
          <cell r="K99"/>
        </row>
        <row r="100">
          <cell r="E100"/>
          <cell r="F100"/>
          <cell r="G100"/>
          <cell r="H100"/>
          <cell r="I100"/>
          <cell r="J100"/>
          <cell r="K100"/>
        </row>
        <row r="101">
          <cell r="E101"/>
          <cell r="F101"/>
          <cell r="G101"/>
          <cell r="H101"/>
          <cell r="I101"/>
          <cell r="J101"/>
          <cell r="K101"/>
        </row>
        <row r="102">
          <cell r="E102"/>
          <cell r="F102"/>
          <cell r="G102"/>
          <cell r="H102"/>
          <cell r="I102"/>
          <cell r="J102"/>
          <cell r="K102"/>
        </row>
        <row r="103">
          <cell r="E103"/>
          <cell r="F103"/>
          <cell r="G103"/>
          <cell r="H103"/>
          <cell r="I103"/>
          <cell r="J103"/>
          <cell r="K103"/>
        </row>
        <row r="104">
          <cell r="E104"/>
          <cell r="F104"/>
          <cell r="G104"/>
          <cell r="H104"/>
          <cell r="I104"/>
          <cell r="J104"/>
          <cell r="K104"/>
        </row>
        <row r="105">
          <cell r="E105"/>
          <cell r="F105"/>
          <cell r="G105"/>
          <cell r="H105"/>
          <cell r="I105"/>
          <cell r="J105"/>
          <cell r="K105"/>
        </row>
        <row r="106">
          <cell r="E106"/>
          <cell r="F106"/>
          <cell r="G106"/>
          <cell r="H106"/>
          <cell r="I106"/>
          <cell r="J106"/>
          <cell r="K106"/>
        </row>
        <row r="107">
          <cell r="E107"/>
          <cell r="F107"/>
          <cell r="G107"/>
          <cell r="H107"/>
          <cell r="I107"/>
          <cell r="J107"/>
          <cell r="K107"/>
        </row>
        <row r="108">
          <cell r="E108"/>
          <cell r="F108"/>
          <cell r="G108"/>
          <cell r="H108"/>
          <cell r="I108"/>
          <cell r="J108"/>
          <cell r="K108"/>
        </row>
        <row r="109">
          <cell r="E109"/>
          <cell r="F109"/>
          <cell r="G109"/>
          <cell r="H109"/>
          <cell r="I109"/>
          <cell r="J109"/>
          <cell r="K109"/>
        </row>
        <row r="110">
          <cell r="E110"/>
          <cell r="F110"/>
          <cell r="G110"/>
          <cell r="H110"/>
          <cell r="I110"/>
          <cell r="J110"/>
          <cell r="K110"/>
        </row>
        <row r="111">
          <cell r="E111"/>
          <cell r="F111"/>
          <cell r="G111"/>
          <cell r="H111"/>
          <cell r="I111"/>
          <cell r="J111"/>
          <cell r="K111"/>
        </row>
        <row r="112">
          <cell r="E112"/>
          <cell r="F112"/>
          <cell r="G112"/>
          <cell r="H112"/>
          <cell r="I112"/>
          <cell r="J112"/>
          <cell r="K112"/>
        </row>
        <row r="113">
          <cell r="E113"/>
          <cell r="F113"/>
          <cell r="G113"/>
          <cell r="H113"/>
          <cell r="I113"/>
          <cell r="J113"/>
          <cell r="K113"/>
        </row>
        <row r="114">
          <cell r="E114"/>
          <cell r="F114"/>
          <cell r="G114"/>
          <cell r="H114"/>
          <cell r="I114"/>
          <cell r="J114"/>
          <cell r="K114"/>
        </row>
        <row r="115">
          <cell r="E115"/>
          <cell r="F115"/>
          <cell r="G115"/>
          <cell r="H115"/>
          <cell r="I115"/>
          <cell r="J115"/>
          <cell r="K115"/>
        </row>
        <row r="116">
          <cell r="E116"/>
          <cell r="F116"/>
          <cell r="G116"/>
          <cell r="H116"/>
          <cell r="I116"/>
          <cell r="J116"/>
          <cell r="K116"/>
        </row>
        <row r="117">
          <cell r="E117"/>
          <cell r="F117"/>
          <cell r="G117"/>
          <cell r="H117"/>
          <cell r="I117"/>
          <cell r="J117"/>
          <cell r="K117"/>
        </row>
        <row r="118">
          <cell r="E118"/>
          <cell r="F118"/>
          <cell r="G118"/>
          <cell r="H118"/>
          <cell r="I118"/>
          <cell r="J118"/>
          <cell r="K118"/>
        </row>
        <row r="119">
          <cell r="E119"/>
          <cell r="F119"/>
          <cell r="G119"/>
          <cell r="H119"/>
          <cell r="I119"/>
          <cell r="J119"/>
          <cell r="K119"/>
        </row>
        <row r="120">
          <cell r="E120"/>
          <cell r="F120"/>
          <cell r="G120"/>
          <cell r="H120"/>
          <cell r="I120"/>
          <cell r="J120"/>
          <cell r="K120"/>
        </row>
        <row r="121">
          <cell r="E121"/>
          <cell r="F121"/>
          <cell r="G121"/>
          <cell r="H121"/>
          <cell r="I121"/>
          <cell r="J121"/>
          <cell r="K121"/>
        </row>
        <row r="122">
          <cell r="E122"/>
          <cell r="F122"/>
          <cell r="G122"/>
          <cell r="H122"/>
          <cell r="I122"/>
          <cell r="J122"/>
          <cell r="K122"/>
        </row>
        <row r="123">
          <cell r="E123"/>
          <cell r="F123"/>
          <cell r="G123"/>
          <cell r="H123"/>
          <cell r="I123"/>
          <cell r="J123"/>
          <cell r="K123"/>
        </row>
        <row r="124">
          <cell r="E124"/>
          <cell r="F124"/>
          <cell r="G124"/>
          <cell r="H124"/>
          <cell r="I124"/>
          <cell r="J124"/>
          <cell r="K124"/>
        </row>
        <row r="125">
          <cell r="E125"/>
          <cell r="F125"/>
          <cell r="G125"/>
          <cell r="H125"/>
          <cell r="I125"/>
          <cell r="J125"/>
          <cell r="K125"/>
        </row>
        <row r="126">
          <cell r="E126"/>
          <cell r="F126"/>
          <cell r="G126"/>
          <cell r="H126"/>
          <cell r="I126"/>
          <cell r="J126"/>
          <cell r="K126"/>
        </row>
        <row r="127">
          <cell r="E127"/>
          <cell r="F127"/>
          <cell r="G127"/>
          <cell r="H127"/>
          <cell r="I127"/>
          <cell r="J127"/>
          <cell r="K127"/>
        </row>
        <row r="128">
          <cell r="E128"/>
          <cell r="F128"/>
          <cell r="G128"/>
          <cell r="H128"/>
          <cell r="I128"/>
          <cell r="J128"/>
          <cell r="K128"/>
        </row>
        <row r="129">
          <cell r="E129"/>
          <cell r="F129"/>
          <cell r="G129"/>
          <cell r="H129"/>
          <cell r="I129"/>
          <cell r="J129"/>
          <cell r="K129"/>
          <cell r="L129"/>
        </row>
        <row r="130">
          <cell r="E130"/>
          <cell r="F130"/>
          <cell r="G130"/>
          <cell r="H130"/>
          <cell r="I130"/>
          <cell r="J130"/>
          <cell r="K130"/>
          <cell r="L130"/>
        </row>
        <row r="134">
          <cell r="H134"/>
        </row>
      </sheetData>
      <sheetData sheetId="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产品价格体系"/>
      <sheetName val="测算"/>
      <sheetName val="Sheet2"/>
      <sheetName val="最新团购政策"/>
      <sheetName val="Sheet3"/>
      <sheetName val="产品照片"/>
      <sheetName val="GP转换公式"/>
      <sheetName val="Sheet1"/>
      <sheetName val="备注"/>
      <sheetName val="江杉"/>
    </sheetNames>
    <sheetDataSet>
      <sheetData sheetId="0"/>
      <sheetData sheetId="1"/>
      <sheetData sheetId="2"/>
      <sheetData sheetId="3"/>
      <sheetData sheetId="4"/>
      <sheetData sheetId="5"/>
      <sheetData sheetId="6"/>
      <sheetData sheetId="7">
        <row r="1">
          <cell r="R1" t="str">
            <v>2291-60</v>
          </cell>
          <cell r="S1" t="str">
            <v>2312-16</v>
          </cell>
          <cell r="U1" t="str">
            <v>2613-00</v>
          </cell>
          <cell r="V1" t="str">
            <v>2655-00</v>
          </cell>
        </row>
        <row r="2">
          <cell r="R2">
            <v>0.192</v>
          </cell>
          <cell r="S2">
            <v>0.16</v>
          </cell>
          <cell r="U2">
            <v>0.44</v>
          </cell>
          <cell r="V2"/>
        </row>
        <row r="3">
          <cell r="R3">
            <v>0.05</v>
          </cell>
          <cell r="S3">
            <v>0.05</v>
          </cell>
          <cell r="U3">
            <v>0.1</v>
          </cell>
          <cell r="V3"/>
        </row>
        <row r="6">
          <cell r="A6" t="str">
            <v>经销商</v>
          </cell>
          <cell r="B6" t="str">
            <v>文鑫</v>
          </cell>
          <cell r="C6" t="str">
            <v>金力鱼</v>
          </cell>
        </row>
        <row r="7">
          <cell r="A7" t="str">
            <v>2103-80</v>
          </cell>
          <cell r="B7">
            <v>0.2</v>
          </cell>
          <cell r="C7">
            <v>0.111</v>
          </cell>
        </row>
        <row r="8">
          <cell r="A8" t="str">
            <v>2103-90</v>
          </cell>
          <cell r="B8">
            <v>0.2</v>
          </cell>
          <cell r="C8">
            <v>0.111</v>
          </cell>
        </row>
        <row r="9">
          <cell r="A9" t="str">
            <v>2107-61</v>
          </cell>
          <cell r="B9">
            <v>0.21299999999999999</v>
          </cell>
          <cell r="C9">
            <v>0.08</v>
          </cell>
        </row>
        <row r="10">
          <cell r="A10" t="str">
            <v>2148-10</v>
          </cell>
          <cell r="B10"/>
          <cell r="C10"/>
        </row>
        <row r="11">
          <cell r="A11" t="str">
            <v>2148-90</v>
          </cell>
          <cell r="B11"/>
          <cell r="C11"/>
        </row>
        <row r="12">
          <cell r="A12" t="str">
            <v>2152-04</v>
          </cell>
          <cell r="B12"/>
          <cell r="C12">
            <v>0.3</v>
          </cell>
        </row>
        <row r="13">
          <cell r="A13" t="str">
            <v>2155-03</v>
          </cell>
          <cell r="B13"/>
          <cell r="C13"/>
          <cell r="R13" t="str">
            <v>2701-90</v>
          </cell>
          <cell r="S13">
            <v>0.15</v>
          </cell>
          <cell r="U13" t="str">
            <v>产品编码</v>
          </cell>
          <cell r="V13" t="str">
            <v>折扣力度</v>
          </cell>
        </row>
        <row r="14">
          <cell r="A14" t="str">
            <v>2156-10</v>
          </cell>
          <cell r="B14"/>
          <cell r="C14"/>
          <cell r="R14" t="str">
            <v>2694-40</v>
          </cell>
          <cell r="S14">
            <v>0.35</v>
          </cell>
          <cell r="U14"/>
          <cell r="V14"/>
        </row>
        <row r="15">
          <cell r="A15" t="str">
            <v>2162-08</v>
          </cell>
          <cell r="B15"/>
          <cell r="C15">
            <v>0.246</v>
          </cell>
          <cell r="R15" t="str">
            <v>2694-30</v>
          </cell>
          <cell r="S15">
            <v>0.45</v>
          </cell>
          <cell r="U15"/>
          <cell r="V15"/>
        </row>
        <row r="16">
          <cell r="A16" t="str">
            <v>2167-10</v>
          </cell>
          <cell r="B16">
            <v>0.28999999999999998</v>
          </cell>
          <cell r="C16">
            <v>0.05</v>
          </cell>
          <cell r="R16" t="str">
            <v>2682-20</v>
          </cell>
          <cell r="S16">
            <v>0.4</v>
          </cell>
          <cell r="U16" t="str">
            <v>2694-30</v>
          </cell>
          <cell r="V16">
            <v>0.45179999999999998</v>
          </cell>
        </row>
        <row r="17">
          <cell r="A17" t="str">
            <v>2168-05</v>
          </cell>
          <cell r="B17">
            <v>0.30499999999999999</v>
          </cell>
          <cell r="C17"/>
          <cell r="R17" t="str">
            <v>2674-00</v>
          </cell>
          <cell r="S17">
            <v>0.26</v>
          </cell>
          <cell r="U17" t="str">
            <v>2662-00</v>
          </cell>
          <cell r="V17">
            <v>0.29099999999999998</v>
          </cell>
        </row>
        <row r="18">
          <cell r="A18" t="str">
            <v>2216-35</v>
          </cell>
          <cell r="B18">
            <v>0.192</v>
          </cell>
          <cell r="C18">
            <v>0.05</v>
          </cell>
          <cell r="R18" t="str">
            <v>2673-00</v>
          </cell>
          <cell r="S18">
            <v>0.24</v>
          </cell>
          <cell r="U18" t="str">
            <v>2312-16</v>
          </cell>
          <cell r="V18">
            <v>0.05</v>
          </cell>
        </row>
        <row r="19">
          <cell r="A19" t="str">
            <v>2291-60</v>
          </cell>
          <cell r="B19">
            <v>0.192</v>
          </cell>
          <cell r="C19">
            <v>0.05</v>
          </cell>
          <cell r="R19" t="str">
            <v>2670-30</v>
          </cell>
          <cell r="S19">
            <v>0.45</v>
          </cell>
          <cell r="U19" t="str">
            <v>2613-00</v>
          </cell>
          <cell r="V19">
            <v>0.1</v>
          </cell>
        </row>
        <row r="20">
          <cell r="A20" t="str">
            <v>2312-16</v>
          </cell>
          <cell r="B20">
            <v>0.16</v>
          </cell>
          <cell r="C20">
            <v>0.05</v>
          </cell>
          <cell r="R20" t="str">
            <v>2666-00</v>
          </cell>
          <cell r="S20">
            <v>0.28000000000000003</v>
          </cell>
          <cell r="U20" t="str">
            <v>2107-61</v>
          </cell>
          <cell r="V20" t="str">
            <v>尚无</v>
          </cell>
        </row>
        <row r="21">
          <cell r="A21" t="str">
            <v>2530-00</v>
          </cell>
          <cell r="B21"/>
          <cell r="C21">
            <v>0.44040000000000001</v>
          </cell>
          <cell r="R21" t="str">
            <v>2662-00</v>
          </cell>
          <cell r="S21">
            <v>0.25</v>
          </cell>
          <cell r="U21" t="str">
            <v>2660-00</v>
          </cell>
          <cell r="V21">
            <v>0.35499999999999998</v>
          </cell>
        </row>
        <row r="22">
          <cell r="A22" t="str">
            <v>2613-00</v>
          </cell>
          <cell r="B22">
            <v>0.44</v>
          </cell>
          <cell r="C22">
            <v>0.1</v>
          </cell>
          <cell r="R22" t="str">
            <v>2661-00</v>
          </cell>
          <cell r="S22">
            <v>0.3</v>
          </cell>
          <cell r="U22" t="str">
            <v>2694-40</v>
          </cell>
          <cell r="V22">
            <v>0.4017</v>
          </cell>
        </row>
        <row r="23">
          <cell r="A23" t="str">
            <v>2655-00</v>
          </cell>
          <cell r="B23"/>
          <cell r="C23"/>
          <cell r="R23" t="str">
            <v>2660-00</v>
          </cell>
          <cell r="S23">
            <v>0.34499999999999997</v>
          </cell>
          <cell r="U23" t="str">
            <v>2216-35</v>
          </cell>
          <cell r="V23" t="str">
            <v>尚无</v>
          </cell>
        </row>
        <row r="24">
          <cell r="A24" t="str">
            <v>2660-00</v>
          </cell>
          <cell r="B24"/>
          <cell r="C24">
            <v>0.35499999999999998</v>
          </cell>
          <cell r="R24" t="str">
            <v>2655-00</v>
          </cell>
          <cell r="S24">
            <v>0.33</v>
          </cell>
          <cell r="U24" t="str">
            <v>2530-00</v>
          </cell>
          <cell r="V24">
            <v>0.40039999999999998</v>
          </cell>
        </row>
        <row r="25">
          <cell r="A25" t="str">
            <v>2661-00</v>
          </cell>
          <cell r="B25"/>
          <cell r="C25"/>
          <cell r="R25" t="str">
            <v>2613-00</v>
          </cell>
          <cell r="S25">
            <v>0.22</v>
          </cell>
          <cell r="U25" t="str">
            <v>2103-90</v>
          </cell>
          <cell r="V25">
            <v>0.111</v>
          </cell>
        </row>
        <row r="26">
          <cell r="A26" t="str">
            <v>2662-00</v>
          </cell>
          <cell r="B26">
            <v>0.29799999999999999</v>
          </cell>
          <cell r="C26">
            <v>0.29099999999999998</v>
          </cell>
          <cell r="R26" t="str">
            <v>2530-00</v>
          </cell>
          <cell r="S26">
            <v>0.4</v>
          </cell>
          <cell r="U26" t="str">
            <v>2701-90</v>
          </cell>
          <cell r="V26">
            <v>0.03</v>
          </cell>
        </row>
        <row r="27">
          <cell r="A27" t="str">
            <v>2670-30</v>
          </cell>
          <cell r="B27"/>
          <cell r="C27" t="str">
            <v>45%/35%</v>
          </cell>
          <cell r="R27" t="str">
            <v>2312-16</v>
          </cell>
          <cell r="S27">
            <v>0.12</v>
          </cell>
          <cell r="U27" t="str">
            <v>2670-30</v>
          </cell>
          <cell r="V27" t="str">
            <v>尚无</v>
          </cell>
        </row>
        <row r="28">
          <cell r="A28" t="str">
            <v>2682-20</v>
          </cell>
          <cell r="B28"/>
          <cell r="C28"/>
          <cell r="R28" t="str">
            <v>2291-60</v>
          </cell>
          <cell r="S28">
            <v>0.15</v>
          </cell>
          <cell r="U28" t="str">
            <v>2291-60</v>
          </cell>
          <cell r="V28">
            <v>0.05</v>
          </cell>
        </row>
        <row r="29">
          <cell r="A29" t="str">
            <v>2694-30</v>
          </cell>
          <cell r="B29">
            <v>0.47899999999999998</v>
          </cell>
          <cell r="C29">
            <v>0.45179999999999998</v>
          </cell>
          <cell r="R29" t="str">
            <v>2216-35</v>
          </cell>
          <cell r="S29">
            <v>0.12</v>
          </cell>
          <cell r="U29" t="str">
            <v>2162-08</v>
          </cell>
          <cell r="V29">
            <v>0.246</v>
          </cell>
        </row>
        <row r="30">
          <cell r="A30" t="str">
            <v>2694-40</v>
          </cell>
          <cell r="B30"/>
          <cell r="C30">
            <v>0.4017</v>
          </cell>
          <cell r="R30" t="str">
            <v>2168-05</v>
          </cell>
          <cell r="S30">
            <v>0.35</v>
          </cell>
          <cell r="U30" t="str">
            <v>2655-00</v>
          </cell>
          <cell r="V30" t="str">
            <v>尚无</v>
          </cell>
        </row>
        <row r="31">
          <cell r="A31" t="str">
            <v>2701-81</v>
          </cell>
          <cell r="B31">
            <v>0.21299999999999999</v>
          </cell>
          <cell r="C31">
            <v>0.03</v>
          </cell>
          <cell r="R31" t="str">
            <v>2167-10</v>
          </cell>
          <cell r="S31">
            <v>0.3</v>
          </cell>
          <cell r="U31" t="str">
            <v>2682-20</v>
          </cell>
          <cell r="V31">
            <v>0.25</v>
          </cell>
        </row>
        <row r="32">
          <cell r="A32" t="str">
            <v>2701-90</v>
          </cell>
          <cell r="B32">
            <v>0.21299999999999999</v>
          </cell>
          <cell r="C32">
            <v>0.03</v>
          </cell>
          <cell r="R32" t="str">
            <v>2162-08</v>
          </cell>
          <cell r="S32">
            <v>0.246</v>
          </cell>
          <cell r="U32" t="str">
            <v>2168-05</v>
          </cell>
          <cell r="V32" t="str">
            <v>尚无</v>
          </cell>
        </row>
        <row r="33">
          <cell r="R33" t="str">
            <v>2156-10</v>
          </cell>
          <cell r="S33">
            <v>0.33</v>
          </cell>
          <cell r="U33" t="str">
            <v>2167-10</v>
          </cell>
          <cell r="V33" t="str">
            <v>尚无</v>
          </cell>
        </row>
        <row r="34">
          <cell r="R34" t="str">
            <v>2155-03</v>
          </cell>
          <cell r="S34">
            <v>0.35</v>
          </cell>
          <cell r="U34" t="str">
            <v>2155-03</v>
          </cell>
          <cell r="V34" t="str">
            <v>尚无</v>
          </cell>
        </row>
        <row r="35">
          <cell r="R35" t="str">
            <v>2152-04</v>
          </cell>
          <cell r="S35">
            <v>0.35</v>
          </cell>
          <cell r="U35" t="str">
            <v>2673-00</v>
          </cell>
          <cell r="V35" t="str">
            <v>尚无</v>
          </cell>
        </row>
        <row r="36">
          <cell r="R36" t="str">
            <v>2148-90</v>
          </cell>
          <cell r="S36">
            <v>0.1</v>
          </cell>
          <cell r="U36" t="str">
            <v>2152-04</v>
          </cell>
          <cell r="V36">
            <v>0.3</v>
          </cell>
        </row>
        <row r="37">
          <cell r="R37" t="str">
            <v>2107-61</v>
          </cell>
          <cell r="S37">
            <v>0.15</v>
          </cell>
          <cell r="U37" t="str">
            <v>2156-10</v>
          </cell>
          <cell r="V37" t="str">
            <v>尚无</v>
          </cell>
        </row>
        <row r="38">
          <cell r="R38" t="str">
            <v>2103-90</v>
          </cell>
          <cell r="S38">
            <v>0.111</v>
          </cell>
          <cell r="U38" t="str">
            <v>2661-00</v>
          </cell>
          <cell r="V38" t="str">
            <v>尚无</v>
          </cell>
        </row>
        <row r="39">
          <cell r="U39" t="str">
            <v>2306-20</v>
          </cell>
          <cell r="V39" t="str">
            <v>尚无</v>
          </cell>
        </row>
        <row r="40">
          <cell r="U40" t="str">
            <v>2148-90</v>
          </cell>
          <cell r="V40" t="str">
            <v>尚无</v>
          </cell>
        </row>
        <row r="41">
          <cell r="U41" t="str">
            <v>2674-00</v>
          </cell>
          <cell r="V41" t="str">
            <v>尚无</v>
          </cell>
        </row>
        <row r="42">
          <cell r="U42" t="str">
            <v>2666-00</v>
          </cell>
          <cell r="V42" t="str">
            <v>尚无</v>
          </cell>
        </row>
      </sheetData>
      <sheetData sheetId="8">
        <row r="1">
          <cell r="A1" t="str">
            <v>产品编码</v>
          </cell>
          <cell r="B1" t="str">
            <v>COGS</v>
          </cell>
          <cell r="C1" t="str">
            <v>DE</v>
          </cell>
        </row>
        <row r="2">
          <cell r="A2" t="str">
            <v>2168-05</v>
          </cell>
          <cell r="B2">
            <v>0.32078953406150923</v>
          </cell>
          <cell r="C2">
            <v>2.7E-2</v>
          </cell>
        </row>
        <row r="3">
          <cell r="A3" t="str">
            <v>2694-30</v>
          </cell>
          <cell r="B3">
            <v>0.2510336854873374</v>
          </cell>
          <cell r="C3">
            <v>2.7E-2</v>
          </cell>
          <cell r="J3" t="str">
            <v>产品编码</v>
          </cell>
          <cell r="K3" t="str">
            <v>供价</v>
          </cell>
        </row>
        <row r="4">
          <cell r="A4" t="str">
            <v>2694-40</v>
          </cell>
          <cell r="B4">
            <v>0.29580527930385908</v>
          </cell>
          <cell r="C4">
            <v>2.7E-2</v>
          </cell>
          <cell r="J4" t="str">
            <v>2103-90</v>
          </cell>
          <cell r="K4">
            <v>11</v>
          </cell>
        </row>
        <row r="5">
          <cell r="A5" t="str">
            <v>2662-00</v>
          </cell>
          <cell r="B5">
            <v>0.36506535435867904</v>
          </cell>
          <cell r="C5">
            <v>2.7E-2</v>
          </cell>
          <cell r="J5" t="str">
            <v>2660-00</v>
          </cell>
          <cell r="K5">
            <v>8.5</v>
          </cell>
        </row>
        <row r="6">
          <cell r="A6" t="str">
            <v>2661-00</v>
          </cell>
          <cell r="B6">
            <v>0.33263940424043875</v>
          </cell>
          <cell r="C6">
            <v>2.7E-2</v>
          </cell>
          <cell r="J6" t="str">
            <v>2701-90</v>
          </cell>
          <cell r="K6">
            <v>5</v>
          </cell>
        </row>
        <row r="7">
          <cell r="A7" t="str">
            <v>2660-00</v>
          </cell>
          <cell r="B7">
            <v>0.29720204238048631</v>
          </cell>
          <cell r="C7">
            <v>2.7E-2</v>
          </cell>
          <cell r="J7" t="str">
            <v>2152-04</v>
          </cell>
          <cell r="K7">
            <v>19</v>
          </cell>
        </row>
        <row r="8">
          <cell r="A8" t="str">
            <v>2670-30</v>
          </cell>
          <cell r="B8">
            <v>0.1996394683576708</v>
          </cell>
          <cell r="C8">
            <v>2.7E-2</v>
          </cell>
          <cell r="J8" t="str">
            <v>2162-08</v>
          </cell>
          <cell r="K8">
            <v>19.2</v>
          </cell>
        </row>
        <row r="9">
          <cell r="A9" t="str">
            <v>2682-20</v>
          </cell>
          <cell r="B9">
            <v>0.24574617729495651</v>
          </cell>
          <cell r="C9">
            <v>2.7E-2</v>
          </cell>
          <cell r="J9" t="str">
            <v>2155-03</v>
          </cell>
          <cell r="K9">
            <v>8.5</v>
          </cell>
        </row>
        <row r="10">
          <cell r="A10" t="str">
            <v>2655-00</v>
          </cell>
          <cell r="B10">
            <v>0.30832738799426024</v>
          </cell>
          <cell r="C10">
            <v>2.7E-2</v>
          </cell>
          <cell r="J10" t="str">
            <v>2694-30</v>
          </cell>
          <cell r="K10">
            <v>5</v>
          </cell>
        </row>
        <row r="11">
          <cell r="A11" t="str">
            <v>2673-00</v>
          </cell>
          <cell r="B11">
            <v>0.36780518336964413</v>
          </cell>
          <cell r="C11">
            <v>2.7E-2</v>
          </cell>
          <cell r="J11" t="str">
            <v>2107-61</v>
          </cell>
          <cell r="K11">
            <v>12.8</v>
          </cell>
        </row>
        <row r="12">
          <cell r="A12" t="str">
            <v>2674-00</v>
          </cell>
          <cell r="B12">
            <v>0.37668155089033695</v>
          </cell>
          <cell r="C12">
            <v>2.7E-2</v>
          </cell>
          <cell r="J12" t="str">
            <v>2216-35</v>
          </cell>
          <cell r="K12">
            <v>22</v>
          </cell>
        </row>
        <row r="13">
          <cell r="A13" t="str">
            <v>2152-04</v>
          </cell>
          <cell r="B13">
            <v>0.32146754330763966</v>
          </cell>
          <cell r="C13">
            <v>2.7E-2</v>
          </cell>
          <cell r="J13" t="str">
            <v>2291-60</v>
          </cell>
          <cell r="K13">
            <v>24.8</v>
          </cell>
        </row>
        <row r="14">
          <cell r="A14" t="str">
            <v>2162-08</v>
          </cell>
          <cell r="B14">
            <v>0.34237421452352862</v>
          </cell>
          <cell r="C14">
            <v>2.7E-2</v>
          </cell>
          <cell r="J14" t="str">
            <v>2167-10</v>
          </cell>
          <cell r="K14">
            <v>14</v>
          </cell>
        </row>
        <row r="15">
          <cell r="A15" t="str">
            <v>2155-03</v>
          </cell>
          <cell r="B15">
            <v>0.27093207531474817</v>
          </cell>
          <cell r="C15">
            <v>2.7E-2</v>
          </cell>
          <cell r="J15" t="str">
            <v>2156-10</v>
          </cell>
          <cell r="K15">
            <v>21</v>
          </cell>
        </row>
        <row r="16">
          <cell r="A16" t="str">
            <v>2156-10</v>
          </cell>
          <cell r="B16">
            <v>0.28048232209842155</v>
          </cell>
          <cell r="C16">
            <v>2.7E-2</v>
          </cell>
          <cell r="J16" t="str">
            <v>2655-00</v>
          </cell>
          <cell r="K16">
            <v>8.5</v>
          </cell>
        </row>
        <row r="17">
          <cell r="A17" t="str">
            <v>2530-00</v>
          </cell>
          <cell r="B17">
            <v>0.25541261097152429</v>
          </cell>
          <cell r="C17">
            <v>2.7E-2</v>
          </cell>
          <cell r="J17" t="str">
            <v>2682-20</v>
          </cell>
          <cell r="K17">
            <v>4.2</v>
          </cell>
        </row>
        <row r="18">
          <cell r="A18" t="str">
            <v>2312-16</v>
          </cell>
          <cell r="B18">
            <v>0.40515142445366942</v>
          </cell>
          <cell r="C18">
            <v>2.7E-2</v>
          </cell>
          <cell r="J18" t="str">
            <v>2673-00</v>
          </cell>
          <cell r="K18">
            <v>8.5</v>
          </cell>
        </row>
        <row r="19">
          <cell r="A19" t="str">
            <v>2306-20</v>
          </cell>
          <cell r="B19">
            <v>0.36028229820693702</v>
          </cell>
          <cell r="C19">
            <v>2.7E-2</v>
          </cell>
          <cell r="J19" t="str">
            <v>2666-00</v>
          </cell>
          <cell r="K19">
            <v>12</v>
          </cell>
        </row>
        <row r="20">
          <cell r="A20" t="str">
            <v>2107-61</v>
          </cell>
          <cell r="B20">
            <v>0.46436327665246163</v>
          </cell>
          <cell r="C20">
            <v>2.7E-2</v>
          </cell>
          <cell r="J20" t="str">
            <v>2613-00</v>
          </cell>
          <cell r="K20">
            <v>2.4</v>
          </cell>
        </row>
        <row r="21">
          <cell r="A21" t="str">
            <v>2103-90</v>
          </cell>
          <cell r="B21">
            <v>0.5</v>
          </cell>
          <cell r="C21">
            <v>2.7E-2</v>
          </cell>
          <cell r="J21" t="str">
            <v>2530-00</v>
          </cell>
          <cell r="K21">
            <v>13.5</v>
          </cell>
        </row>
        <row r="22">
          <cell r="A22" t="str">
            <v>2148-90</v>
          </cell>
          <cell r="B22">
            <v>0.47291701808609155</v>
          </cell>
          <cell r="C22">
            <v>2.7E-2</v>
          </cell>
        </row>
        <row r="23">
          <cell r="A23" t="str">
            <v>2167-10</v>
          </cell>
          <cell r="B23">
            <v>0.34590988965201463</v>
          </cell>
          <cell r="C23">
            <v>2.7E-2</v>
          </cell>
        </row>
        <row r="24">
          <cell r="A24" t="str">
            <v>2291-60</v>
          </cell>
          <cell r="B24">
            <v>0.50361603381091802</v>
          </cell>
          <cell r="C24">
            <v>2.7E-2</v>
          </cell>
        </row>
        <row r="25">
          <cell r="A25" t="str">
            <v>2613-00</v>
          </cell>
          <cell r="B25">
            <v>0.32874085974934586</v>
          </cell>
          <cell r="C25">
            <v>2.7E-2</v>
          </cell>
        </row>
        <row r="26">
          <cell r="A26" t="str">
            <v>2701-90</v>
          </cell>
          <cell r="B26">
            <v>0.40313590045615566</v>
          </cell>
          <cell r="C26">
            <v>2.7E-2</v>
          </cell>
        </row>
        <row r="27">
          <cell r="A27" t="str">
            <v>2216-35</v>
          </cell>
          <cell r="B27">
            <v>0.45794135429633842</v>
          </cell>
          <cell r="C27">
            <v>2.7E-2</v>
          </cell>
        </row>
        <row r="28">
          <cell r="A28" t="str">
            <v>2666-00</v>
          </cell>
          <cell r="B28">
            <v>0.36006788652073746</v>
          </cell>
          <cell r="C28">
            <v>2.7E-2</v>
          </cell>
        </row>
      </sheetData>
      <sheetData sheetId="9"/>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s>
    <sheetDataSet>
      <sheetData sheetId="0">
        <row r="1">
          <cell r="C1" t="str">
            <v>SKU</v>
          </cell>
          <cell r="D1" t="str">
            <v>SKU Name</v>
          </cell>
        </row>
        <row r="2">
          <cell r="C2" t="str">
            <v>2662-00</v>
          </cell>
          <cell r="D2" t="str">
            <v>266200舒洁湿厕纸80片x6包</v>
          </cell>
        </row>
        <row r="3">
          <cell r="C3" t="str">
            <v>2664-00</v>
          </cell>
          <cell r="D3" t="str">
            <v>266400舒洁湿厕纸80片x8包(黄箱)</v>
          </cell>
        </row>
        <row r="4">
          <cell r="C4" t="str">
            <v>2663-00</v>
          </cell>
          <cell r="D4" t="str">
            <v>266300舒洁湿厕纸80片x8包</v>
          </cell>
        </row>
        <row r="5">
          <cell r="C5" t="str">
            <v>2168-05</v>
          </cell>
          <cell r="D5" t="str">
            <v>216805舒洁?北海道牛乳系列乳霜纸面巾80抽5包装</v>
          </cell>
        </row>
        <row r="6">
          <cell r="C6" t="str">
            <v>2660-00</v>
          </cell>
          <cell r="D6" t="str">
            <v>266000舒洁湿厕纸80片</v>
          </cell>
        </row>
        <row r="7">
          <cell r="C7" t="str">
            <v>2665-00</v>
          </cell>
          <cell r="D7" t="str">
            <v>266500舒洁湿厕纸80片x10包-京东</v>
          </cell>
        </row>
        <row r="8">
          <cell r="C8" t="str">
            <v>2666-00</v>
          </cell>
          <cell r="D8" t="str">
            <v>266600舒洁湿厕纸100片x6包</v>
          </cell>
        </row>
        <row r="9">
          <cell r="C9" t="str">
            <v>2694-40</v>
          </cell>
          <cell r="D9" t="str">
            <v>269440舒洁湿厕纸家庭装40抽10包装</v>
          </cell>
        </row>
        <row r="10">
          <cell r="C10" t="str">
            <v>2661-00</v>
          </cell>
          <cell r="D10" t="str">
            <v>266100舒洁湿厕纸80片x3包</v>
          </cell>
        </row>
        <row r="11">
          <cell r="C11" t="str">
            <v>2694-30</v>
          </cell>
          <cell r="D11" t="str">
            <v>269430舒洁湿厕纸家庭装40抽</v>
          </cell>
        </row>
        <row r="12">
          <cell r="C12" t="str">
            <v>2155-03</v>
          </cell>
          <cell r="D12" t="str">
            <v>215503舒洁?北海道轻牛乳系列乳霜纸面巾40抽3包装</v>
          </cell>
        </row>
        <row r="13">
          <cell r="C13" t="str">
            <v>2291-60</v>
          </cell>
          <cell r="D13" t="str">
            <v>229160舒洁绿茶洋甘菊印花清香卷纸10粒</v>
          </cell>
        </row>
        <row r="14">
          <cell r="C14" t="str">
            <v>2701-90</v>
          </cell>
          <cell r="D14" t="str">
            <v>270190舒洁小熊印花手帕纸3层10包FSC mix70%</v>
          </cell>
        </row>
        <row r="15">
          <cell r="C15" t="str">
            <v>2312-16</v>
          </cell>
          <cell r="D15" t="str">
            <v>231216 舒洁马蹄莲盒面纸200抽3盒 FSC mix70%</v>
          </cell>
        </row>
        <row r="16">
          <cell r="C16" t="str">
            <v>2670-30</v>
          </cell>
          <cell r="D16" t="str">
            <v>267030舒洁湿厕纸旅行装10包装</v>
          </cell>
        </row>
        <row r="17">
          <cell r="C17" t="str">
            <v>2107-61</v>
          </cell>
          <cell r="D17" t="str">
            <v>210761舒洁卡通系列抽纸200抽3包 FSC mix70%</v>
          </cell>
        </row>
        <row r="18">
          <cell r="C18" t="str">
            <v>2216-35</v>
          </cell>
          <cell r="D18" t="str">
            <v>221635舒洁卷纸3层纯白10粒（蓝色）</v>
          </cell>
        </row>
        <row r="19">
          <cell r="C19" t="str">
            <v>2674-00</v>
          </cell>
          <cell r="D19" t="str">
            <v>267400舒洁?山茶花系列湿巾（湿厕纸）60片x4包</v>
          </cell>
        </row>
        <row r="20">
          <cell r="C20" t="str">
            <v>2162-08</v>
          </cell>
          <cell r="D20" t="str">
            <v>216208舒洁?北海道牛乳系列乳霜纸面巾20抽8包装</v>
          </cell>
        </row>
        <row r="21">
          <cell r="C21" t="str">
            <v>2682-20</v>
          </cell>
          <cell r="D21" t="str">
            <v>268220舒洁女性湿厕纸10包装</v>
          </cell>
        </row>
        <row r="22">
          <cell r="C22" t="str">
            <v>2156-10</v>
          </cell>
          <cell r="D22" t="str">
            <v>215610舒洁?北海道轻牛乳系列乳霜纸面巾100抽3包装</v>
          </cell>
        </row>
        <row r="23">
          <cell r="C23" t="str">
            <v>2655-00</v>
          </cell>
          <cell r="D23" t="str">
            <v>265500舒洁湿厕纸7抽6包装</v>
          </cell>
        </row>
        <row r="24">
          <cell r="C24" t="str">
            <v>2613-00</v>
          </cell>
          <cell r="D24" t="str">
            <v>261300舒洁无香湿巾单包装</v>
          </cell>
        </row>
        <row r="25">
          <cell r="C25" t="str">
            <v>2148-90</v>
          </cell>
          <cell r="D25" t="str">
            <v>214890舒洁小熊印花抽纸3层80抽16包FSC mix70%</v>
          </cell>
        </row>
        <row r="26">
          <cell r="C26" t="str">
            <v>2103-90</v>
          </cell>
          <cell r="D26" t="str">
            <v>210390舒洁小熊印花抽纸3层80抽4包FSC mix70%</v>
          </cell>
        </row>
        <row r="27">
          <cell r="C27" t="str">
            <v>2167-10</v>
          </cell>
          <cell r="D27" t="str">
            <v>216710舒洁?牛乳系列乳霜纸面巾口袋包7抽10包装</v>
          </cell>
        </row>
        <row r="28">
          <cell r="C28" t="str">
            <v>2148-10</v>
          </cell>
          <cell r="D28" t="str">
            <v>214810舒洁小熊印花抽纸120抽16包FSC mix70%</v>
          </cell>
        </row>
        <row r="29">
          <cell r="C29" t="str">
            <v>2530-00</v>
          </cell>
          <cell r="D29" t="str">
            <v>253000舒洁蚕丝洗脸巾80抽3包装</v>
          </cell>
        </row>
        <row r="30">
          <cell r="C30" t="str">
            <v>2152-04</v>
          </cell>
          <cell r="D30" t="str">
            <v>215204舒洁鎏金系列乳霜纸巾40抽8包</v>
          </cell>
        </row>
        <row r="31">
          <cell r="C31" t="str">
            <v>2103-80</v>
          </cell>
          <cell r="D31" t="str">
            <v>210380舒洁小熊印花抽纸120抽4包FSC mix70%</v>
          </cell>
        </row>
        <row r="32">
          <cell r="C32" t="str">
            <v>2673-00</v>
          </cell>
          <cell r="D32" t="str">
            <v>267300舒洁?山茶花系列湿巾（湿厕纸）60片</v>
          </cell>
        </row>
        <row r="33">
          <cell r="C33" t="str">
            <v>2306-20</v>
          </cell>
          <cell r="D33" t="str">
            <v>230620舒洁环保系列盒抽面纸180抽6盒</v>
          </cell>
        </row>
        <row r="34">
          <cell r="C34" t="str">
            <v>2701-81</v>
          </cell>
          <cell r="D34" t="str">
            <v>270181 舒洁小熊印花手帕纸3层10包 FSC mix70%</v>
          </cell>
        </row>
        <row r="35">
          <cell r="C35" t="str">
            <v>2666-11</v>
          </cell>
          <cell r="D35" t="str">
            <v>266611舒洁湿厕纸100片x6包（点断式）</v>
          </cell>
        </row>
        <row r="36">
          <cell r="C36" t="str">
            <v>2291-50</v>
          </cell>
          <cell r="D36" t="str">
            <v>D229150舒洁绿茶洋甘菊印花清香卷纸10粒</v>
          </cell>
        </row>
        <row r="37">
          <cell r="C37" t="str">
            <v>2694-20</v>
          </cell>
          <cell r="D37" t="str">
            <v>D269420 舒洁湿厕纸家庭装 - Line</v>
          </cell>
        </row>
        <row r="38">
          <cell r="C38" t="str">
            <v>2613-00D</v>
          </cell>
          <cell r="D38" t="str">
            <v>D261300D 舒洁无香湿巾单包装</v>
          </cell>
        </row>
        <row r="39">
          <cell r="C39" t="str">
            <v>2520-00</v>
          </cell>
          <cell r="D39" t="str">
            <v>252000舒洁蚕丝洗脸巾20抽</v>
          </cell>
        </row>
        <row r="40">
          <cell r="C40" t="str">
            <v>2679-30</v>
          </cell>
          <cell r="D40" t="str">
            <v>D267930舒洁女性湿厕纸2包装</v>
          </cell>
        </row>
        <row r="41">
          <cell r="C41" t="str">
            <v>2216-25</v>
          </cell>
          <cell r="D41" t="str">
            <v>D221625舒洁卷纸3层纯白10粒（蓝色）</v>
          </cell>
        </row>
        <row r="42">
          <cell r="C42" t="str">
            <v>2694-02</v>
          </cell>
          <cell r="D42" t="str">
            <v>269402舒洁湿厕纸家庭装赠品装</v>
          </cell>
        </row>
        <row r="43">
          <cell r="C43" t="str">
            <v>2103-00</v>
          </cell>
          <cell r="D43" t="str">
            <v>D 210300舒洁抽取式纸巾2层</v>
          </cell>
        </row>
        <row r="44">
          <cell r="C44" t="str">
            <v>2001-00</v>
          </cell>
          <cell r="D44" t="str">
            <v>D 2001-00 OCJ优雅系列</v>
          </cell>
        </row>
        <row r="45">
          <cell r="C45" t="str">
            <v>2001-10</v>
          </cell>
          <cell r="D45" t="str">
            <v>D 2001-10 OCJ实惠系列</v>
          </cell>
        </row>
        <row r="46">
          <cell r="C46" t="str">
            <v>2002-00</v>
          </cell>
          <cell r="D46" t="str">
            <v>D 2002-00 OCJ活力系列</v>
          </cell>
        </row>
        <row r="47">
          <cell r="C47" t="str">
            <v>2005-00</v>
          </cell>
          <cell r="D47" t="str">
            <v>D 200500OCJ舒洁超值实惠大包装系列-目录</v>
          </cell>
        </row>
        <row r="48">
          <cell r="C48" t="str">
            <v>2103-11</v>
          </cell>
          <cell r="D48" t="str">
            <v>D210311舒洁抽取式面巾纸印花无香双层120抽单包体验装FSC mix50%</v>
          </cell>
        </row>
        <row r="49">
          <cell r="C49" t="str">
            <v>2103-66</v>
          </cell>
          <cell r="D49" t="str">
            <v>210366舒洁小熊印花抽纸120抽4+1包 FSC mix50%</v>
          </cell>
        </row>
        <row r="50">
          <cell r="C50" t="str">
            <v>2107-00</v>
          </cell>
          <cell r="D50" t="str">
            <v>D 210700舒洁200抽抽纸3包装迪斯尼</v>
          </cell>
        </row>
        <row r="51">
          <cell r="C51" t="str">
            <v>2107-38</v>
          </cell>
          <cell r="D51" t="str">
            <v>210738舒洁新年装抽纸200抽6包SAMS</v>
          </cell>
        </row>
        <row r="52">
          <cell r="C52" t="str">
            <v>2107-70</v>
          </cell>
          <cell r="D52" t="str">
            <v>210770舒洁卡通系列抽纸200抽3包FSCmix70%</v>
          </cell>
        </row>
        <row r="53">
          <cell r="C53" t="str">
            <v>2107-80</v>
          </cell>
          <cell r="D53" t="str">
            <v>D210780舒洁印花系列抽纸大尺寸100抽12包装FSC mix70%</v>
          </cell>
        </row>
        <row r="54">
          <cell r="C54" t="str">
            <v>2108-60</v>
          </cell>
          <cell r="D54" t="str">
            <v>D210860舒洁小熊印花抽纸120抽8包 FSC mix50%</v>
          </cell>
        </row>
        <row r="55">
          <cell r="C55" t="str">
            <v>2116-60</v>
          </cell>
          <cell r="D55" t="str">
            <v>D211660舒洁抽纸220抽3包装 FSC mix70%</v>
          </cell>
        </row>
        <row r="56">
          <cell r="C56" t="str">
            <v>2121-00</v>
          </cell>
          <cell r="D56" t="str">
            <v>D 212100舒洁Q迷你45抽抽纸5包装</v>
          </cell>
        </row>
        <row r="57">
          <cell r="C57" t="str">
            <v>2121-80</v>
          </cell>
          <cell r="D57" t="str">
            <v>D212180舒洁迷你系列抽纸45抽5包装</v>
          </cell>
        </row>
        <row r="58">
          <cell r="C58" t="str">
            <v>2126-60</v>
          </cell>
          <cell r="D58" t="str">
            <v>D 212660舒洁铃兰抽纸200抽*6包 sam's FSCmix50%</v>
          </cell>
        </row>
        <row r="59">
          <cell r="C59" t="str">
            <v>2131-80</v>
          </cell>
          <cell r="D59" t="str">
            <v>D213180舒洁新系列抽纸大尺寸120抽12包装FSC mix70%</v>
          </cell>
        </row>
        <row r="60">
          <cell r="C60" t="str">
            <v>2136-80</v>
          </cell>
          <cell r="D60" t="str">
            <v>D213680 舒洁夏日版抽纸小尺寸120抽20包装FSC mix 70%</v>
          </cell>
        </row>
        <row r="61">
          <cell r="C61" t="str">
            <v>2139-60</v>
          </cell>
          <cell r="D61" t="str">
            <v>D213960舒洁卡通系列抽纸150抽3包 FSC mix70%</v>
          </cell>
        </row>
        <row r="62">
          <cell r="C62" t="str">
            <v>2139-90</v>
          </cell>
          <cell r="D62" t="str">
            <v>D 213990舒洁新系列抽纸小尺寸120抽24包装FSC mix70%</v>
          </cell>
        </row>
        <row r="63">
          <cell r="C63" t="str">
            <v>2148-00</v>
          </cell>
          <cell r="D63" t="str">
            <v>D 214800舒洁小熊印花抽纸120抽16包 FSC mix70%</v>
          </cell>
        </row>
        <row r="64">
          <cell r="C64" t="str">
            <v>2149-80</v>
          </cell>
          <cell r="D64" t="str">
            <v>D214980舒洁新系列抽纸小尺寸120抽3包装FSC mix70%</v>
          </cell>
        </row>
        <row r="65">
          <cell r="C65" t="str">
            <v>2149-90</v>
          </cell>
          <cell r="D65" t="str">
            <v>D214990舒洁新系列抽纸小尺寸120抽3包装FSC mix70%</v>
          </cell>
        </row>
        <row r="66">
          <cell r="C66" t="str">
            <v>2153-10</v>
          </cell>
          <cell r="D66" t="str">
            <v>215310舒洁鎏金系列乳霜纸巾100抽6包</v>
          </cell>
        </row>
        <row r="67">
          <cell r="C67" t="str">
            <v>2200-03</v>
          </cell>
          <cell r="D67" t="str">
            <v>D 220003舒洁卷纸纯白3层单粒</v>
          </cell>
        </row>
        <row r="68">
          <cell r="C68" t="str">
            <v>2216-04</v>
          </cell>
          <cell r="D68" t="str">
            <v>D 舒洁三层纯白卷纸升级版</v>
          </cell>
        </row>
        <row r="69">
          <cell r="C69" t="str">
            <v>2216-14</v>
          </cell>
          <cell r="D69" t="str">
            <v>D 221614舒洁卷纸3层纯白10粒（蓝色）-西区</v>
          </cell>
        </row>
        <row r="70">
          <cell r="C70" t="str">
            <v>2282-01</v>
          </cell>
          <cell r="D70" t="str">
            <v>D228201舒洁卷纸3层10粒（外袋）</v>
          </cell>
        </row>
        <row r="71">
          <cell r="C71" t="str">
            <v>2289-00</v>
          </cell>
          <cell r="D71" t="str">
            <v>D228900舒洁卷筒卫生纸3层纯白30粒大包装</v>
          </cell>
        </row>
        <row r="72">
          <cell r="C72" t="str">
            <v>2289-10</v>
          </cell>
          <cell r="D72" t="str">
            <v>D228910舒洁卷筒卫生纸3层纯白30粒大包装</v>
          </cell>
        </row>
        <row r="73">
          <cell r="C73" t="str">
            <v>2291-00</v>
          </cell>
          <cell r="D73" t="str">
            <v>D 舒洁3层印花清香卷筒卫生纸</v>
          </cell>
        </row>
        <row r="74">
          <cell r="C74" t="str">
            <v>2296-00</v>
          </cell>
          <cell r="D74" t="str">
            <v>D229600舒洁绿茶洋甘菊卷纸20粒装_电商</v>
          </cell>
        </row>
        <row r="75">
          <cell r="C75" t="str">
            <v>2296-10</v>
          </cell>
          <cell r="D75" t="str">
            <v>D229610舒洁绿茶洋甘菊卷纸20粒装_电商</v>
          </cell>
        </row>
        <row r="76">
          <cell r="C76" t="str">
            <v>2312-03</v>
          </cell>
          <cell r="D76" t="str">
            <v>D231203舒洁经典盒纸面纸200抽3盒FSC mix70%</v>
          </cell>
        </row>
        <row r="77">
          <cell r="C77" t="str">
            <v>2312-08</v>
          </cell>
          <cell r="D77" t="str">
            <v>D 舒洁马蹄莲盒面纸200抽3盒</v>
          </cell>
        </row>
        <row r="78">
          <cell r="C78" t="str">
            <v>2312-13</v>
          </cell>
          <cell r="D78" t="str">
            <v>D231213舒洁经典盒纸面纸200抽3盒FSC mix70%</v>
          </cell>
        </row>
        <row r="79">
          <cell r="C79" t="str">
            <v>2318-70</v>
          </cell>
          <cell r="D79" t="str">
            <v>D231870舒洁盒纸面纸120抽3盒-LineFSC mix70%</v>
          </cell>
        </row>
        <row r="80">
          <cell r="C80" t="str">
            <v>2381-00</v>
          </cell>
          <cell r="D80" t="str">
            <v>D 238100舒洁玲珑家居面纸三层64抽单盒装</v>
          </cell>
        </row>
        <row r="81">
          <cell r="C81" t="str">
            <v>2501-01</v>
          </cell>
          <cell r="D81" t="str">
            <v>D250101舒洁净颜棉棉巾60抽单盒装</v>
          </cell>
        </row>
        <row r="82">
          <cell r="C82" t="str">
            <v>2506-01</v>
          </cell>
          <cell r="D82" t="str">
            <v>D250601舒洁净颜棉棉巾60抽六盒装</v>
          </cell>
        </row>
        <row r="83">
          <cell r="C83" t="str">
            <v>2531-00</v>
          </cell>
          <cell r="D83" t="str">
            <v>253100舒洁蚕丝洗脸巾80抽</v>
          </cell>
        </row>
        <row r="84">
          <cell r="C84" t="str">
            <v>2601-00</v>
          </cell>
          <cell r="D84" t="str">
            <v>D 舒洁芦荟维他命Ｅ湿纸巾</v>
          </cell>
        </row>
        <row r="85">
          <cell r="C85" t="str">
            <v>2611-00D</v>
          </cell>
          <cell r="D85" t="str">
            <v>D261100D舒洁弱酸湿巾单包装</v>
          </cell>
        </row>
        <row r="86">
          <cell r="C86" t="str">
            <v>2612-00D</v>
          </cell>
          <cell r="D86" t="str">
            <v>D261200D 舒洁加香湿巾单包装</v>
          </cell>
        </row>
        <row r="87">
          <cell r="C87" t="str">
            <v>2670-00</v>
          </cell>
          <cell r="D87" t="str">
            <v>D267000舒洁湿厕纸旅行装10包特惠装</v>
          </cell>
        </row>
        <row r="88">
          <cell r="C88" t="str">
            <v>2679-00</v>
          </cell>
          <cell r="D88" t="str">
            <v>D267900舒洁女性湿厕纸24抽2包装</v>
          </cell>
        </row>
        <row r="89">
          <cell r="C89" t="str">
            <v>2679-20</v>
          </cell>
          <cell r="D89" t="str">
            <v>D267920舒洁女性湿厕纸2包装 - Line</v>
          </cell>
        </row>
        <row r="90">
          <cell r="C90" t="str">
            <v>2680-30</v>
          </cell>
          <cell r="D90" t="str">
            <v>D268030舒洁女性湿厕纸5包装</v>
          </cell>
        </row>
        <row r="91">
          <cell r="C91" t="str">
            <v>2682-00</v>
          </cell>
          <cell r="D91" t="str">
            <v>D268200舒洁女性湿厕纸10包装</v>
          </cell>
        </row>
        <row r="92">
          <cell r="C92" t="str">
            <v>2689-10</v>
          </cell>
          <cell r="D92" t="str">
            <v>D268910舒洁湿厕纸家庭装40抽9包装</v>
          </cell>
        </row>
        <row r="93">
          <cell r="C93" t="str">
            <v>2691-00A</v>
          </cell>
          <cell r="D93" t="str">
            <v>D269100A舒洁杀菌洁肤卫生湿巾卡通系列单包</v>
          </cell>
        </row>
        <row r="94">
          <cell r="C94" t="str">
            <v>2691-10</v>
          </cell>
          <cell r="D94" t="str">
            <v>D269110舒洁杀菌洁肤卫生湿巾单包-Line</v>
          </cell>
        </row>
        <row r="95">
          <cell r="C95" t="str">
            <v>2693-00</v>
          </cell>
          <cell r="D95" t="str">
            <v>D269300舒洁湿厕纸旅行装</v>
          </cell>
        </row>
        <row r="96">
          <cell r="C96" t="str">
            <v>2693-01</v>
          </cell>
          <cell r="D96" t="str">
            <v>D269301舒洁湿厕纸旅行装10片单包</v>
          </cell>
        </row>
        <row r="97">
          <cell r="C97" t="str">
            <v>2694-10</v>
          </cell>
          <cell r="D97" t="str">
            <v>D269410舒洁湿厕纸10包装</v>
          </cell>
        </row>
        <row r="98">
          <cell r="C98" t="str">
            <v>2698-00</v>
          </cell>
          <cell r="D98" t="str">
            <v>D269800舒洁湿厕纸家庭装3包装</v>
          </cell>
        </row>
        <row r="99">
          <cell r="C99" t="str">
            <v>2698-22</v>
          </cell>
          <cell r="D99" t="str">
            <v>D269822 舒洁湿厕纸3+2装 - Line</v>
          </cell>
        </row>
        <row r="100">
          <cell r="C100" t="str">
            <v>2701-03</v>
          </cell>
          <cell r="D100" t="str">
            <v>D 270103舒洁3层可可家族印花迷你手帕纸10包</v>
          </cell>
        </row>
        <row r="101">
          <cell r="C101" t="str">
            <v>2701-50</v>
          </cell>
          <cell r="D101" t="str">
            <v>D 270150舒洁蓝丝绸手帕纸40包 Sams</v>
          </cell>
        </row>
        <row r="102">
          <cell r="C102" t="str">
            <v>2701-80</v>
          </cell>
          <cell r="D102" t="str">
            <v>D 舒洁经典迷你纸手帕3层10*4</v>
          </cell>
        </row>
        <row r="103">
          <cell r="C103" t="str">
            <v>2703-60</v>
          </cell>
          <cell r="D103" t="str">
            <v>D270360舒洁卡通系列手帕纸3层10包FSCmix70%</v>
          </cell>
        </row>
        <row r="104">
          <cell r="C104" t="str">
            <v>2714-60</v>
          </cell>
          <cell r="D104" t="str">
            <v>D271460舒洁80后迷你手帕纸3层10包 FSC mix70%</v>
          </cell>
        </row>
        <row r="105">
          <cell r="C105" t="str">
            <v>2717-70</v>
          </cell>
          <cell r="D105" t="str">
            <v>D271770舒洁手帕纸7张18包-Line FSC mix70%</v>
          </cell>
        </row>
        <row r="106">
          <cell r="C106" t="str">
            <v>2750-60</v>
          </cell>
          <cell r="D106" t="str">
            <v>D275060舒洁印花玫瑰加香手帕纸3层10包 FSC mix70%</v>
          </cell>
        </row>
        <row r="107">
          <cell r="C107" t="str">
            <v>2757-60</v>
          </cell>
          <cell r="D107" t="str">
            <v>D275760舒洁小熊印花手帕纸3层40包-SAMS FSC mix70%</v>
          </cell>
        </row>
        <row r="108">
          <cell r="C108" t="str">
            <v>2757-80</v>
          </cell>
          <cell r="D108" t="str">
            <v>D 275780舒洁小熊印花手帕纸3层40包-SAMS FSC mix70%</v>
          </cell>
        </row>
        <row r="109">
          <cell r="C109" t="str">
            <v>2694-01</v>
          </cell>
          <cell r="D109" t="str">
            <v>269401舒洁湿厕纸家庭装40片单包</v>
          </cell>
        </row>
        <row r="110">
          <cell r="C110" t="str">
            <v>2701-05</v>
          </cell>
          <cell r="D110" t="str">
            <v>D 舒洁3层迷你纸手帕(10包)</v>
          </cell>
        </row>
        <row r="111">
          <cell r="C111" t="str">
            <v>2216-15</v>
          </cell>
          <cell r="D111" t="str">
            <v>D221615舒洁卷纸3层纯白10粒（蓝色）</v>
          </cell>
        </row>
        <row r="112">
          <cell r="C112" t="str">
            <v>2694-00</v>
          </cell>
          <cell r="D112" t="str">
            <v>D269400舒洁湿厕纸家庭装</v>
          </cell>
        </row>
        <row r="113">
          <cell r="C113" t="str">
            <v>2107-60</v>
          </cell>
          <cell r="D113" t="str">
            <v>D210760舒洁卡通系列抽纸200抽3包 FSC mix70%</v>
          </cell>
        </row>
        <row r="114">
          <cell r="C114" t="str">
            <v>2701-60</v>
          </cell>
          <cell r="D114" t="str">
            <v>D270160舒洁小熊印花手帕纸3层10包 FSC mix70%</v>
          </cell>
        </row>
        <row r="115">
          <cell r="C115" t="str">
            <v>2103-60</v>
          </cell>
          <cell r="D115" t="str">
            <v>D210360舒洁小熊印花抽纸120抽4包FSC mix70%</v>
          </cell>
        </row>
        <row r="116">
          <cell r="C116" t="str">
            <v>2312-02</v>
          </cell>
          <cell r="D116" t="str">
            <v>D231202舒洁马蹄莲盒面纸200抽3盒 FSC mix70%</v>
          </cell>
        </row>
        <row r="117">
          <cell r="C117" t="str">
            <v>2619-00</v>
          </cell>
          <cell r="D117" t="str">
            <v>261900舒洁小熊压花无香湿巾10包特惠装</v>
          </cell>
        </row>
        <row r="118">
          <cell r="C118" t="str">
            <v>2693-10</v>
          </cell>
          <cell r="D118" t="str">
            <v>269310舒洁湿厕纸旅行装10片</v>
          </cell>
        </row>
        <row r="119">
          <cell r="C119" t="str">
            <v>总计</v>
          </cell>
          <cell r="D119"/>
        </row>
      </sheetData>
    </sheetDataSet>
  </externalBook>
</externalLink>
</file>

<file path=xl/persons/person.xml><?xml version="1.0" encoding="utf-8"?>
<personList xmlns="http://schemas.microsoft.com/office/spreadsheetml/2018/threadedcomments" xmlns:x="http://schemas.openxmlformats.org/spreadsheetml/2006/main">
  <person displayName="Shen, Desheng" id="{36DC5F62-B4A7-45EC-ABBD-ACCF013F9629}" userId="S::desheng.shen@kcc.com::50d2f4a0-4fa4-472b-bb94-0fa730696b54"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u, Lu" refreshedDate="45769.82346226852" createdVersion="8" refreshedVersion="8" minRefreshableVersion="3" recordCount="63" xr:uid="{DB3CF45A-EAA9-4E2E-BE4B-4C03C21222E5}">
  <cacheSource type="worksheet">
    <worksheetSource ref="B3:X3" sheet="随货(用折扣力度报价)-填写标黄单元格"/>
  </cacheSource>
  <cacheFields count="23">
    <cacheField name="计划类型" numFmtId="0">
      <sharedItems count="1">
        <s v="随货价格折扣"/>
      </sharedItems>
    </cacheField>
    <cacheField name="客户" numFmtId="0">
      <sharedItems/>
    </cacheField>
    <cacheField name="Product Code" numFmtId="0">
      <sharedItems count="24">
        <s v="2701-90"/>
        <s v="2694-40"/>
        <s v="2694-30"/>
        <s v="2682-20"/>
        <s v="2674-00"/>
        <s v="2673-00"/>
        <s v="2670-30"/>
        <s v="2666-00"/>
        <s v="2662-00"/>
        <s v="2660-00"/>
        <s v="2655-00"/>
        <s v="2613-00"/>
        <s v="2530-00"/>
        <s v="2312-16"/>
        <s v="2291-60"/>
        <s v="2216-35"/>
        <s v="2167-10"/>
        <s v="2162-08"/>
        <s v="2156-10"/>
        <s v="2155-03"/>
        <s v="2152-04"/>
        <s v="2148-90"/>
        <s v="2107-61"/>
        <s v="2103-90"/>
      </sharedItems>
    </cacheField>
    <cacheField name="产品名称" numFmtId="0">
      <sharedItems count="24">
        <s v="270190舒洁小熊印花手帕纸3层10包FSC mix70%"/>
        <s v="269440舒洁湿厕纸家庭装40抽10包装"/>
        <s v="269430舒洁湿厕纸家庭装40抽"/>
        <s v="268220舒洁女性湿厕纸10包装"/>
        <s v="267400舒洁山茶花系列湿厕纸60片x4包"/>
        <s v="267300舒洁山茶花系列湿厕纸60片"/>
        <s v="267030舒洁湿厕纸旅行装10包装"/>
        <s v="266600舒洁湿厕纸100片x6包-植物双萃"/>
        <s v="266200舒洁湿厕纸80片x6包 "/>
        <s v="266000舒洁湿厕纸80片"/>
        <s v="265500舒洁湿厕纸7抽6包装"/>
        <s v="261300舒洁无香湿巾单包装"/>
        <s v="253000舒洁蚕丝洗脸巾80抽3包装"/>
        <s v="231216 舒洁马蹄莲盒面纸200抽3盒 FSC mix70%"/>
        <s v="229160舒洁绿茶洋甘菊印花清香卷纸10粒"/>
        <s v="221635舒洁卷纸3层纯白10粒（蓝色）"/>
        <s v="216710舒洁®牛乳系列乳霜纸面巾口袋包7抽10包装"/>
        <s v="216208舒洁®北海道牛乳系列乳霜纸面巾20抽8包装"/>
        <s v="215610舒洁®北海道轻牛乳系列乳霜纸面巾100抽3包装"/>
        <s v="215503舒洁®北海道轻牛乳系列乳霜纸面巾40抽3包装"/>
        <s v="215204舒洁鎏金系列乳霜纸巾40抽8包"/>
        <s v="214890舒洁小熊印花抽纸3层80抽16包FSC mix70%"/>
        <s v="210761舒洁卡通系列抽纸200抽3包 FSC mix70%"/>
        <s v="210390舒洁小熊印花抽纸3层80抽4包FSC mix70%"/>
      </sharedItems>
    </cacheField>
    <cacheField name="箱规" numFmtId="0">
      <sharedItems containsSemiMixedTypes="0" containsString="0" containsNumber="1" containsInteger="1" minValue="1" maxValue="40"/>
    </cacheField>
    <cacheField name="包/箱" numFmtId="0">
      <sharedItems containsSemiMixedTypes="0" containsString="0" containsNumber="1" containsInteger="1" minValue="4" maxValue="324"/>
    </cacheField>
    <cacheField name="PR00_x000a_(箱价)-未税" numFmtId="0">
      <sharedItems containsSemiMixedTypes="0" containsString="0" containsNumber="1" minValue="41.9" maxValue="367.52197000000001"/>
    </cacheField>
    <cacheField name="PR00/EA" numFmtId="164">
      <sharedItems containsSemiMixedTypes="0" containsString="0" containsNumber="1" minValue="3.0454276666666669" maxValue="86.75"/>
    </cacheField>
    <cacheField name="经销商箱价" numFmtId="165">
      <sharedItems containsSemiMixedTypes="0" containsString="0" containsNumber="1" minValue="39.176500000000004" maxValue="343.63304195000001"/>
    </cacheField>
    <cacheField name="打款价格-含税" numFmtId="165">
      <sharedItems containsSemiMixedTypes="0" containsString="0" containsNumber="1" minValue="42.764283869999993" maxValue="375.10295593178091"/>
    </cacheField>
    <cacheField name="折扣费用" numFmtId="165">
      <sharedItems containsSemiMixedTypes="0" containsString="0" containsNumber="1" minValue="6.6077167388099998" maxValue="199.97724876280247"/>
    </cacheField>
    <cacheField name="最终价格-含税" numFmtId="165">
      <sharedItems containsSemiMixedTypes="0" containsString="0" containsNumber="1" minValue="34.795783769999993" maxValue="316.57327683956697"/>
    </cacheField>
    <cacheField name="折扣力度" numFmtId="0">
      <sharedItems containsSemiMixedTypes="0" containsString="0" containsNumber="1" minValue="0.03" maxValue="0.51500000000000001" count="17">
        <n v="0.03"/>
        <n v="0.4017"/>
        <n v="0.51500000000000001"/>
        <n v="0.3"/>
        <n v="0.18"/>
        <n v="0.15"/>
        <n v="0.45"/>
        <n v="0.35299999999999998"/>
        <n v="0.44500000000000001"/>
        <n v="0.25"/>
        <n v="0.1"/>
        <n v="0.44040000000000001"/>
        <n v="0.05"/>
        <n v="0.246"/>
        <n v="0.32"/>
        <n v="0.4"/>
        <n v="0.08"/>
      </sharedItems>
    </cacheField>
    <cacheField name="单包价格/含税" numFmtId="2">
      <sharedItems containsSemiMixedTypes="0" containsString="0" containsNumber="1" minValue="0.63629864892244437" maxValue="12.465176899999998" count="32">
        <n v="0.63629864892244437"/>
        <n v="4.9224737969317349"/>
        <n v="4.3781426792244611"/>
        <n v="4.4929771966703251"/>
        <n v="8.6989459424999982"/>
        <n v="8.7938769600000004"/>
        <n v="2.06258650615215"/>
        <n v="12.465176899999998"/>
        <n v="7.4956446693333332"/>
        <n v="7.4972999309999997"/>
        <n v="1.4121142933333333"/>
        <n v="2.786481956653633"/>
        <n v="11.050921331999998"/>
        <n v="6.7325293506426993"/>
        <n v="2.6493518307854398"/>
        <n v="2.0768788897084796"/>
        <n v="1.6355816619999999"/>
        <n v="2.3891236874999997"/>
        <n v="9.9376979899999984"/>
        <n v="3.5050694066666668"/>
        <n v="2.3262635849062505"/>
        <n v="2.9235393481758742"/>
        <n v="4.8593640688691995"/>
        <n v="2.5794294735000007"/>
        <n v="9.2960763059999998"/>
        <n v="5.4945205242595225"/>
        <n v="5.0091388525051483"/>
        <n v="8.144859426"/>
        <n v="9.5838805259999997"/>
        <n v="2.8955360266250008"/>
        <n v="5.27622128065945"/>
        <n v="2.3313983614864795"/>
      </sharedItems>
    </cacheField>
    <cacheField name="数量_x000a_（箱）" numFmtId="0">
      <sharedItems containsSemiMixedTypes="0" containsString="0" containsNumber="1" containsInteger="1" minValue="1" maxValue="1"/>
    </cacheField>
    <cacheField name="实际活动_x000a_开始时间" numFmtId="14">
      <sharedItems containsSemiMixedTypes="0" containsNonDate="0" containsDate="1" containsString="0" minDate="2025-04-24T00:00:00" maxDate="2025-04-25T00:00:00"/>
    </cacheField>
    <cacheField name="实际活动_x000a_结束时间" numFmtId="14">
      <sharedItems containsSemiMixedTypes="0" containsNonDate="0" containsDate="1" containsString="0" minDate="2025-04-30T00:00:00" maxDate="2025-07-01T00:00:00"/>
    </cacheField>
    <cacheField name="GSV" numFmtId="167">
      <sharedItems containsSemiMixedTypes="0" containsString="0" containsNumber="1" minValue="41.9" maxValue="367.52197000000001"/>
    </cacheField>
    <cacheField name="NSV测算" numFmtId="167">
      <sharedItems containsSemiMixedTypes="0" containsString="0" containsNumber="1" minValue="30.792728999999998" maxValue="280.15334233589999"/>
    </cacheField>
    <cacheField name="单包价格_x000a_/含税" numFmtId="164">
      <sharedItems containsSemiMixedTypes="0" containsString="0" containsNumber="1" minValue="0.65869425354290312" maxValue="12.903909834368529"/>
    </cacheField>
    <cacheField name="箱价_x000a_/不含税" numFmtId="164">
      <sharedItems containsSemiMixedTypes="0" containsString="0" containsNumber="1" minValue="31.876531055900621" maxValue="290.0138119419255"/>
    </cacheField>
    <cacheField name="维护折扣" numFmtId="10">
      <sharedItems containsSemiMixedTypes="0" containsString="0" containsNumber="1" minValue="9.4037267080745307E-2" maxValue="0.56347308488612846"/>
    </cacheField>
    <cacheField name="品类" numFmtId="0">
      <sharedItems count="7">
        <s v="手帕纸"/>
        <s v="舒洁湿厕纸巾"/>
        <s v="舒洁湿巾"/>
        <s v="舒洁棉柔巾"/>
        <s v="盒纸"/>
        <s v="卷纸"/>
        <s v="高端抽纸"/>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u, Lu" refreshedDate="45866.531914583335" createdVersion="8" refreshedVersion="8" minRefreshableVersion="3" recordCount="96" xr:uid="{20B2C17C-77D0-4D50-9377-083FDF27A70E}">
  <cacheSource type="worksheet">
    <worksheetSource ref="A1:AH1048576" sheet="后补-填写标黄单元格"/>
  </cacheSource>
  <cacheFields count="34">
    <cacheField name="V" numFmtId="0">
      <sharedItems containsBlank="1"/>
    </cacheField>
    <cacheField name="计划类型" numFmtId="0">
      <sharedItems containsBlank="1"/>
    </cacheField>
    <cacheField name="客户" numFmtId="0">
      <sharedItems containsBlank="1" count="23">
        <m/>
        <s v="销售填写"/>
        <s v="客户"/>
        <s v="上海文鑫网络科技有限公司"/>
        <s v="上海薪满翊商贸有限公司"/>
        <s v="天宁区雕庄达途百货经营部"/>
        <s v="贵阳鑫旺隆贸易有限公司"/>
        <s v="北京泰和嘉华商贸有限公司"/>
        <s v="大连达博商贸有限公司"/>
        <s v="北京朝批中得商贸有限公司"/>
        <s v="北京宝诚恒信科技有限公司"/>
        <s v="青岛聚鑫美商贸有限公司"/>
        <s v="西宁华松商贸有限公司"/>
        <s v="大连隆欣商贸有限公司"/>
        <s v="黑龙江和盛祥供应链管理有限公司"/>
        <s v="北京卓腾商贸有限公司"/>
        <s v="成都东森润园商贸有限公司"/>
        <s v="新疆八点半供应链管理有限公司"/>
        <s v="北京宝诚恒信商贸有限公司"/>
        <s v="新疆八点半供应链"/>
        <s v="伊犁紫金花商贸有限责任公司"/>
        <s v="青岛荣利鑫商贸有限公司"/>
        <s v="沈阳和盛祥供应链管理有限公司"/>
      </sharedItems>
    </cacheField>
    <cacheField name="Product Code" numFmtId="0">
      <sharedItems containsBlank="1"/>
    </cacheField>
    <cacheField name="产品名称" numFmtId="0">
      <sharedItems containsBlank="1"/>
    </cacheField>
    <cacheField name="箱规" numFmtId="0">
      <sharedItems containsBlank="1" containsMixedTypes="1" containsNumber="1" containsInteger="1" minValue="1" maxValue="40"/>
    </cacheField>
    <cacheField name="包/箱" numFmtId="0">
      <sharedItems containsBlank="1" containsMixedTypes="1" containsNumber="1" containsInteger="1" minValue="6" maxValue="360"/>
    </cacheField>
    <cacheField name="PR00_x000a_(箱价)-未税" numFmtId="0">
      <sharedItems containsBlank="1" containsMixedTypes="1" containsNumber="1" minValue="69.44" maxValue="367.52197000000001"/>
    </cacheField>
    <cacheField name="PR00/EA" numFmtId="0">
      <sharedItems containsBlank="1" containsMixedTypes="1" containsNumber="1" minValue="3.0454276666666669" maxValue="82.56259"/>
    </cacheField>
    <cacheField name="经销商箱价" numFmtId="0">
      <sharedItems containsBlank="1" containsMixedTypes="1" containsNumber="1" minValue="0" maxValue="343.63304195000001"/>
    </cacheField>
    <cacheField name="打款价格-含税" numFmtId="0">
      <sharedItems containsBlank="1" containsMixedTypes="1" containsNumber="1" minValue="70.872359711999991" maxValue="382.86906267985097"/>
    </cacheField>
    <cacheField name="折扣费用" numFmtId="0">
      <sharedItems containsBlank="1" containsMixedTypes="1" containsNumber="1" minValue="0" maxValue="174.73740183157497"/>
    </cacheField>
    <cacheField name="最终价格-含税" numFmtId="0">
      <sharedItems containsBlank="1" containsMixedTypes="1" containsNumber="1" minValue="44.973868015999997" maxValue="354.91107838679892"/>
    </cacheField>
    <cacheField name="折扣力度" numFmtId="0">
      <sharedItems containsBlank="1" containsMixedTypes="1" containsNumber="1" minValue="2.1739999999999982E-2" maxValue="0.45"/>
    </cacheField>
    <cacheField name="单包价格/含税" numFmtId="0">
      <sharedItems containsBlank="1" containsMixedTypes="1" containsNumber="1" minValue="0.46015176152689446" maxValue="13.487944770299999"/>
    </cacheField>
    <cacheField name="实际活动_x000a_开始时间" numFmtId="0">
      <sharedItems containsDate="1" containsBlank="1" containsMixedTypes="1" minDate="2025-02-01T00:00:00" maxDate="2025-06-30T00:00:00"/>
    </cacheField>
    <cacheField name="实际活动_x000a_结束时间" numFmtId="0">
      <sharedItems containsDate="1" containsBlank="1" containsMixedTypes="1" minDate="2025-02-28T00:00:00" maxDate="2025-07-01T00:00:00"/>
    </cacheField>
    <cacheField name="GSV-实际" numFmtId="0">
      <sharedItems containsBlank="1" containsMixedTypes="1" containsNumber="1" minValue="0" maxValue="211701.93"/>
    </cacheField>
    <cacheField name="PE-后补" numFmtId="0">
      <sharedItems containsBlank="1" containsMixedTypes="1" containsNumber="1" minValue="0" maxValue="120634.15880383043"/>
    </cacheField>
    <cacheField name="PE%-_x000a_后补点数" numFmtId="0">
      <sharedItems containsBlank="1" containsMixedTypes="1" containsNumber="1" minValue="2.0326899999999985E-2" maxValue="0.69819757365684587"/>
    </cacheField>
    <cacheField name="归属" numFmtId="0">
      <sharedItems containsBlank="1"/>
    </cacheField>
    <cacheField name="邮箱" numFmtId="0">
      <sharedItems containsBlank="1" count="4">
        <m/>
        <s v="邮箱"/>
        <s v="shengtao.qu@kcc.com"/>
        <s v="jinbang.wang@kcc.com"/>
      </sharedItems>
    </cacheField>
    <cacheField name="随货点数" numFmtId="0">
      <sharedItems containsBlank="1" containsMixedTypes="1" containsNumber="1" minValue="0.05" maxValue="100"/>
    </cacheField>
    <cacheField name="实际点数" numFmtId="0">
      <sharedItems containsBlank="1" containsMixedTypes="1" containsNumber="1" minValue="2.87E-2" maxValue="0.51600000000000001"/>
    </cacheField>
    <cacheField name="最终低价" numFmtId="164">
      <sharedItems containsBlank="1" containsMixedTypes="1" containsNumber="1" minValue="0.43867897238210829" maxValue="11.310705845999999"/>
    </cacheField>
    <cacheField name="创建月份" numFmtId="0">
      <sharedItems containsBlank="1"/>
    </cacheField>
    <cacheField name="备注" numFmtId="0">
      <sharedItems containsBlank="1"/>
    </cacheField>
    <cacheField name="进度" numFmtId="0">
      <sharedItems containsBlank="1" count="4">
        <m/>
        <s v="进度"/>
        <s v="待开票付款"/>
        <s v="待付款"/>
      </sharedItems>
    </cacheField>
    <cacheField name="协议" numFmtId="0">
      <sharedItems containsBlank="1"/>
    </cacheField>
    <cacheField name="实际打款金额-不含税" numFmtId="0">
      <sharedItems containsBlank="1" containsMixedTypes="1" containsNumber="1" minValue="0" maxValue="457783.86427509825"/>
    </cacheField>
    <cacheField name="订单箱数" numFmtId="0">
      <sharedItems containsBlank="1" containsMixedTypes="1" containsNumber="1" containsInteger="1" minValue="62" maxValue="1334"/>
    </cacheField>
    <cacheField name="系统invoice-不含税" numFmtId="0">
      <sharedItems containsBlank="1" containsMixedTypes="1" containsNumber="1" minValue="4387.05" maxValue="149147.18"/>
    </cacheField>
    <cacheField name="应补偿金额-不含税" numFmtId="0">
      <sharedItems containsBlank="1" containsMixedTypes="1" containsNumber="1" minValue="0" maxValue="114899.20581218005"/>
    </cacheField>
    <cacheField name="含税" numFmtId="0">
      <sharedItems containsBlank="1" containsMixedTypes="1" containsNumber="1" minValue="0" maxValue="64652.84395514999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u, Lu" refreshedDate="45887.515385763887" createdVersion="8" refreshedVersion="8" minRefreshableVersion="3" recordCount="96" xr:uid="{6DE12D5B-3432-424E-A5CD-2BF03897FB6E}">
  <cacheSource type="worksheet">
    <worksheetSource ref="A1:Z1048576" sheet="后补-填写标黄单元格"/>
  </cacheSource>
  <cacheFields count="26">
    <cacheField name="V" numFmtId="0">
      <sharedItems containsBlank="1"/>
    </cacheField>
    <cacheField name="计划类型" numFmtId="0">
      <sharedItems containsBlank="1"/>
    </cacheField>
    <cacheField name="客户" numFmtId="0">
      <sharedItems containsBlank="1" count="26">
        <m/>
        <s v="销售填写"/>
        <s v="客户"/>
        <s v="上海文鑫网络科技有限公司"/>
        <s v="上海薪满翊商贸有限公司"/>
        <s v="天宁区雕庄达途百货经营部"/>
        <s v="贵阳鑫旺隆贸易有限公司"/>
        <s v="北京泰和嘉华商贸有限公司"/>
        <s v="大连达博商贸有限公司"/>
        <s v="北京朝批中得商贸有限公司"/>
        <s v="北京宝诚恒信科技有限公司"/>
        <s v="青岛聚鑫美商贸有限公司"/>
        <s v="西宁华松商贸有限公司"/>
        <s v="大连隆欣商贸有限公司"/>
        <s v="黑龙江和盛祥供应链管理有限公司"/>
        <s v="北京卓腾商贸有限公司"/>
        <s v="成都东森润园商贸有限公司"/>
        <s v="新疆八点半供应链管理有限公司"/>
        <s v="北京宝诚恒信商贸有限公司"/>
        <s v="伊犁紫金花商贸有限责任公司"/>
        <s v="青岛荣利鑫商贸有限公司"/>
        <s v="沈阳和盛祥供应链管理有限公司"/>
        <s v="济南华天新光商贸有限公司"/>
        <s v="常州领淘商贸有限公司"/>
        <s v="浙江省宁波三江"/>
        <s v="新疆八点半供应链" u="1"/>
      </sharedItems>
    </cacheField>
    <cacheField name="Product Code" numFmtId="0">
      <sharedItems containsBlank="1"/>
    </cacheField>
    <cacheField name="产品名称" numFmtId="0">
      <sharedItems containsBlank="1"/>
    </cacheField>
    <cacheField name="箱规" numFmtId="0">
      <sharedItems containsBlank="1" containsMixedTypes="1" containsNumber="1" containsInteger="1" minValue="1" maxValue="40"/>
    </cacheField>
    <cacheField name="包/箱" numFmtId="0">
      <sharedItems containsBlank="1" containsMixedTypes="1" containsNumber="1" containsInteger="1" minValue="6" maxValue="360"/>
    </cacheField>
    <cacheField name="PR00_x000a_(箱价)-未税" numFmtId="0">
      <sharedItems containsBlank="1" containsMixedTypes="1" containsNumber="1" minValue="69.44" maxValue="367.52197000000001"/>
    </cacheField>
    <cacheField name="PR00/EA" numFmtId="0">
      <sharedItems containsBlank="1" containsMixedTypes="1" containsNumber="1" minValue="3.0454276666666669" maxValue="92.6"/>
    </cacheField>
    <cacheField name="经销商箱价" numFmtId="0">
      <sharedItems containsBlank="1" containsMixedTypes="1" containsNumber="1" minValue="64.926400000000001" maxValue="343.63304195000001"/>
    </cacheField>
    <cacheField name="打款价格-含税" numFmtId="0">
      <sharedItems containsBlank="1" containsMixedTypes="1" containsNumber="1" minValue="70.872359711999991" maxValue="382.86906267985097"/>
    </cacheField>
    <cacheField name="折扣费用" numFmtId="0">
      <sharedItems containsBlank="1" containsMixedTypes="1" containsNumber="1" minValue="0" maxValue="174.73740183157497"/>
    </cacheField>
    <cacheField name="最终价格-含税" numFmtId="0">
      <sharedItems containsBlank="1" containsMixedTypes="1" containsNumber="1" minValue="44.973868015999997" maxValue="354.91107838679892"/>
    </cacheField>
    <cacheField name="折扣力度" numFmtId="0">
      <sharedItems containsBlank="1" containsMixedTypes="1" containsNumber="1" minValue="2.1739999999999982E-2" maxValue="0.45"/>
    </cacheField>
    <cacheField name="单包价格/含税" numFmtId="0">
      <sharedItems containsBlank="1" containsMixedTypes="1" containsNumber="1" minValue="0.46015176152689446" maxValue="13.487944770299999"/>
    </cacheField>
    <cacheField name="实际活动_x000a_开始时间" numFmtId="0">
      <sharedItems containsDate="1" containsBlank="1" containsMixedTypes="1" minDate="2024-12-26T00:00:00" maxDate="2025-07-02T00:00:00"/>
    </cacheField>
    <cacheField name="实际活动_x000a_结束时间" numFmtId="0">
      <sharedItems containsDate="1" containsBlank="1" containsMixedTypes="1" minDate="2025-02-28T00:00:00" maxDate="2025-08-01T00:00:00"/>
    </cacheField>
    <cacheField name="GSV-实际" numFmtId="0">
      <sharedItems containsBlank="1" containsMixedTypes="1" containsNumber="1" minValue="0" maxValue="211701.93"/>
    </cacheField>
    <cacheField name="PE-后补" numFmtId="0">
      <sharedItems containsBlank="1" containsMixedTypes="1" containsNumber="1" minValue="0" maxValue="359449.1305611108"/>
    </cacheField>
    <cacheField name="PE%-_x000a_后补点数" numFmtId="0">
      <sharedItems containsBlank="1" containsMixedTypes="1" containsNumber="1" minValue="2.0326899999999985E-2" maxValue="0.69819757365684587"/>
    </cacheField>
    <cacheField name="归属" numFmtId="0">
      <sharedItems containsBlank="1"/>
    </cacheField>
    <cacheField name="邮箱" numFmtId="0">
      <sharedItems containsBlank="1" count="4">
        <m/>
        <s v="邮箱"/>
        <s v="shengtao.qu@kcc.com"/>
        <s v="jinbang.wang@kcc.com"/>
      </sharedItems>
    </cacheField>
    <cacheField name="随货点数" numFmtId="0">
      <sharedItems containsBlank="1" containsMixedTypes="1" containsNumber="1" minValue="0.05" maxValue="100"/>
    </cacheField>
    <cacheField name="实际点数" numFmtId="0">
      <sharedItems containsBlank="1" containsMixedTypes="1" containsNumber="1" minValue="2.87E-2" maxValue="0.51600000000000001"/>
    </cacheField>
    <cacheField name="最终低价" numFmtId="164">
      <sharedItems containsBlank="1" containsMixedTypes="1" containsNumber="1" minValue="0.43867897238210829" maxValue="11.310705845999999"/>
    </cacheField>
    <cacheField name="创建月份" numFmtId="0">
      <sharedItems containsBlank="1" count="11">
        <m/>
        <s v="创建月份"/>
        <s v="4月已补建"/>
        <s v="8月待建"/>
        <s v="5月已补建"/>
        <s v="7月已补建"/>
        <s v="8月建"/>
        <s v="6月已补建"/>
        <s v="7月建" u="1"/>
        <s v="7月待建" u="1"/>
        <s v="6月待建" u="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
  <r>
    <x v="0"/>
    <s v="杭州舜奥工贸有限公司"/>
    <x v="0"/>
    <x v="0"/>
    <n v="36"/>
    <n v="324"/>
    <n v="208.46834000000001"/>
    <n v="5.7907872222222228"/>
    <n v="194.91789790000001"/>
    <n v="212.768478989682"/>
    <n v="6.6077167388099998"/>
    <n v="206.16076225087198"/>
    <x v="0"/>
    <x v="0"/>
    <n v="1"/>
    <d v="2025-04-24T00:00:00"/>
    <d v="2025-04-30T00:00:00"/>
    <n v="208.46834000000001"/>
    <n v="182.44315243439999"/>
    <n v="0.65869425354290312"/>
    <n v="188.86454703354039"/>
    <n v="9.4037267080745307E-2"/>
    <x v="0"/>
  </r>
  <r>
    <x v="0"/>
    <s v="杭州舜奥工贸有限公司"/>
    <x v="1"/>
    <x v="1"/>
    <n v="4"/>
    <n v="40"/>
    <n v="330.25036"/>
    <n v="82.56259"/>
    <n v="308.78408660000002"/>
    <n v="337.06253325082798"/>
    <n v="140.1635813735586"/>
    <n v="196.89895187726938"/>
    <x v="1"/>
    <x v="1"/>
    <n v="1"/>
    <d v="2025-04-24T00:00:00"/>
    <d v="2025-04-30T00:00:00"/>
    <n v="330.25036"/>
    <n v="174.24686006837999"/>
    <n v="5.0957285682523139"/>
    <n v="180.37977232751555"/>
    <n v="0.45380900621118003"/>
    <x v="1"/>
  </r>
  <r>
    <x v="0"/>
    <s v="杭州舜奥工贸有限公司"/>
    <x v="2"/>
    <x v="2"/>
    <n v="40"/>
    <n v="40"/>
    <n v="367.52197000000001"/>
    <n v="9.1880492500000006"/>
    <n v="343.63304195000001"/>
    <n v="375.10295593178091"/>
    <n v="199.97724876280247"/>
    <n v="175.12570716897844"/>
    <x v="2"/>
    <x v="2"/>
    <n v="1"/>
    <d v="2025-04-24T00:00:00"/>
    <d v="2025-04-30T00:00:00"/>
    <n v="367.52197000000001"/>
    <n v="154.97850191944997"/>
    <n v="4.5322387983690078"/>
    <n v="160.43323180067284"/>
    <n v="0.56347308488612846"/>
    <x v="1"/>
  </r>
  <r>
    <x v="0"/>
    <s v="杭州舜奥工贸有限公司"/>
    <x v="3"/>
    <x v="3"/>
    <n v="4"/>
    <n v="40"/>
    <n v="255.40530999999999"/>
    <n v="63.851327499999996"/>
    <n v="238.80396485"/>
    <n v="260.673631950963"/>
    <n v="80.954544084150001"/>
    <n v="179.719087866813"/>
    <x v="3"/>
    <x v="3"/>
    <n v="1"/>
    <d v="2025-04-24T00:00:00"/>
    <d v="2025-04-30T00:00:00"/>
    <n v="255.40530999999999"/>
    <n v="159.0434405901"/>
    <n v="4.651115110424767"/>
    <n v="164.64124284689444"/>
    <n v="0.35537267080745327"/>
    <x v="1"/>
  </r>
  <r>
    <x v="0"/>
    <s v="杭州舜奥工贸有限公司"/>
    <x v="4"/>
    <x v="4"/>
    <n v="1"/>
    <n v="4"/>
    <n v="41.9"/>
    <n v="41.9"/>
    <n v="39.176500000000004"/>
    <n v="42.764283869999993"/>
    <n v="7.9685001"/>
    <n v="34.795783769999993"/>
    <x v="4"/>
    <x v="4"/>
    <n v="1"/>
    <d v="2025-04-24T00:00:00"/>
    <d v="2025-04-30T00:00:00"/>
    <n v="41.9"/>
    <n v="30.792728999999998"/>
    <n v="9.0051200232919246"/>
    <n v="31.876531055900621"/>
    <n v="0.23922360248447203"/>
    <x v="1"/>
  </r>
  <r>
    <x v="0"/>
    <s v="杭州舜奥工贸有限公司"/>
    <x v="5"/>
    <x v="5"/>
    <n v="24"/>
    <n v="24"/>
    <n v="244.8"/>
    <n v="10.200000000000001"/>
    <n v="228.88800000000003"/>
    <n v="249.84956303999999"/>
    <n v="38.796516000000004"/>
    <n v="211.05304704"/>
    <x v="5"/>
    <x v="5"/>
    <n v="1"/>
    <d v="2025-04-24T00:00:00"/>
    <d v="2025-04-30T00:00:00"/>
    <n v="244.8"/>
    <n v="186.77260800000002"/>
    <n v="9.1033922981366473"/>
    <n v="193.34638509316775"/>
    <n v="0.21018633540372653"/>
    <x v="1"/>
  </r>
  <r>
    <x v="0"/>
    <s v="杭州舜奥工贸有限公司"/>
    <x v="6"/>
    <x v="6"/>
    <n v="4"/>
    <n v="40"/>
    <n v="151.33257"/>
    <n v="37.833142500000001"/>
    <n v="141.49595295"/>
    <n v="154.45415232116099"/>
    <n v="71.950692075074997"/>
    <n v="82.503460246085993"/>
    <x v="6"/>
    <x v="6"/>
    <n v="1"/>
    <d v="2025-04-24T00:00:00"/>
    <d v="2025-04-30T00:00:00"/>
    <n v="151.33257"/>
    <n v="73.011911722199997"/>
    <n v="2.1351827185840064"/>
    <n v="75.581689153416164"/>
    <n v="0.50055900621117999"/>
    <x v="1"/>
  </r>
  <r>
    <x v="0"/>
    <s v="杭州舜奥工贸有限公司"/>
    <x v="7"/>
    <x v="7"/>
    <n v="1"/>
    <n v="6"/>
    <n v="86.75"/>
    <n v="86.75"/>
    <n v="81.111249999999998"/>
    <n v="88.539418274999989"/>
    <n v="13.748356874999999"/>
    <n v="74.79106139999999"/>
    <x v="5"/>
    <x v="7"/>
    <n v="1"/>
    <d v="2025-04-24T00:00:00"/>
    <d v="2025-04-30T00:00:00"/>
    <n v="86.75"/>
    <n v="66.186779999999999"/>
    <n v="12.903909834368529"/>
    <n v="68.516335403726714"/>
    <n v="0.21018633540372664"/>
    <x v="1"/>
  </r>
  <r>
    <x v="0"/>
    <s v="杭州舜奥工贸有限公司"/>
    <x v="8"/>
    <x v="8"/>
    <n v="1"/>
    <n v="6"/>
    <n v="69.44"/>
    <n v="69.44"/>
    <n v="64.926400000000001"/>
    <n v="70.872359711999991"/>
    <n v="25.898491695999994"/>
    <n v="44.973868015999997"/>
    <x v="7"/>
    <x v="8"/>
    <n v="1"/>
    <d v="2025-04-24T00:00:00"/>
    <d v="2025-04-30T00:00:00"/>
    <n v="69.44"/>
    <n v="39.799883200000004"/>
    <n v="7.7594665314009665"/>
    <n v="41.200707246376815"/>
    <n v="0.40667184265010342"/>
    <x v="1"/>
  </r>
  <r>
    <x v="0"/>
    <s v="杭州舜奥工贸有限公司"/>
    <x v="9"/>
    <x v="9"/>
    <n v="24"/>
    <n v="24"/>
    <n v="326.88"/>
    <n v="13.62"/>
    <n v="305.63280000000003"/>
    <n v="333.622651824"/>
    <n v="153.68745348000002"/>
    <n v="179.93519834399999"/>
    <x v="8"/>
    <x v="9"/>
    <n v="1"/>
    <d v="2025-04-24T00:00:00"/>
    <d v="2025-04-30T00:00:00"/>
    <n v="326.88"/>
    <n v="159.23468880000001"/>
    <n v="7.761180052795031"/>
    <n v="164.83922236024847"/>
    <n v="0.49571946169772246"/>
    <x v="1"/>
  </r>
  <r>
    <x v="0"/>
    <s v="杭州舜奥工贸有限公司"/>
    <x v="10"/>
    <x v="10"/>
    <n v="16"/>
    <n v="96"/>
    <n v="179.2"/>
    <n v="11.2"/>
    <n v="167.55199999999999"/>
    <n v="182.89641215999998"/>
    <n v="47.333439999999996"/>
    <n v="135.56297215999999"/>
    <x v="9"/>
    <x v="10"/>
    <n v="1"/>
    <d v="2025-04-24T00:00:00"/>
    <d v="2025-04-30T00:00:00"/>
    <n v="179.2"/>
    <n v="119.967232"/>
    <n v="1.4618160386473429"/>
    <n v="124.18968115942029"/>
    <n v="0.30697722567287783"/>
    <x v="1"/>
  </r>
  <r>
    <x v="0"/>
    <s v="杭州舜奥工贸有限公司"/>
    <x v="11"/>
    <x v="11"/>
    <n v="30"/>
    <n v="30"/>
    <n v="91.362830000000002"/>
    <n v="3.0454276666666669"/>
    <n v="85.424246050000008"/>
    <n v="93.247398503258992"/>
    <n v="9.6529398036499998"/>
    <n v="83.594458699608992"/>
    <x v="10"/>
    <x v="11"/>
    <n v="1"/>
    <d v="2025-04-24T00:00:00"/>
    <d v="2025-04-30T00:00:00"/>
    <n v="91.362830000000002"/>
    <n v="73.977397079300005"/>
    <n v="2.8845568909457899"/>
    <n v="76.581156396790888"/>
    <n v="0.16179089026915119"/>
    <x v="2"/>
  </r>
  <r>
    <x v="0"/>
    <s v="杭州舜奥工贸有限公司"/>
    <x v="12"/>
    <x v="12"/>
    <n v="6"/>
    <n v="18"/>
    <n v="358.2"/>
    <n v="59.699999999999996"/>
    <n v="334.91700000000003"/>
    <n v="365.58869885999997"/>
    <n v="166.672114884"/>
    <n v="198.91658397599997"/>
    <x v="11"/>
    <x v="12"/>
    <n v="1"/>
    <d v="2025-04-24T00:00:00"/>
    <d v="2025-04-30T00:00:00"/>
    <n v="358.2"/>
    <n v="176.03237519999999"/>
    <n v="11.4398771552795"/>
    <n v="182.22813167701861"/>
    <n v="0.49126708074534164"/>
    <x v="3"/>
  </r>
  <r>
    <x v="0"/>
    <s v="杭州舜奥工贸有限公司"/>
    <x v="13"/>
    <x v="13"/>
    <n v="10"/>
    <n v="30"/>
    <n v="243.21306999999999"/>
    <n v="24.321306999999997"/>
    <n v="227.40422045"/>
    <n v="248.22989895881099"/>
    <n v="46.254018439529993"/>
    <n v="201.97588051928099"/>
    <x v="4"/>
    <x v="13"/>
    <n v="1"/>
    <d v="2025-04-24T00:00:00"/>
    <d v="2025-04-30T00:00:00"/>
    <n v="243.21306999999999"/>
    <n v="178.73971727370002"/>
    <n v="6.969492081410662"/>
    <n v="185.03076322329193"/>
    <n v="0.239223602484472"/>
    <x v="4"/>
  </r>
  <r>
    <x v="0"/>
    <s v="杭州舜奥工贸有限公司"/>
    <x v="14"/>
    <x v="14"/>
    <n v="5"/>
    <n v="50"/>
    <n v="153.64888999999999"/>
    <n v="30.729778"/>
    <n v="143.66171215"/>
    <n v="156.81825174869698"/>
    <n v="24.350660209424998"/>
    <n v="132.46759153927198"/>
    <x v="5"/>
    <x v="14"/>
    <n v="1"/>
    <d v="2025-04-24T00:00:00"/>
    <d v="2025-04-30T00:00:00"/>
    <n v="153.64888999999999"/>
    <n v="117.2279571144"/>
    <n v="2.7426002389083228"/>
    <n v="121.35399287204969"/>
    <n v="0.21018633540372669"/>
    <x v="5"/>
  </r>
  <r>
    <x v="0"/>
    <s v="杭州舜奥工贸有限公司"/>
    <x v="15"/>
    <x v="15"/>
    <n v="10"/>
    <n v="100"/>
    <n v="240.89676"/>
    <n v="24.089676000000001"/>
    <n v="225.2384706"/>
    <n v="245.86580973754795"/>
    <n v="38.177920766699998"/>
    <n v="207.68788897084795"/>
    <x v="5"/>
    <x v="15"/>
    <n v="1"/>
    <d v="2025-04-24T00:00:00"/>
    <d v="2025-04-30T00:00:00"/>
    <n v="240.89676"/>
    <n v="183.79459200959997"/>
    <n v="2.1499781466961485"/>
    <n v="190.26355280496892"/>
    <n v="0.2101863354037268"/>
    <x v="5"/>
  </r>
  <r>
    <x v="0"/>
    <s v="杭州舜奥工贸有限公司"/>
    <x v="16"/>
    <x v="16"/>
    <n v="12"/>
    <n v="120"/>
    <n v="202.8"/>
    <n v="16.900000000000002"/>
    <n v="189.61800000000002"/>
    <n v="206.98321643999998"/>
    <n v="10.713417000000002"/>
    <n v="196.26979943999999"/>
    <x v="12"/>
    <x v="16"/>
    <n v="1"/>
    <d v="2025-04-24T00:00:00"/>
    <d v="2025-04-30T00:00:00"/>
    <n v="202.8"/>
    <n v="173.690088"/>
    <n v="1.6931487184265011"/>
    <n v="179.8034037267081"/>
    <n v="0.1133954451345755"/>
    <x v="6"/>
  </r>
  <r>
    <x v="0"/>
    <s v="杭州舜奥工贸有限公司"/>
    <x v="17"/>
    <x v="17"/>
    <n v="4"/>
    <n v="32"/>
    <n v="100.5"/>
    <n v="25.125"/>
    <n v="93.967500000000001"/>
    <n v="102.57304364999999"/>
    <n v="26.121085649999998"/>
    <n v="76.451957999999991"/>
    <x v="13"/>
    <x v="17"/>
    <n v="1"/>
    <d v="2025-04-24T00:00:00"/>
    <d v="2025-04-30T00:00:00"/>
    <n v="100.5"/>
    <n v="67.656599999999997"/>
    <n v="2.4732129270186332"/>
    <n v="70.037888198757756"/>
    <n v="0.30310559006211191"/>
    <x v="6"/>
  </r>
  <r>
    <x v="0"/>
    <s v="杭州舜奥工贸有限公司"/>
    <x v="18"/>
    <x v="18"/>
    <n v="6"/>
    <n v="18"/>
    <n v="215.4"/>
    <n v="35.9"/>
    <n v="201.39900000000003"/>
    <n v="219.84312041999999"/>
    <n v="40.964556600000002"/>
    <n v="178.87856381999998"/>
    <x v="4"/>
    <x v="18"/>
    <n v="1"/>
    <d v="2025-04-24T00:00:00"/>
    <d v="2025-04-30T00:00:00"/>
    <n v="215.4"/>
    <n v="158.29961399999999"/>
    <n v="10.287472039337473"/>
    <n v="163.87123602484471"/>
    <n v="0.23922360248447214"/>
    <x v="6"/>
  </r>
  <r>
    <x v="0"/>
    <s v="杭州舜奥工贸有限公司"/>
    <x v="19"/>
    <x v="19"/>
    <n v="16"/>
    <n v="48"/>
    <n v="222.4"/>
    <n v="13.9"/>
    <n v="207.94400000000002"/>
    <n v="226.98751152"/>
    <n v="58.74418"/>
    <n v="168.24333152"/>
    <x v="9"/>
    <x v="19"/>
    <n v="1"/>
    <d v="2025-04-24T00:00:00"/>
    <d v="2025-04-30T00:00:00"/>
    <n v="222.4"/>
    <n v="148.88790400000002"/>
    <n v="3.6284362387853695"/>
    <n v="154.12826501035201"/>
    <n v="0.30697722567287766"/>
    <x v="6"/>
  </r>
  <r>
    <x v="0"/>
    <s v="杭州舜奥工贸有限公司"/>
    <x v="20"/>
    <x v="20"/>
    <n v="4"/>
    <n v="32"/>
    <n v="105.79"/>
    <n v="26.447500000000002"/>
    <n v="98.913650000000018"/>
    <n v="107.97216206700001"/>
    <n v="33.531727350000004"/>
    <n v="74.440434717000016"/>
    <x v="3"/>
    <x v="20"/>
    <n v="1"/>
    <d v="2025-04-24T00:00:00"/>
    <d v="2025-04-30T00:00:00"/>
    <n v="105.79"/>
    <n v="65.876490900000022"/>
    <n v="2.408140357045808"/>
    <n v="68.195125155279527"/>
    <n v="0.35537267080745322"/>
    <x v="6"/>
  </r>
  <r>
    <x v="0"/>
    <s v="杭州舜奥工贸有限公司"/>
    <x v="21"/>
    <x v="21"/>
    <n v="6"/>
    <n v="96"/>
    <n v="283.80122999999998"/>
    <n v="47.300204999999998"/>
    <n v="265.35415004999999"/>
    <n v="289.65528311157897"/>
    <n v="8.9955056866949974"/>
    <n v="280.65977742488394"/>
    <x v="0"/>
    <x v="21"/>
    <n v="1"/>
    <d v="2025-04-24T00:00:00"/>
    <d v="2025-04-30T00:00:00"/>
    <n v="283.80122999999998"/>
    <n v="248.37148444679997"/>
    <n v="3.0264382486292694"/>
    <n v="257.11333793664591"/>
    <n v="9.403726708074546E-2"/>
    <x v="6"/>
  </r>
  <r>
    <x v="0"/>
    <s v="杭州舜奥工贸有限公司"/>
    <x v="22"/>
    <x v="22"/>
    <n v="20"/>
    <n v="60"/>
    <n v="338.18198999999998"/>
    <n v="16.9090995"/>
    <n v="316.20016064999999"/>
    <n v="345.15777136232697"/>
    <n v="53.595927230174986"/>
    <n v="291.56184413215198"/>
    <x v="5"/>
    <x v="22"/>
    <n v="1"/>
    <d v="2025-04-24T00:00:00"/>
    <d v="2025-04-30T00:00:00"/>
    <n v="338.18198999999998"/>
    <n v="258.01933109039999"/>
    <n v="5.0303975868211177"/>
    <n v="267.10075682236021"/>
    <n v="0.21018633540372678"/>
    <x v="6"/>
  </r>
  <r>
    <x v="0"/>
    <s v="杭州舜奥工贸有限公司"/>
    <x v="23"/>
    <x v="23"/>
    <n v="24"/>
    <n v="96"/>
    <n v="287.22000000000003"/>
    <n v="11.967500000000001"/>
    <n v="268.55070000000006"/>
    <n v="293.14457310600005"/>
    <n v="45.51934365000001"/>
    <n v="247.62522945600006"/>
    <x v="5"/>
    <x v="23"/>
    <n v="1"/>
    <d v="2025-04-24T00:00:00"/>
    <d v="2025-04-30T00:00:00"/>
    <n v="287.22000000000003"/>
    <n v="219.13737120000008"/>
    <n v="2.6702168462732927"/>
    <n v="226.85028074534168"/>
    <n v="0.21018633540372655"/>
    <x v="6"/>
  </r>
  <r>
    <x v="0"/>
    <s v="苏州艺佳精电有限公司"/>
    <x v="0"/>
    <x v="0"/>
    <n v="36"/>
    <n v="324"/>
    <n v="208.46834000000001"/>
    <n v="5.7907872222222228"/>
    <n v="194.91789790000001"/>
    <n v="212.768478989682"/>
    <n v="6.6077167388099998"/>
    <n v="206.16076225087198"/>
    <x v="0"/>
    <x v="0"/>
    <n v="1"/>
    <d v="2025-04-24T00:00:00"/>
    <d v="2025-04-30T00:00:00"/>
    <n v="208.46834000000001"/>
    <n v="182.44315243439999"/>
    <n v="0.65869425354290312"/>
    <n v="188.86454703354039"/>
    <n v="9.4037267080745307E-2"/>
    <x v="0"/>
  </r>
  <r>
    <x v="0"/>
    <s v="苏州艺佳精电有限公司"/>
    <x v="1"/>
    <x v="1"/>
    <n v="4"/>
    <n v="40"/>
    <n v="330.25036"/>
    <n v="82.56259"/>
    <n v="308.78408660000002"/>
    <n v="337.06253325082798"/>
    <n v="140.1635813735586"/>
    <n v="196.89895187726938"/>
    <x v="1"/>
    <x v="1"/>
    <n v="1"/>
    <d v="2025-04-24T00:00:00"/>
    <d v="2025-04-30T00:00:00"/>
    <n v="330.25036"/>
    <n v="174.24686006837999"/>
    <n v="5.0957285682523139"/>
    <n v="180.37977232751555"/>
    <n v="0.45380900621118003"/>
    <x v="1"/>
  </r>
  <r>
    <x v="0"/>
    <s v="苏州艺佳精电有限公司"/>
    <x v="2"/>
    <x v="2"/>
    <n v="40"/>
    <n v="40"/>
    <n v="367.52197000000001"/>
    <n v="9.1880492500000006"/>
    <n v="343.63304195000001"/>
    <n v="375.10295593178091"/>
    <n v="199.97724876280247"/>
    <n v="175.12570716897844"/>
    <x v="2"/>
    <x v="2"/>
    <n v="1"/>
    <d v="2025-04-24T00:00:00"/>
    <d v="2025-04-30T00:00:00"/>
    <n v="367.52197000000001"/>
    <n v="154.97850191944997"/>
    <n v="4.5322387983690078"/>
    <n v="160.43323180067284"/>
    <n v="0.56347308488612846"/>
    <x v="1"/>
  </r>
  <r>
    <x v="0"/>
    <s v="苏州艺佳精电有限公司"/>
    <x v="3"/>
    <x v="3"/>
    <n v="4"/>
    <n v="40"/>
    <n v="255.40530999999999"/>
    <n v="63.851327499999996"/>
    <n v="238.80396485"/>
    <n v="260.673631950963"/>
    <n v="80.954544084150001"/>
    <n v="179.719087866813"/>
    <x v="3"/>
    <x v="3"/>
    <n v="1"/>
    <d v="2025-04-24T00:00:00"/>
    <d v="2025-04-30T00:00:00"/>
    <n v="255.40530999999999"/>
    <n v="159.0434405901"/>
    <n v="4.651115110424767"/>
    <n v="164.64124284689444"/>
    <n v="0.35537267080745327"/>
    <x v="1"/>
  </r>
  <r>
    <x v="0"/>
    <s v="苏州艺佳精电有限公司"/>
    <x v="4"/>
    <x v="4"/>
    <n v="1"/>
    <n v="4"/>
    <n v="41.9"/>
    <n v="41.9"/>
    <n v="39.176500000000004"/>
    <n v="42.764283869999993"/>
    <n v="7.9685001"/>
    <n v="34.795783769999993"/>
    <x v="4"/>
    <x v="4"/>
    <n v="1"/>
    <d v="2025-04-24T00:00:00"/>
    <d v="2025-04-30T00:00:00"/>
    <n v="41.9"/>
    <n v="30.792728999999998"/>
    <n v="9.0051200232919246"/>
    <n v="31.876531055900621"/>
    <n v="0.23922360248447203"/>
    <x v="1"/>
  </r>
  <r>
    <x v="0"/>
    <s v="苏州艺佳精电有限公司"/>
    <x v="5"/>
    <x v="5"/>
    <n v="24"/>
    <n v="24"/>
    <n v="244.8"/>
    <n v="10.200000000000001"/>
    <n v="228.88800000000003"/>
    <n v="249.84956303999999"/>
    <n v="38.796516000000004"/>
    <n v="211.05304704"/>
    <x v="5"/>
    <x v="5"/>
    <n v="1"/>
    <d v="2025-04-24T00:00:00"/>
    <d v="2025-04-30T00:00:00"/>
    <n v="244.8"/>
    <n v="186.77260800000002"/>
    <n v="9.1033922981366473"/>
    <n v="193.34638509316775"/>
    <n v="0.21018633540372653"/>
    <x v="1"/>
  </r>
  <r>
    <x v="0"/>
    <s v="苏州艺佳精电有限公司"/>
    <x v="6"/>
    <x v="6"/>
    <n v="4"/>
    <n v="40"/>
    <n v="151.33257"/>
    <n v="37.833142500000001"/>
    <n v="141.49595295"/>
    <n v="154.45415232116099"/>
    <n v="71.950692075074997"/>
    <n v="82.503460246085993"/>
    <x v="6"/>
    <x v="6"/>
    <n v="1"/>
    <d v="2025-04-24T00:00:00"/>
    <d v="2025-04-30T00:00:00"/>
    <n v="151.33257"/>
    <n v="73.011911722199997"/>
    <n v="2.1351827185840064"/>
    <n v="75.581689153416164"/>
    <n v="0.50055900621117999"/>
    <x v="1"/>
  </r>
  <r>
    <x v="0"/>
    <s v="苏州艺佳精电有限公司"/>
    <x v="7"/>
    <x v="7"/>
    <n v="1"/>
    <n v="6"/>
    <n v="86.75"/>
    <n v="86.75"/>
    <n v="81.111249999999998"/>
    <n v="88.539418274999989"/>
    <n v="13.748356874999999"/>
    <n v="74.79106139999999"/>
    <x v="5"/>
    <x v="7"/>
    <n v="1"/>
    <d v="2025-04-24T00:00:00"/>
    <d v="2025-04-30T00:00:00"/>
    <n v="86.75"/>
    <n v="66.186779999999999"/>
    <n v="12.903909834368529"/>
    <n v="68.516335403726714"/>
    <n v="0.21018633540372664"/>
    <x v="1"/>
  </r>
  <r>
    <x v="0"/>
    <s v="苏州艺佳精电有限公司"/>
    <x v="8"/>
    <x v="8"/>
    <n v="1"/>
    <n v="6"/>
    <n v="69.44"/>
    <n v="69.44"/>
    <n v="64.926400000000001"/>
    <n v="70.872359711999991"/>
    <n v="25.898491695999994"/>
    <n v="44.973868015999997"/>
    <x v="7"/>
    <x v="8"/>
    <n v="1"/>
    <d v="2025-04-24T00:00:00"/>
    <d v="2025-04-30T00:00:00"/>
    <n v="69.44"/>
    <n v="39.799883200000004"/>
    <n v="7.7594665314009665"/>
    <n v="41.200707246376815"/>
    <n v="0.40667184265010342"/>
    <x v="1"/>
  </r>
  <r>
    <x v="0"/>
    <s v="苏州艺佳精电有限公司"/>
    <x v="9"/>
    <x v="9"/>
    <n v="24"/>
    <n v="24"/>
    <n v="326.88"/>
    <n v="13.62"/>
    <n v="305.63280000000003"/>
    <n v="333.622651824"/>
    <n v="153.68745348000002"/>
    <n v="179.93519834399999"/>
    <x v="8"/>
    <x v="9"/>
    <n v="1"/>
    <d v="2025-04-24T00:00:00"/>
    <d v="2025-04-30T00:00:00"/>
    <n v="326.88"/>
    <n v="159.23468880000001"/>
    <n v="7.761180052795031"/>
    <n v="164.83922236024847"/>
    <n v="0.49571946169772246"/>
    <x v="1"/>
  </r>
  <r>
    <x v="0"/>
    <s v="苏州艺佳精电有限公司"/>
    <x v="10"/>
    <x v="10"/>
    <n v="16"/>
    <n v="96"/>
    <n v="179.2"/>
    <n v="11.2"/>
    <n v="167.55199999999999"/>
    <n v="182.89641215999998"/>
    <n v="47.333439999999996"/>
    <n v="135.56297215999999"/>
    <x v="9"/>
    <x v="10"/>
    <n v="1"/>
    <d v="2025-04-24T00:00:00"/>
    <d v="2025-04-30T00:00:00"/>
    <n v="179.2"/>
    <n v="119.967232"/>
    <n v="1.4618160386473429"/>
    <n v="124.18968115942029"/>
    <n v="0.30697722567287783"/>
    <x v="1"/>
  </r>
  <r>
    <x v="0"/>
    <s v="苏州艺佳精电有限公司"/>
    <x v="11"/>
    <x v="11"/>
    <n v="30"/>
    <n v="30"/>
    <n v="91.362830000000002"/>
    <n v="3.0454276666666669"/>
    <n v="85.424246050000008"/>
    <n v="93.247398503258992"/>
    <n v="9.6529398036499998"/>
    <n v="83.594458699608992"/>
    <x v="10"/>
    <x v="11"/>
    <n v="1"/>
    <d v="2025-04-24T00:00:00"/>
    <d v="2025-04-30T00:00:00"/>
    <n v="91.362830000000002"/>
    <n v="73.977397079300005"/>
    <n v="2.8845568909457899"/>
    <n v="76.581156396790888"/>
    <n v="0.16179089026915119"/>
    <x v="2"/>
  </r>
  <r>
    <x v="0"/>
    <s v="苏州艺佳精电有限公司"/>
    <x v="12"/>
    <x v="12"/>
    <n v="6"/>
    <n v="18"/>
    <n v="358.2"/>
    <n v="59.699999999999996"/>
    <n v="334.91700000000003"/>
    <n v="365.58869885999997"/>
    <n v="166.672114884"/>
    <n v="198.91658397599997"/>
    <x v="11"/>
    <x v="12"/>
    <n v="1"/>
    <d v="2025-04-24T00:00:00"/>
    <d v="2025-04-30T00:00:00"/>
    <n v="358.2"/>
    <n v="176.03237519999999"/>
    <n v="11.4398771552795"/>
    <n v="182.22813167701861"/>
    <n v="0.49126708074534164"/>
    <x v="3"/>
  </r>
  <r>
    <x v="0"/>
    <s v="苏州艺佳精电有限公司"/>
    <x v="13"/>
    <x v="13"/>
    <n v="10"/>
    <n v="30"/>
    <n v="243.21306999999999"/>
    <n v="24.321306999999997"/>
    <n v="227.40422045"/>
    <n v="248.22989895881099"/>
    <n v="46.254018439529993"/>
    <n v="201.97588051928099"/>
    <x v="4"/>
    <x v="13"/>
    <n v="1"/>
    <d v="2025-04-24T00:00:00"/>
    <d v="2025-04-30T00:00:00"/>
    <n v="243.21306999999999"/>
    <n v="178.73971727370002"/>
    <n v="6.969492081410662"/>
    <n v="185.03076322329193"/>
    <n v="0.239223602484472"/>
    <x v="4"/>
  </r>
  <r>
    <x v="0"/>
    <s v="苏州艺佳精电有限公司"/>
    <x v="14"/>
    <x v="14"/>
    <n v="5"/>
    <n v="50"/>
    <n v="153.64888999999999"/>
    <n v="30.729778"/>
    <n v="143.66171215"/>
    <n v="156.81825174869698"/>
    <n v="24.350660209424998"/>
    <n v="132.46759153927198"/>
    <x v="5"/>
    <x v="14"/>
    <n v="1"/>
    <d v="2025-04-24T00:00:00"/>
    <d v="2025-04-30T00:00:00"/>
    <n v="153.64888999999999"/>
    <n v="117.2279571144"/>
    <n v="2.7426002389083228"/>
    <n v="121.35399287204969"/>
    <n v="0.21018633540372669"/>
    <x v="5"/>
  </r>
  <r>
    <x v="0"/>
    <s v="苏州艺佳精电有限公司"/>
    <x v="15"/>
    <x v="15"/>
    <n v="10"/>
    <n v="100"/>
    <n v="240.89676"/>
    <n v="24.089676000000001"/>
    <n v="225.2384706"/>
    <n v="245.86580973754795"/>
    <n v="38.177920766699998"/>
    <n v="207.68788897084795"/>
    <x v="5"/>
    <x v="15"/>
    <n v="1"/>
    <d v="2025-04-24T00:00:00"/>
    <d v="2025-04-30T00:00:00"/>
    <n v="240.89676"/>
    <n v="183.79459200959997"/>
    <n v="2.1499781466961485"/>
    <n v="190.26355280496892"/>
    <n v="0.2101863354037268"/>
    <x v="5"/>
  </r>
  <r>
    <x v="0"/>
    <s v="苏州艺佳精电有限公司"/>
    <x v="16"/>
    <x v="16"/>
    <n v="12"/>
    <n v="120"/>
    <n v="202.8"/>
    <n v="16.900000000000002"/>
    <n v="189.61800000000002"/>
    <n v="206.98321643999998"/>
    <n v="10.713417000000002"/>
    <n v="196.26979943999999"/>
    <x v="12"/>
    <x v="16"/>
    <n v="1"/>
    <d v="2025-04-24T00:00:00"/>
    <d v="2025-04-30T00:00:00"/>
    <n v="202.8"/>
    <n v="173.690088"/>
    <n v="1.6931487184265011"/>
    <n v="179.8034037267081"/>
    <n v="0.1133954451345755"/>
    <x v="6"/>
  </r>
  <r>
    <x v="0"/>
    <s v="苏州艺佳精电有限公司"/>
    <x v="17"/>
    <x v="17"/>
    <n v="4"/>
    <n v="32"/>
    <n v="100.5"/>
    <n v="25.125"/>
    <n v="93.967500000000001"/>
    <n v="102.57304364999999"/>
    <n v="26.121085649999998"/>
    <n v="76.451957999999991"/>
    <x v="13"/>
    <x v="17"/>
    <n v="1"/>
    <d v="2025-04-24T00:00:00"/>
    <d v="2025-04-30T00:00:00"/>
    <n v="100.5"/>
    <n v="67.656599999999997"/>
    <n v="2.4732129270186332"/>
    <n v="70.037888198757756"/>
    <n v="0.30310559006211191"/>
    <x v="6"/>
  </r>
  <r>
    <x v="0"/>
    <s v="苏州艺佳精电有限公司"/>
    <x v="18"/>
    <x v="18"/>
    <n v="6"/>
    <n v="18"/>
    <n v="215.4"/>
    <n v="35.9"/>
    <n v="201.39900000000003"/>
    <n v="219.84312041999999"/>
    <n v="40.964556600000002"/>
    <n v="178.87856381999998"/>
    <x v="4"/>
    <x v="18"/>
    <n v="1"/>
    <d v="2025-04-24T00:00:00"/>
    <d v="2025-04-30T00:00:00"/>
    <n v="215.4"/>
    <n v="158.29961399999999"/>
    <n v="10.287472039337473"/>
    <n v="163.87123602484471"/>
    <n v="0.23922360248447214"/>
    <x v="6"/>
  </r>
  <r>
    <x v="0"/>
    <s v="苏州艺佳精电有限公司"/>
    <x v="19"/>
    <x v="19"/>
    <n v="16"/>
    <n v="48"/>
    <n v="222.4"/>
    <n v="13.9"/>
    <n v="207.94400000000002"/>
    <n v="226.98751152"/>
    <n v="58.74418"/>
    <n v="168.24333152"/>
    <x v="9"/>
    <x v="19"/>
    <n v="1"/>
    <d v="2025-04-24T00:00:00"/>
    <d v="2025-04-30T00:00:00"/>
    <n v="222.4"/>
    <n v="148.88790400000002"/>
    <n v="3.6284362387853695"/>
    <n v="154.12826501035201"/>
    <n v="0.30697722567287766"/>
    <x v="6"/>
  </r>
  <r>
    <x v="0"/>
    <s v="苏州艺佳精电有限公司"/>
    <x v="20"/>
    <x v="20"/>
    <n v="4"/>
    <n v="32"/>
    <n v="105.79"/>
    <n v="26.447500000000002"/>
    <n v="98.913650000000018"/>
    <n v="107.97216206700001"/>
    <n v="33.531727350000004"/>
    <n v="74.440434717000016"/>
    <x v="3"/>
    <x v="20"/>
    <n v="1"/>
    <d v="2025-04-24T00:00:00"/>
    <d v="2025-04-30T00:00:00"/>
    <n v="105.79"/>
    <n v="65.876490900000022"/>
    <n v="2.408140357045808"/>
    <n v="68.195125155279527"/>
    <n v="0.35537267080745322"/>
    <x v="6"/>
  </r>
  <r>
    <x v="0"/>
    <s v="苏州艺佳精电有限公司"/>
    <x v="21"/>
    <x v="21"/>
    <n v="6"/>
    <n v="96"/>
    <n v="283.80122999999998"/>
    <n v="47.300204999999998"/>
    <n v="265.35415004999999"/>
    <n v="289.65528311157897"/>
    <n v="8.9955056866949974"/>
    <n v="280.65977742488394"/>
    <x v="0"/>
    <x v="21"/>
    <n v="1"/>
    <d v="2025-04-24T00:00:00"/>
    <d v="2025-04-30T00:00:00"/>
    <n v="283.80122999999998"/>
    <n v="248.37148444679997"/>
    <n v="3.0264382486292694"/>
    <n v="257.11333793664591"/>
    <n v="9.403726708074546E-2"/>
    <x v="6"/>
  </r>
  <r>
    <x v="0"/>
    <s v="苏州艺佳精电有限公司"/>
    <x v="22"/>
    <x v="22"/>
    <n v="20"/>
    <n v="60"/>
    <n v="338.18198999999998"/>
    <n v="16.9090995"/>
    <n v="316.20016064999999"/>
    <n v="345.15777136232697"/>
    <n v="53.595927230174986"/>
    <n v="291.56184413215198"/>
    <x v="5"/>
    <x v="22"/>
    <n v="1"/>
    <d v="2025-04-24T00:00:00"/>
    <d v="2025-04-30T00:00:00"/>
    <n v="338.18198999999998"/>
    <n v="258.01933109039999"/>
    <n v="5.0303975868211177"/>
    <n v="267.10075682236021"/>
    <n v="0.21018633540372678"/>
    <x v="6"/>
  </r>
  <r>
    <x v="0"/>
    <s v="苏州艺佳精电有限公司"/>
    <x v="23"/>
    <x v="23"/>
    <n v="24"/>
    <n v="96"/>
    <n v="287.22000000000003"/>
    <n v="11.967500000000001"/>
    <n v="268.55070000000006"/>
    <n v="293.14457310600005"/>
    <n v="45.51934365000001"/>
    <n v="247.62522945600006"/>
    <x v="5"/>
    <x v="23"/>
    <n v="1"/>
    <d v="2025-04-24T00:00:00"/>
    <d v="2025-04-30T00:00:00"/>
    <n v="287.22000000000003"/>
    <n v="219.13737120000008"/>
    <n v="2.6702168462732927"/>
    <n v="226.85028074534168"/>
    <n v="0.21018633540372655"/>
    <x v="6"/>
  </r>
  <r>
    <x v="0"/>
    <s v="北京朝批中得商贸有限公司"/>
    <x v="9"/>
    <x v="9"/>
    <n v="24"/>
    <n v="24"/>
    <n v="326.88"/>
    <n v="13.62"/>
    <n v="305.63280000000003"/>
    <n v="333.622651824"/>
    <n v="110.51682048000001"/>
    <n v="223.10583134399999"/>
    <x v="14"/>
    <x v="24"/>
    <n v="1"/>
    <d v="2025-04-24T00:00:00"/>
    <d v="2025-06-30T00:00:00"/>
    <n v="326.88"/>
    <n v="197.43878880000003"/>
    <n v="9.6232673975155283"/>
    <n v="204.38798012422365"/>
    <n v="0.37473084886128349"/>
    <x v="1"/>
  </r>
  <r>
    <x v="0"/>
    <s v="北京朝批中得商贸有限公司"/>
    <x v="2"/>
    <x v="2"/>
    <n v="40"/>
    <n v="40"/>
    <n v="367.52197000000001"/>
    <n v="9.1880492500000006"/>
    <n v="343.63304195000001"/>
    <n v="375.10295593178091"/>
    <n v="155.3221349614"/>
    <n v="219.78082097038092"/>
    <x v="15"/>
    <x v="25"/>
    <n v="1"/>
    <d v="2025-04-24T00:00:00"/>
    <d v="2025-06-30T00:00:00"/>
    <n v="367.52197000000001"/>
    <n v="194.49630174369995"/>
    <n v="5.6879094454032328"/>
    <n v="201.3419272709109"/>
    <n v="0.45216356107660477"/>
    <x v="1"/>
  </r>
  <r>
    <x v="0"/>
    <s v="北京泰和嘉华商贸有限公司"/>
    <x v="2"/>
    <x v="2"/>
    <n v="40"/>
    <n v="40"/>
    <n v="367.52197000000001"/>
    <n v="9.1880492500000006"/>
    <n v="343.63304195000001"/>
    <n v="375.10295593178091"/>
    <n v="174.73740183157497"/>
    <n v="200.36555410020594"/>
    <x v="6"/>
    <x v="26"/>
    <n v="1"/>
    <d v="2025-04-24T00:00:00"/>
    <d v="2025-06-30T00:00:00"/>
    <n v="367.52197000000001"/>
    <n v="177.31464964619997"/>
    <n v="5.1854439466927005"/>
    <n v="183.55553793602482"/>
    <n v="0.50055900621118021"/>
    <x v="1"/>
  </r>
  <r>
    <x v="0"/>
    <s v="北京泰和嘉华商贸有限公司"/>
    <x v="9"/>
    <x v="9"/>
    <n v="24"/>
    <n v="24"/>
    <n v="326.88"/>
    <n v="13.62"/>
    <n v="305.63280000000003"/>
    <n v="333.622651824"/>
    <n v="138.1460256"/>
    <n v="195.476626224"/>
    <x v="15"/>
    <x v="27"/>
    <n v="1"/>
    <d v="2025-04-24T00:00:00"/>
    <d v="2025-06-30T00:00:00"/>
    <n v="326.88"/>
    <n v="172.98816480000002"/>
    <n v="8.4315314968944097"/>
    <n v="179.07677515527953"/>
    <n v="0.45216356107660444"/>
    <x v="1"/>
  </r>
  <r>
    <x v="0"/>
    <s v="北京卓腾商贸有限公司"/>
    <x v="2"/>
    <x v="2"/>
    <n v="40"/>
    <n v="40"/>
    <n v="367.52197000000001"/>
    <n v="9.1880492500000006"/>
    <n v="343.63304195000001"/>
    <n v="375.10295593178091"/>
    <n v="174.73740183157497"/>
    <n v="200.36555410020594"/>
    <x v="6"/>
    <x v="26"/>
    <n v="1"/>
    <d v="2025-04-24T00:00:00"/>
    <d v="2025-06-30T00:00:00"/>
    <n v="367.52197000000001"/>
    <n v="177.31464964619997"/>
    <n v="5.1854439466927005"/>
    <n v="183.55553793602482"/>
    <n v="0.50055900621118021"/>
    <x v="1"/>
  </r>
  <r>
    <x v="0"/>
    <s v="北京卓腾商贸有限公司"/>
    <x v="13"/>
    <x v="13"/>
    <n v="10"/>
    <n v="30"/>
    <n v="243.21306999999999"/>
    <n v="24.321306999999997"/>
    <n v="227.40422045"/>
    <n v="248.22989895881099"/>
    <n v="46.254018439529993"/>
    <n v="201.97588051928099"/>
    <x v="4"/>
    <x v="13"/>
    <n v="1"/>
    <d v="2025-04-24T00:00:00"/>
    <d v="2025-06-30T00:00:00"/>
    <n v="243.21306999999999"/>
    <n v="178.73971727370002"/>
    <n v="6.969492081410662"/>
    <n v="185.03076322329193"/>
    <n v="0.239223602484472"/>
    <x v="4"/>
  </r>
  <r>
    <x v="0"/>
    <s v="北京卓腾商贸有限公司"/>
    <x v="9"/>
    <x v="9"/>
    <n v="24"/>
    <n v="24"/>
    <n v="326.88"/>
    <n v="13.62"/>
    <n v="305.63280000000003"/>
    <n v="333.622651824"/>
    <n v="103.60951919999999"/>
    <n v="230.01313262400001"/>
    <x v="3"/>
    <x v="28"/>
    <n v="1"/>
    <d v="2025-04-24T00:00:00"/>
    <d v="2025-06-30T00:00:00"/>
    <n v="326.88"/>
    <n v="203.55144480000001"/>
    <n v="9.9212013726708079"/>
    <n v="210.71578136645965"/>
    <n v="0.35537267080745333"/>
    <x v="1"/>
  </r>
  <r>
    <x v="0"/>
    <s v="大连达博商贸有限公司"/>
    <x v="2"/>
    <x v="2"/>
    <n v="40"/>
    <n v="40"/>
    <n v="367.52197000000001"/>
    <n v="9.1880492500000006"/>
    <n v="343.63304195000001"/>
    <n v="375.10295593178091"/>
    <n v="174.73740183157497"/>
    <n v="200.36555410020594"/>
    <x v="6"/>
    <x v="26"/>
    <n v="1"/>
    <d v="2025-04-24T00:00:00"/>
    <d v="2025-06-30T00:00:00"/>
    <n v="367.52197000000001"/>
    <n v="177.31464964619997"/>
    <n v="5.1854439466927005"/>
    <n v="183.55553793602482"/>
    <n v="0.50055900621118021"/>
    <x v="1"/>
  </r>
  <r>
    <x v="0"/>
    <s v="济南华天新光商贸有限公司"/>
    <x v="2"/>
    <x v="2"/>
    <n v="40"/>
    <n v="40"/>
    <n v="367.52197000000001"/>
    <n v="9.1880492500000006"/>
    <n v="343.63304195000001"/>
    <n v="375.10295593178091"/>
    <n v="174.73740183157497"/>
    <n v="200.36555410020594"/>
    <x v="6"/>
    <x v="26"/>
    <n v="1"/>
    <d v="2025-04-24T00:00:00"/>
    <d v="2025-06-30T00:00:00"/>
    <n v="367.52197000000001"/>
    <n v="177.31464964619997"/>
    <n v="5.1854439466927005"/>
    <n v="183.55553793602482"/>
    <n v="0.50055900621118021"/>
    <x v="1"/>
  </r>
  <r>
    <x v="0"/>
    <s v="青岛聚鑫美商贸有限公司"/>
    <x v="2"/>
    <x v="2"/>
    <n v="40"/>
    <n v="40"/>
    <n v="367.52197000000001"/>
    <n v="9.1880492500000006"/>
    <n v="343.63304195000001"/>
    <n v="375.10295593178091"/>
    <n v="174.73740183157497"/>
    <n v="200.36555410020594"/>
    <x v="6"/>
    <x v="26"/>
    <n v="1"/>
    <d v="2025-04-24T00:00:00"/>
    <d v="2025-06-30T00:00:00"/>
    <n v="367.52197000000001"/>
    <n v="177.31464964619997"/>
    <n v="5.1854439466927005"/>
    <n v="183.55553793602482"/>
    <n v="0.50055900621118021"/>
    <x v="1"/>
  </r>
  <r>
    <x v="0"/>
    <s v="真市美供应链（沈阳）有限公司"/>
    <x v="2"/>
    <x v="2"/>
    <n v="40"/>
    <n v="40"/>
    <n v="367.52197000000001"/>
    <n v="9.1880492500000006"/>
    <n v="343.63304195000001"/>
    <n v="375.10295593178091"/>
    <n v="174.73740183157497"/>
    <n v="200.36555410020594"/>
    <x v="6"/>
    <x v="26"/>
    <n v="1"/>
    <d v="2025-04-24T00:00:00"/>
    <d v="2025-06-30T00:00:00"/>
    <n v="367.52197000000001"/>
    <n v="177.31464964619997"/>
    <n v="5.1854439466927005"/>
    <n v="183.55553793602482"/>
    <n v="0.50055900621118021"/>
    <x v="1"/>
  </r>
  <r>
    <x v="0"/>
    <s v="真市美供应链（沈阳）有限公司"/>
    <x v="23"/>
    <x v="23"/>
    <n v="24"/>
    <n v="96"/>
    <n v="287.22000000000003"/>
    <n v="11.967500000000001"/>
    <n v="268.55070000000006"/>
    <n v="293.14457310600005"/>
    <n v="15.173114550000003"/>
    <n v="277.97145855600007"/>
    <x v="12"/>
    <x v="29"/>
    <n v="1"/>
    <d v="2025-04-24T00:00:00"/>
    <d v="2025-06-30T00:00:00"/>
    <n v="287.22000000000003"/>
    <n v="245.99244120000009"/>
    <n v="2.9974493029244313"/>
    <n v="254.65056024844728"/>
    <n v="0.1133954451345754"/>
    <x v="6"/>
  </r>
  <r>
    <x v="0"/>
    <s v="真市美供应链（沈阳）有限公司"/>
    <x v="22"/>
    <x v="22"/>
    <n v="20"/>
    <n v="60"/>
    <n v="338.18198999999998"/>
    <n v="16.9090995"/>
    <n v="316.20016064999999"/>
    <n v="345.15777136232697"/>
    <n v="28.584494522759996"/>
    <n v="316.57327683956697"/>
    <x v="16"/>
    <x v="30"/>
    <n v="1"/>
    <d v="2025-04-24T00:00:00"/>
    <d v="2025-06-30T00:00:00"/>
    <n v="338.18198999999998"/>
    <n v="280.15334233589999"/>
    <n v="5.4619267915729299"/>
    <n v="290.0138119419255"/>
    <n v="0.14243271221532078"/>
    <x v="6"/>
  </r>
  <r>
    <x v="0"/>
    <s v="真市美供应链（沈阳）有限公司"/>
    <x v="0"/>
    <x v="0"/>
    <n v="36"/>
    <n v="324"/>
    <n v="208.46834000000001"/>
    <n v="5.7907872222222228"/>
    <n v="194.91789790000001"/>
    <n v="212.768478989682"/>
    <n v="6.6077167388099998"/>
    <n v="206.16076225087198"/>
    <x v="0"/>
    <x v="0"/>
    <n v="1"/>
    <d v="2025-04-24T00:00:00"/>
    <d v="2025-06-30T00:00:00"/>
    <n v="208.46834000000001"/>
    <n v="182.44315243439999"/>
    <n v="0.65869425354290312"/>
    <n v="188.86454703354039"/>
    <n v="9.4037267080745307E-2"/>
    <x v="0"/>
  </r>
  <r>
    <x v="0"/>
    <s v="真市美供应链（沈阳）有限公司"/>
    <x v="15"/>
    <x v="15"/>
    <n v="10"/>
    <n v="100"/>
    <n v="240.89676"/>
    <n v="24.089676000000001"/>
    <n v="225.2384706"/>
    <n v="245.86580973754795"/>
    <n v="12.725973588899999"/>
    <n v="233.13983614864796"/>
    <x v="12"/>
    <x v="31"/>
    <n v="1"/>
    <d v="2025-04-24T00:00:00"/>
    <d v="2025-06-30T00:00:00"/>
    <n v="240.89676"/>
    <n v="206.31843906959998"/>
    <n v="2.4134558607520491"/>
    <n v="213.58016466832296"/>
    <n v="0.11339544513457564"/>
    <x v="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
  <r>
    <m/>
    <m/>
    <x v="0"/>
    <m/>
    <m/>
    <m/>
    <m/>
    <m/>
    <m/>
    <m/>
    <m/>
    <m/>
    <m/>
    <m/>
    <m/>
    <m/>
    <m/>
    <m/>
    <m/>
    <m/>
    <m/>
    <x v="0"/>
    <n v="100"/>
    <m/>
    <m/>
    <m/>
    <m/>
    <x v="0"/>
    <m/>
    <m/>
    <m/>
    <m/>
    <m/>
    <m/>
  </r>
  <r>
    <s v="公式"/>
    <s v="销售填写"/>
    <x v="1"/>
    <s v="销售填写"/>
    <s v="公式"/>
    <s v="公式"/>
    <s v="公式"/>
    <s v="公式"/>
    <s v="公式"/>
    <s v="公式"/>
    <s v="公式"/>
    <s v="公式"/>
    <s v="公式"/>
    <s v="销售填写"/>
    <s v="公式"/>
    <s v="销售填写"/>
    <s v="销售填写"/>
    <s v="Lucy填写"/>
    <s v="公式"/>
    <s v="公式"/>
    <m/>
    <x v="0"/>
    <m/>
    <m/>
    <m/>
    <m/>
    <m/>
    <x v="0"/>
    <m/>
    <m/>
    <m/>
    <m/>
    <m/>
    <m/>
  </r>
  <r>
    <s v="V"/>
    <s v="计划类型"/>
    <x v="2"/>
    <s v="Product Code"/>
    <s v="产品名称"/>
    <s v="箱规"/>
    <s v="包/箱"/>
    <s v="PR00_x000a_(箱价)-未税"/>
    <s v="PR00/EA"/>
    <s v="经销商箱价"/>
    <s v="打款价格-含税"/>
    <s v="折扣费用"/>
    <s v="最终价格-含税"/>
    <s v="折扣力度"/>
    <s v="单包价格/含税"/>
    <s v="实际活动_x000a_开始时间"/>
    <s v="实际活动_x000a_结束时间"/>
    <s v="GSV-实际"/>
    <s v="PE-后补"/>
    <s v="PE%-_x000a_后补点数"/>
    <s v="归属"/>
    <x v="1"/>
    <s v="随货点数"/>
    <s v="实际点数"/>
    <s v="最终低价"/>
    <s v="创建月份"/>
    <s v="备注"/>
    <x v="1"/>
    <s v="协议"/>
    <s v="实际打款金额-不含税"/>
    <s v="订单箱数"/>
    <s v="系统invoice-不含税"/>
    <s v="应补偿金额-不含税"/>
    <s v="含税"/>
  </r>
  <r>
    <s v="上海文鑫网络科技有限公司2701-90"/>
    <s v="短期促销返利"/>
    <x v="3"/>
    <s v="2701-90"/>
    <s v="270190舒洁小熊印花手帕纸3层10包FSC mix70%"/>
    <n v="36"/>
    <n v="360"/>
    <n v="208.46834000000001"/>
    <n v="5.7907872222222228"/>
    <n v="194.91789790000001"/>
    <n v="212.768478989682"/>
    <n v="7.9292600865719987"/>
    <n v="204.83921890311001"/>
    <n v="3.5999999999999997E-2"/>
    <n v="0.56899783028641671"/>
    <d v="2025-04-01T00:00:00"/>
    <d v="2025-04-30T00:00:00"/>
    <n v="57537.26"/>
    <n v="1936.7041716000001"/>
    <n v="3.3660000000000002E-2"/>
    <m/>
    <x v="2"/>
    <n v="0.21299999999999999"/>
    <n v="0.249"/>
    <n v="0.48742108042456478"/>
    <s v="4月已补建"/>
    <m/>
    <x v="2"/>
    <s v="Y"/>
    <n v="42858.547390252003"/>
    <n v="276"/>
    <n v="43354.770000000004"/>
    <n v="496.22260974800156"/>
    <n v="560.73154901524174"/>
  </r>
  <r>
    <s v="上海文鑫网络科技有限公司2103-90"/>
    <s v="短期促销返利"/>
    <x v="3"/>
    <s v="2103-90"/>
    <s v="210390舒洁小熊印花抽纸3层80抽4包FSC mix70%"/>
    <n v="24"/>
    <n v="96"/>
    <n v="287.22000000000003"/>
    <n v="11.967500000000001"/>
    <n v="268.55070000000006"/>
    <n v="293.14457310600005"/>
    <n v="15.476576841000002"/>
    <n v="277.66799626500006"/>
    <n v="5.0999999999999997E-2"/>
    <n v="2.8923749610937506"/>
    <d v="2025-04-01T00:00:00"/>
    <d v="2025-04-30T00:00:00"/>
    <n v="108283.09"/>
    <n v="5163.4791466500001"/>
    <n v="4.7685000000000005E-2"/>
    <m/>
    <x v="2"/>
    <n v="0.2"/>
    <n v="0.251"/>
    <n v="2.2601618548437501"/>
    <s v="4月已补建"/>
    <m/>
    <x v="2"/>
    <s v="Y"/>
    <n v="72389.18393850002"/>
    <n v="377"/>
    <n v="77676.38"/>
    <n v="5287.1960614999844"/>
    <n v="5974.5315494949818"/>
  </r>
  <r>
    <s v="上海文鑫网络科技有限公司2107-61"/>
    <s v="短期促销返利"/>
    <x v="3"/>
    <s v="2107-61"/>
    <s v="210761舒洁卡通系列抽纸200抽3包 FSC mix70%"/>
    <n v="20"/>
    <n v="60"/>
    <n v="338.18198999999998"/>
    <n v="16.9090995"/>
    <n v="316.20016064999999"/>
    <n v="345.15777136232697"/>
    <n v="23.939514162811498"/>
    <n v="321.21825719951545"/>
    <n v="6.7000000000000004E-2"/>
    <n v="5.3536376199919244"/>
    <d v="2025-04-01T00:00:00"/>
    <d v="2025-04-30T00:00:00"/>
    <n v="211701.93"/>
    <n v="13262.06740485"/>
    <n v="6.2645000000000006E-2"/>
    <m/>
    <x v="2"/>
    <n v="0.21299999999999999"/>
    <n v="0.28000000000000003"/>
    <n v="4.0852006755444501"/>
    <s v="4月已补建"/>
    <m/>
    <x v="2"/>
    <s v="Y"/>
    <n v="135787.73218889342"/>
    <n v="626"/>
    <n v="149147.18"/>
    <n v="13359.447811106569"/>
    <n v="15096.176026550422"/>
  </r>
  <r>
    <s v="上海文鑫网络科技有限公司2291-60"/>
    <s v="短期促销返利"/>
    <x v="3"/>
    <s v="2291-60"/>
    <s v="229160舒洁绿茶洋甘菊印花清香卷纸10粒"/>
    <n v="5"/>
    <n v="50"/>
    <n v="153.64888999999999"/>
    <n v="30.729778"/>
    <n v="143.66171215"/>
    <n v="156.81825174869698"/>
    <n v="16.720786677138499"/>
    <n v="140.09746507155847"/>
    <n v="0.10299999999999999"/>
    <n v="2.8019493014311694"/>
    <d v="2025-04-01T00:00:00"/>
    <d v="2025-04-30T00:00:00"/>
    <n v="18437.87"/>
    <n v="1775.6590703499999"/>
    <n v="9.6305000000000002E-2"/>
    <m/>
    <x v="2"/>
    <n v="0.192"/>
    <n v="0.29499999999999998"/>
    <n v="2.1785724000698901"/>
    <s v="4月已补建"/>
    <m/>
    <x v="2"/>
    <s v="Y"/>
    <n v="11567.641062318"/>
    <n v="120"/>
    <n v="13351.39"/>
    <n v="1783.7489376819995"/>
    <n v="2015.6362995806592"/>
  </r>
  <r>
    <s v="上海薪满翊商贸有限公司2107-61"/>
    <s v="短期促销返利"/>
    <x v="4"/>
    <s v="2107-61"/>
    <s v="210761舒洁卡通系列抽纸200抽3包 FSC mix70%"/>
    <n v="20"/>
    <n v="60"/>
    <n v="338.18198999999998"/>
    <n v="16.9090995"/>
    <n v="316.20016064999999"/>
    <n v="345.15777136232697"/>
    <n v="55.739764319381997"/>
    <n v="289.41800704294496"/>
    <n v="0.156"/>
    <n v="4.8236334507157492"/>
    <d v="2025-04-01T00:00:00"/>
    <d v="2025-04-30T00:00:00"/>
    <n v="10483.64"/>
    <n v="1529.1437303999999"/>
    <n v="0.14585999999999999"/>
    <m/>
    <x v="2"/>
    <m/>
    <m/>
    <n v="4.8236334507157492"/>
    <s v="4月已补建"/>
    <m/>
    <x v="0"/>
    <s v="Y"/>
    <n v="15879.572067843001"/>
    <m/>
    <m/>
    <m/>
    <m/>
  </r>
  <r>
    <s v="上海薪满翊商贸有限公司2701-90"/>
    <s v="短期促销返利"/>
    <x v="4"/>
    <s v="2701-90"/>
    <s v="270190舒洁小熊印花手帕纸3层10包FSC mix70%"/>
    <n v="36"/>
    <n v="360"/>
    <n v="208.46834000000001"/>
    <n v="5.7907872222222228"/>
    <n v="194.91789790000001"/>
    <n v="212.768478989682"/>
    <n v="39.646300432859995"/>
    <n v="173.12217855682201"/>
    <n v="0.18"/>
    <n v="0.4808949404356167"/>
    <d v="2025-04-01T00:00:00"/>
    <d v="2025-04-30T00:00:00"/>
    <n v="416.94"/>
    <n v="70.171002000000001"/>
    <n v="0.16830000000000001"/>
    <m/>
    <x v="2"/>
    <m/>
    <m/>
    <n v="0.4808949404356167"/>
    <s v="4月已补建"/>
    <m/>
    <x v="0"/>
    <s v="Y"/>
    <n v="9498.7390004628014"/>
    <m/>
    <m/>
    <m/>
    <m/>
  </r>
  <r>
    <s v="上海文鑫网络科技有限公司2216-35"/>
    <s v="短期促销返利"/>
    <x v="3"/>
    <s v="2216-35"/>
    <s v="221635舒洁卷纸3层纯白10粒（蓝色）"/>
    <n v="10"/>
    <n v="100"/>
    <n v="240.89676"/>
    <n v="24.089676000000001"/>
    <n v="225.2384706"/>
    <n v="245.86580973754795"/>
    <n v="24.179349818909998"/>
    <n v="221.68645991863795"/>
    <n v="9.5000000000000001E-2"/>
    <n v="2.2168645991863793"/>
    <d v="2025-04-01T00:00:00"/>
    <d v="2025-04-30T00:00:00"/>
    <n v="104549.21"/>
    <n v="9286.5835782500017"/>
    <n v="8.8825000000000015E-2"/>
    <m/>
    <x v="2"/>
    <n v="0.192"/>
    <n v="0.28700000000000003"/>
    <n v="1.7281872133726193"/>
    <s v="4月已补建"/>
    <m/>
    <x v="2"/>
    <s v="Y"/>
    <n v="66374.623947231579"/>
    <n v="434"/>
    <n v="75703.22"/>
    <n v="9328.5960527684219"/>
    <n v="10541.313539628316"/>
  </r>
  <r>
    <s v="上海薪满翊商贸有限公司2103-90"/>
    <s v="短期促销返利"/>
    <x v="4"/>
    <s v="2103-90"/>
    <s v="210390舒洁小熊印花抽纸3层80抽4包FSC mix70%"/>
    <n v="24"/>
    <n v="96"/>
    <n v="287.22000000000003"/>
    <n v="11.967500000000001"/>
    <n v="268.55070000000006"/>
    <n v="293.14457310600005"/>
    <n v="45.51934365000001"/>
    <n v="247.62522945600006"/>
    <n v="0.15"/>
    <n v="2.5794294735000007"/>
    <d v="2025-04-01T00:00:00"/>
    <d v="2025-04-30T00:00:00"/>
    <n v="7467.8"/>
    <n v="1047.35895"/>
    <n v="0.14025000000000001"/>
    <m/>
    <x v="2"/>
    <m/>
    <m/>
    <n v="2.5794294735000007"/>
    <s v="4月已补建"/>
    <m/>
    <x v="0"/>
    <s v="Y"/>
    <n v="13586.517014400004"/>
    <m/>
    <m/>
    <m/>
    <m/>
  </r>
  <r>
    <s v="上海文鑫网络科技有限公司2613-00"/>
    <s v="短期促销返利"/>
    <x v="3"/>
    <s v="2613-00"/>
    <s v="261300舒洁无香湿巾单包装"/>
    <n v="30"/>
    <n v="30"/>
    <n v="91.362830000000002"/>
    <n v="3.0454276666666669"/>
    <n v="85.424246050000008"/>
    <n v="93.247398503258992"/>
    <n v="2.0985491133135081"/>
    <n v="91.148849389945482"/>
    <n v="2.1739999999999982E-2"/>
    <n v="3.0382949796648493"/>
    <d v="2025-04-01T00:00:00"/>
    <d v="2025-04-30T00:00:00"/>
    <n v="121878"/>
    <n v="2477.4019181999979"/>
    <n v="2.0326899999999985E-2"/>
    <m/>
    <x v="2"/>
    <n v="0.44700000000000001"/>
    <n v="0.46873999999999999"/>
    <n v="1.6000069489209996"/>
    <s v="4月已补建"/>
    <m/>
    <x v="2"/>
    <s v="Y"/>
    <n v="56665.732828157888"/>
    <n v="1334"/>
    <n v="59258.46"/>
    <n v="2592.7271718421107"/>
    <n v="2929.7817041815847"/>
  </r>
  <r>
    <s v="天宁区雕庄达途百货经营部2662-00"/>
    <s v="短期促销返利"/>
    <x v="5"/>
    <s v="2662-00"/>
    <s v="266200舒洁湿厕纸80片x6包 "/>
    <n v="1"/>
    <n v="6"/>
    <n v="69.44"/>
    <n v="69.44"/>
    <n v="64.926400000000001"/>
    <n v="70.872359711999991"/>
    <n v="25.898491695999994"/>
    <n v="44.973868015999997"/>
    <n v="0.35299999999999998"/>
    <n v="7.4956446693333332"/>
    <d v="2025-04-01T00:00:00"/>
    <d v="2025-04-30T00:00:00"/>
    <n v="138880"/>
    <n v="45838.038400000005"/>
    <n v="0.33005500000000004"/>
    <s v="曲盛涛"/>
    <x v="2"/>
    <m/>
    <m/>
    <n v="7.4956446693333332"/>
    <s v="7月待建"/>
    <m/>
    <x v="0"/>
    <s v="Y"/>
    <m/>
    <m/>
    <m/>
    <m/>
    <m/>
  </r>
  <r>
    <s v="贵阳鑫旺隆贸易有限公司2694-30"/>
    <s v="短期促销返利"/>
    <x v="6"/>
    <s v="2694-30"/>
    <s v="269430舒洁湿厕纸家庭装40抽"/>
    <n v="40"/>
    <n v="40"/>
    <n v="367.52197000000001"/>
    <n v="9.1880492500000006"/>
    <n v="343.63304195000001"/>
    <n v="375.10295593178091"/>
    <n v="20.191877544981995"/>
    <n v="354.91107838679892"/>
    <n v="5.1999999999999998E-2"/>
    <n v="8.8727769596699737"/>
    <d v="2025-04-01T00:00:00"/>
    <d v="2025-04-30T00:00:00"/>
    <n v="13598.31"/>
    <n v="661.14983219999999"/>
    <n v="4.8620000000000003E-2"/>
    <m/>
    <x v="2"/>
    <n v="0.45179999999999998"/>
    <n v="0.50380000000000003"/>
    <n v="4.4868681736974398"/>
    <s v="4月已补建"/>
    <m/>
    <x v="0"/>
    <s v="Y"/>
    <n v="19472.997221222598"/>
    <m/>
    <m/>
    <m/>
    <m/>
  </r>
  <r>
    <s v="贵阳鑫旺隆贸易有限公司2107-61"/>
    <s v="短期促销返利"/>
    <x v="6"/>
    <s v="2107-61"/>
    <s v="210761舒洁卡通系列抽纸200抽3包 FSC mix70%"/>
    <n v="20"/>
    <n v="60"/>
    <n v="338.18198999999998"/>
    <n v="16.9090995"/>
    <n v="316.20016064999999"/>
    <n v="345.15777136232697"/>
    <n v="39.660986150329492"/>
    <n v="305.49678521199746"/>
    <n v="0.111"/>
    <n v="5.0916130868666247"/>
    <d v="2025-04-01T00:00:00"/>
    <d v="2025-04-30T00:00:00"/>
    <n v="25363.65"/>
    <n v="2632.36641525"/>
    <n v="0.103785"/>
    <m/>
    <x v="2"/>
    <m/>
    <m/>
    <n v="5.0916130868666247"/>
    <s v="4月已补建"/>
    <m/>
    <x v="0"/>
    <s v="Y"/>
    <n v="16761.770516056498"/>
    <m/>
    <m/>
    <m/>
    <m/>
  </r>
  <r>
    <s v="北京泰和嘉华商贸有限公司2670-30"/>
    <s v="短期促销返利"/>
    <x v="7"/>
    <s v="2670-30"/>
    <s v="267030舒洁湿厕纸旅行装10包装"/>
    <n v="4"/>
    <n v="40"/>
    <n v="151.33257"/>
    <n v="37.833142500000001"/>
    <n v="141.49595295"/>
    <n v="154.45415232116099"/>
    <n v="55.96164939172499"/>
    <n v="98.492502929436"/>
    <n v="0.35"/>
    <n v="2.4623125732358999"/>
    <d v="2025-03-01T00:00:00"/>
    <d v="2025-04-24T00:00:00"/>
    <n v="3026.6600000000003"/>
    <n v="990.47448500000019"/>
    <n v="0.32725000000000004"/>
    <m/>
    <x v="3"/>
    <m/>
    <m/>
    <n v="2.4623125732358999"/>
    <s v="4月已补建"/>
    <m/>
    <x v="0"/>
    <s v="Y"/>
    <n v="5404.0134350664002"/>
    <m/>
    <m/>
    <m/>
    <m/>
  </r>
  <r>
    <s v="大连达博商贸有限公司2694-30"/>
    <s v="短期促销返利"/>
    <x v="8"/>
    <s v="2694-30"/>
    <s v="269430舒洁湿厕纸家庭装40抽"/>
    <n v="40"/>
    <n v="40"/>
    <n v="367.52197000000001"/>
    <n v="9.1880492500000006"/>
    <n v="343.63304195000001"/>
    <n v="375.10295593178091"/>
    <n v="174.73740183157497"/>
    <n v="200.36555410020594"/>
    <n v="0.45"/>
    <n v="5.0091388525051483"/>
    <d v="2025-04-01T00:00:00"/>
    <d v="2025-04-24T00:00:00"/>
    <n v="25726.54"/>
    <n v="10824.441705000001"/>
    <n v="0.42075000000000001"/>
    <m/>
    <x v="3"/>
    <m/>
    <m/>
    <n v="5.0091388525051483"/>
    <s v="4月已补建"/>
    <m/>
    <x v="0"/>
    <s v="Y"/>
    <n v="10993.508278064399"/>
    <m/>
    <m/>
    <m/>
    <m/>
  </r>
  <r>
    <s v="大连达博商贸有限公司2701-90"/>
    <s v="短期促销返利"/>
    <x v="8"/>
    <s v="2701-90"/>
    <s v="270190舒洁小熊印花手帕纸3层10包FSC mix70%"/>
    <n v="36"/>
    <n v="360"/>
    <n v="208.46834000000001"/>
    <n v="5.7907872222222228"/>
    <n v="194.91789790000001"/>
    <n v="212.768478989682"/>
    <n v="6.6077167388099998"/>
    <n v="206.16076225087198"/>
    <n v="0.03"/>
    <n v="0.57266878403019994"/>
    <d v="2025-04-01T00:00:00"/>
    <d v="2025-04-24T00:00:00"/>
    <n v="1042.3400000000001"/>
    <n v="29.237637000000003"/>
    <n v="2.8049999999999999E-2"/>
    <m/>
    <x v="3"/>
    <m/>
    <m/>
    <n v="0.57266878403019994"/>
    <s v="4月已补建"/>
    <m/>
    <x v="0"/>
    <s v="Y"/>
    <n v="11311.4754509328"/>
    <m/>
    <m/>
    <m/>
    <m/>
  </r>
  <r>
    <s v="北京朝批中得商贸有限公司2694-30"/>
    <s v="短期促销返利"/>
    <x v="9"/>
    <s v="2694-30"/>
    <s v="269430舒洁湿厕纸家庭装40抽"/>
    <n v="40"/>
    <n v="40"/>
    <n v="367.52197000000001"/>
    <n v="9.1880492500000006"/>
    <n v="343.63304195000001"/>
    <n v="382.86906267985097"/>
    <n v="174.73740183157497"/>
    <n v="208.131660848276"/>
    <n v="0.45"/>
    <n v="5.2032915212069"/>
    <d v="2025-04-01T00:00:00"/>
    <d v="2025-04-24T00:00:00"/>
    <n v="135983.13999999998"/>
    <n v="57214.906154999997"/>
    <n v="0.42075000000000001"/>
    <m/>
    <x v="3"/>
    <m/>
    <m/>
    <n v="5.2032915212069"/>
    <s v="5月已补建"/>
    <m/>
    <x v="3"/>
    <s v="Y"/>
    <n v="57214.906154999997"/>
    <m/>
    <m/>
    <n v="57214.906154999997"/>
    <n v="64652.843955149991"/>
  </r>
  <r>
    <s v="北京朝批中得商贸有限公司2103-90"/>
    <s v="短期促销返利"/>
    <x v="9"/>
    <s v="2103-90"/>
    <s v="210390舒洁小熊印花抽纸3层80抽4包FSC mix70%"/>
    <n v="24"/>
    <n v="96"/>
    <n v="287.22000000000003"/>
    <n v="11.967500000000001"/>
    <n v="268.55070000000006"/>
    <n v="293.14457310600005"/>
    <n v="15.173114550000003"/>
    <n v="277.97145855600007"/>
    <n v="0.05"/>
    <n v="2.8955360266250008"/>
    <d v="2025-04-01T00:00:00"/>
    <d v="2025-04-24T00:00:00"/>
    <n v="10052.81"/>
    <n v="469.96886749999999"/>
    <n v="4.675E-2"/>
    <m/>
    <x v="3"/>
    <m/>
    <m/>
    <n v="2.8955360266250008"/>
    <s v="5月已补建"/>
    <m/>
    <x v="3"/>
    <s v="Y"/>
    <n v="469.96886749999999"/>
    <m/>
    <m/>
    <n v="469.96886749999999"/>
    <n v="531.06482027499999"/>
  </r>
  <r>
    <s v="北京朝批中得商贸有限公司2107-61"/>
    <s v="短期促销返利"/>
    <x v="9"/>
    <s v="2107-61"/>
    <s v="210761舒洁卡通系列抽纸200抽3包 FSC mix70%"/>
    <n v="20"/>
    <n v="60"/>
    <n v="338.18198999999998"/>
    <n v="16.9090995"/>
    <n v="316.20016064999999"/>
    <n v="345.15777136232697"/>
    <n v="28.584494522759996"/>
    <n v="316.57327683956697"/>
    <n v="0.08"/>
    <n v="5.27622128065945"/>
    <d v="2025-04-01T00:00:00"/>
    <d v="2025-04-24T00:00:00"/>
    <n v="7778.1900000000005"/>
    <n v="581.80861200000004"/>
    <n v="7.4800000000000005E-2"/>
    <m/>
    <x v="3"/>
    <m/>
    <m/>
    <n v="5.27622128065945"/>
    <s v="5月已补建"/>
    <m/>
    <x v="3"/>
    <s v="Y"/>
    <n v="581.80861200000004"/>
    <m/>
    <m/>
    <n v="581.80861200000004"/>
    <n v="657.44373155999995"/>
  </r>
  <r>
    <s v="北京朝批中得商贸有限公司2613-00"/>
    <s v="短期促销返利"/>
    <x v="9"/>
    <s v="2613-00"/>
    <s v="261300舒洁无香湿巾单包装"/>
    <n v="30"/>
    <n v="30"/>
    <n v="91.362830000000002"/>
    <n v="3.0454276666666669"/>
    <n v="85.424246050000008"/>
    <n v="93.247398503258992"/>
    <n v="9.6529398036499998"/>
    <n v="83.594458699608992"/>
    <n v="0.1"/>
    <n v="2.786481956653633"/>
    <d v="2025-04-01T00:00:00"/>
    <d v="2025-04-24T00:00:00"/>
    <n v="365.45"/>
    <n v="34.169575000000002"/>
    <n v="9.3500000000000014E-2"/>
    <m/>
    <x v="3"/>
    <m/>
    <m/>
    <n v="2.786481956653633"/>
    <s v="5月已补建"/>
    <m/>
    <x v="3"/>
    <s v="Y"/>
    <n v="34.169575000000002"/>
    <m/>
    <m/>
    <n v="34.169575000000002"/>
    <n v="38.611619749999996"/>
  </r>
  <r>
    <s v="北京朝批中得商贸有限公司2660-00"/>
    <s v="短期促销返利"/>
    <x v="9"/>
    <s v="2660-00"/>
    <s v="266000舒洁湿厕纸80片"/>
    <n v="24"/>
    <n v="24"/>
    <n v="326.88"/>
    <n v="13.62"/>
    <n v="305.63280000000003"/>
    <n v="333.622651824"/>
    <n v="62.165711519999995"/>
    <n v="271.456940304"/>
    <n v="0.18"/>
    <n v="11.310705845999999"/>
    <d v="2025-04-01T00:00:00"/>
    <d v="2025-04-24T00:00:00"/>
    <n v="1634.4"/>
    <n v="275.06952000000001"/>
    <n v="0.16830000000000001"/>
    <m/>
    <x v="3"/>
    <m/>
    <m/>
    <n v="11.310705845999999"/>
    <s v="5月已补建"/>
    <m/>
    <x v="3"/>
    <s v="Y"/>
    <n v="275.06952000000001"/>
    <m/>
    <m/>
    <n v="275.06952000000001"/>
    <n v="310.82855760000001"/>
  </r>
  <r>
    <s v="北京朝批中得商贸有限公司2216-35"/>
    <s v="短期促销返利"/>
    <x v="9"/>
    <s v="2216-35"/>
    <s v="221635舒洁卷纸3层纯白10粒（蓝色）"/>
    <n v="10"/>
    <n v="100"/>
    <n v="240.89676"/>
    <n v="24.089676000000001"/>
    <n v="225.2384706"/>
    <n v="245.86580973754795"/>
    <n v="12.725973588899999"/>
    <n v="233.13983614864796"/>
    <n v="0.05"/>
    <n v="2.3313983614864795"/>
    <d v="2025-04-01T00:00:00"/>
    <d v="2025-04-24T00:00:00"/>
    <n v="481.79"/>
    <n v="22.523682500000003"/>
    <n v="4.6750000000000007E-2"/>
    <m/>
    <x v="3"/>
    <m/>
    <m/>
    <n v="2.3313983614864795"/>
    <s v="5月已补建"/>
    <m/>
    <x v="3"/>
    <s v="Y"/>
    <n v="22.523682500000003"/>
    <m/>
    <m/>
    <n v="22.523682500000003"/>
    <n v="25.451761225000002"/>
  </r>
  <r>
    <s v="北京宝诚恒信科技有限公司2694-30"/>
    <s v="短期促销返利"/>
    <x v="10"/>
    <s v="2694-30"/>
    <s v="269430舒洁湿厕纸家庭装40抽"/>
    <n v="40"/>
    <n v="40"/>
    <n v="367.52197000000001"/>
    <n v="9.1880492500000006"/>
    <n v="343.63304195000001"/>
    <n v="375.10295593178091"/>
    <n v="174.73740183157497"/>
    <n v="200.36555410020594"/>
    <n v="0.45"/>
    <n v="5.0091388525051483"/>
    <d v="2025-04-01T00:00:00"/>
    <d v="2025-04-24T00:00:00"/>
    <n v="173470.37"/>
    <n v="72987.658177500009"/>
    <n v="0.42075000000000007"/>
    <s v="王金邦"/>
    <x v="3"/>
    <m/>
    <m/>
    <n v="5.0091388525051483"/>
    <s v="7月待建"/>
    <m/>
    <x v="0"/>
    <s v="Y"/>
    <m/>
    <m/>
    <m/>
    <m/>
    <m/>
  </r>
  <r>
    <s v="北京宝诚恒信科技有限公司2103-90"/>
    <s v="短期促销返利"/>
    <x v="10"/>
    <s v="2103-90"/>
    <s v="210390舒洁小熊印花抽纸3层80抽4包FSC mix70%"/>
    <n v="24"/>
    <n v="96"/>
    <n v="287.22000000000003"/>
    <n v="11.967500000000001"/>
    <n v="268.55070000000006"/>
    <n v="293.14457310600005"/>
    <n v="15.173114550000003"/>
    <n v="277.97145855600007"/>
    <n v="0.05"/>
    <n v="2.8955360266250008"/>
    <d v="2025-04-01T00:00:00"/>
    <d v="2025-04-24T00:00:00"/>
    <n v="3446.6800000000003"/>
    <n v="161.13229000000004"/>
    <n v="4.6750000000000007E-2"/>
    <s v="王金邦"/>
    <x v="3"/>
    <m/>
    <m/>
    <n v="2.8955360266250008"/>
    <s v="7月待建"/>
    <m/>
    <x v="0"/>
    <s v="Y"/>
    <m/>
    <m/>
    <m/>
    <m/>
    <m/>
  </r>
  <r>
    <s v="北京宝诚恒信科技有限公司2701-90"/>
    <s v="短期促销返利"/>
    <x v="10"/>
    <s v="2701-90"/>
    <s v="270190舒洁小熊印花手帕纸3层10包FSC mix70%"/>
    <n v="36"/>
    <n v="360"/>
    <n v="208.46834000000001"/>
    <n v="5.7907872222222228"/>
    <n v="194.91789790000001"/>
    <n v="212.768478989682"/>
    <n v="6.6077167388099998"/>
    <n v="206.16076225087198"/>
    <n v="0.03"/>
    <n v="0.57266878403019994"/>
    <d v="2025-04-01T00:00:00"/>
    <d v="2025-04-24T00:00:00"/>
    <n v="416.94"/>
    <n v="11.695167"/>
    <n v="2.8049999999999999E-2"/>
    <s v="王金邦"/>
    <x v="3"/>
    <m/>
    <m/>
    <n v="0.57266878403019994"/>
    <s v="7月待建"/>
    <m/>
    <x v="0"/>
    <s v="Y"/>
    <m/>
    <m/>
    <m/>
    <m/>
    <m/>
  </r>
  <r>
    <s v="北京宝诚恒信科技有限公司2312-16"/>
    <s v="短期促销返利"/>
    <x v="10"/>
    <s v="2312-16"/>
    <s v="231216 舒洁马蹄莲盒面纸200抽3盒 FSC mix70%"/>
    <n v="10"/>
    <n v="30"/>
    <n v="243.21306999999999"/>
    <n v="24.321306999999997"/>
    <n v="227.40422045"/>
    <n v="248.22989895881099"/>
    <n v="12.848338455425001"/>
    <n v="235.381560503386"/>
    <n v="0.05"/>
    <n v="7.8460520167795336"/>
    <d v="2025-04-01T00:00:00"/>
    <d v="2025-04-24T00:00:00"/>
    <n v="486.42999999999995"/>
    <n v="22.740602500000001"/>
    <n v="4.6750000000000007E-2"/>
    <s v="王金邦"/>
    <x v="3"/>
    <m/>
    <m/>
    <n v="7.8460520167795336"/>
    <s v="7月待建"/>
    <m/>
    <x v="0"/>
    <s v="Y"/>
    <m/>
    <m/>
    <m/>
    <m/>
    <m/>
  </r>
  <r>
    <s v="青岛聚鑫美商贸有限公司2103-90"/>
    <s v="短期促销返利"/>
    <x v="11"/>
    <s v="2103-90"/>
    <s v="210390舒洁小熊印花抽纸3层80抽4包FSC mix70%"/>
    <n v="24"/>
    <n v="96"/>
    <n v="287.22000000000003"/>
    <n v="11.967500000000001"/>
    <n v="268.55070000000006"/>
    <n v="293.14457310600005"/>
    <n v="15.173114550000003"/>
    <n v="277.97145855600007"/>
    <n v="0.05"/>
    <n v="2.8955360266250008"/>
    <d v="2025-04-01T00:00:00"/>
    <d v="2025-04-24T00:00:00"/>
    <n v="861.67000000000007"/>
    <n v="40.28307250000001"/>
    <n v="4.6750000000000007E-2"/>
    <m/>
    <x v="3"/>
    <m/>
    <m/>
    <n v="2.8955360266250008"/>
    <s v="4月已补建"/>
    <m/>
    <x v="0"/>
    <s v="Y"/>
    <n v="15251.531354400006"/>
    <m/>
    <m/>
    <m/>
    <m/>
  </r>
  <r>
    <s v="青岛聚鑫美商贸有限公司2107-61"/>
    <s v="短期促销返利"/>
    <x v="11"/>
    <s v="2107-61"/>
    <s v="210761舒洁卡通系列抽纸200抽3包 FSC mix70%"/>
    <n v="20"/>
    <n v="60"/>
    <n v="338.18198999999998"/>
    <n v="16.9090995"/>
    <n v="316.20016064999999"/>
    <n v="345.15777136232697"/>
    <n v="28.584494522759996"/>
    <n v="316.57327683956697"/>
    <n v="0.08"/>
    <n v="5.27622128065945"/>
    <d v="2025-04-01T00:00:00"/>
    <d v="2025-04-24T00:00:00"/>
    <n v="2029.1000000000001"/>
    <n v="151.77668"/>
    <n v="7.4799999999999991E-2"/>
    <m/>
    <x v="3"/>
    <m/>
    <m/>
    <n v="5.27622128065945"/>
    <s v="4月已补建"/>
    <m/>
    <x v="0"/>
    <s v="Y"/>
    <n v="17369.5072248258"/>
    <m/>
    <m/>
    <m/>
    <m/>
  </r>
  <r>
    <s v="青岛聚鑫美商贸有限公司2156-10"/>
    <s v="短期促销返利"/>
    <x v="11"/>
    <s v="2156-10"/>
    <s v="215610舒洁®北海道轻牛乳系列乳霜纸面巾100抽3包装"/>
    <n v="6"/>
    <n v="18"/>
    <n v="215.4"/>
    <n v="35.9"/>
    <n v="201.39900000000003"/>
    <n v="219.84312041999999"/>
    <n v="40.964556600000002"/>
    <n v="178.87856381999998"/>
    <n v="0.18"/>
    <n v="9.9376979899999984"/>
    <d v="2025-04-01T00:00:00"/>
    <d v="2025-04-24T00:00:00"/>
    <n v="1077"/>
    <n v="181.25909999999999"/>
    <n v="0.16829999999999998"/>
    <m/>
    <x v="3"/>
    <m/>
    <m/>
    <n v="9.9376979899999984"/>
    <s v="4月已补建"/>
    <m/>
    <x v="0"/>
    <s v="Y"/>
    <n v="9814.5760680000003"/>
    <m/>
    <m/>
    <m/>
    <m/>
  </r>
  <r>
    <s v="青岛聚鑫美商贸有限公司2291-60"/>
    <s v="短期促销返利"/>
    <x v="11"/>
    <s v="2291-60"/>
    <s v="229160舒洁绿茶洋甘菊印花清香卷纸10粒"/>
    <n v="5"/>
    <n v="50"/>
    <n v="153.64888999999999"/>
    <n v="30.729778"/>
    <n v="143.66171215"/>
    <n v="156.81825174869698"/>
    <n v="8.1168867364749993"/>
    <n v="148.70136501222197"/>
    <n v="0.05"/>
    <n v="2.9740273002444395"/>
    <d v="2025-04-01T00:00:00"/>
    <d v="2025-04-24T00:00:00"/>
    <n v="768.25"/>
    <n v="35.915687500000004"/>
    <n v="4.6750000000000007E-2"/>
    <m/>
    <x v="3"/>
    <m/>
    <m/>
    <n v="2.9740273002444395"/>
    <s v="4月已补建"/>
    <m/>
    <x v="0"/>
    <s v="Y"/>
    <n v="8158.8359564227985"/>
    <m/>
    <m/>
    <m/>
    <m/>
  </r>
  <r>
    <s v="青岛聚鑫美商贸有限公司2312-16"/>
    <s v="短期促销返利"/>
    <x v="11"/>
    <s v="2312-16"/>
    <s v="231216 舒洁马蹄莲盒面纸200抽3盒 FSC mix70%"/>
    <n v="10"/>
    <n v="30"/>
    <n v="243.21306999999999"/>
    <n v="24.321306999999997"/>
    <n v="227.40422045"/>
    <n v="248.22989895881099"/>
    <n v="12.848338455425001"/>
    <n v="235.381560503386"/>
    <n v="0.05"/>
    <n v="7.8460520167795336"/>
    <d v="2025-04-01T00:00:00"/>
    <d v="2025-04-24T00:00:00"/>
    <n v="729.64"/>
    <n v="34.110669999999999"/>
    <n v="4.675E-2"/>
    <m/>
    <x v="3"/>
    <m/>
    <m/>
    <n v="7.8460520167795336"/>
    <s v="4月已补建"/>
    <m/>
    <x v="0"/>
    <s v="Y"/>
    <n v="12914.740487796402"/>
    <m/>
    <m/>
    <m/>
    <m/>
  </r>
  <r>
    <s v="青岛聚鑫美商贸有限公司2660-00"/>
    <s v="短期促销返利"/>
    <x v="11"/>
    <s v="2660-00"/>
    <s v="266000舒洁湿厕纸80片"/>
    <n v="24"/>
    <n v="24"/>
    <n v="326.88"/>
    <n v="13.62"/>
    <n v="305.63280000000003"/>
    <n v="333.622651824"/>
    <n v="62.165711519999995"/>
    <n v="271.456940304"/>
    <n v="0.18"/>
    <n v="11.310705845999999"/>
    <d v="2025-04-01T00:00:00"/>
    <d v="2025-04-24T00:00:00"/>
    <n v="326.88"/>
    <n v="55.013904000000004"/>
    <n v="0.16830000000000001"/>
    <m/>
    <x v="3"/>
    <m/>
    <m/>
    <n v="11.310705845999999"/>
    <s v="4月已补建"/>
    <m/>
    <x v="0"/>
    <s v="Y"/>
    <n v="14894.097609600001"/>
    <m/>
    <m/>
    <m/>
    <m/>
  </r>
  <r>
    <s v="青岛聚鑫美商贸有限公司2694-30"/>
    <s v="短期促销返利"/>
    <x v="11"/>
    <s v="2694-30"/>
    <s v="269430舒洁湿厕纸家庭装40抽"/>
    <n v="40"/>
    <n v="40"/>
    <n v="367.52197000000001"/>
    <n v="9.1880492500000006"/>
    <n v="343.63304195000001"/>
    <n v="375.10295593178091"/>
    <n v="116.49160122104998"/>
    <n v="258.61135471073095"/>
    <n v="0.3"/>
    <n v="6.4652838677682736"/>
    <d v="2025-04-01T00:00:00"/>
    <d v="2025-04-24T00:00:00"/>
    <n v="735.04000000000008"/>
    <n v="206.17872000000003"/>
    <n v="0.28050000000000003"/>
    <m/>
    <x v="3"/>
    <m/>
    <m/>
    <n v="6.4652838677682736"/>
    <s v="4月已补建"/>
    <m/>
    <x v="0"/>
    <s v="Y"/>
    <n v="14189.295568199399"/>
    <m/>
    <m/>
    <m/>
    <m/>
  </r>
  <r>
    <s v="青岛聚鑫美商贸有限公司2701-90"/>
    <s v="短期促销返利"/>
    <x v="11"/>
    <s v="2701-90"/>
    <s v="270190舒洁小熊印花手帕纸3层10包FSC mix70%"/>
    <n v="36"/>
    <n v="360"/>
    <n v="208.46834000000001"/>
    <n v="5.7907872222222228"/>
    <n v="194.91789790000001"/>
    <n v="212.768478989682"/>
    <n v="6.6077167388099998"/>
    <n v="206.16076225087198"/>
    <n v="0.03"/>
    <n v="0.57266878403019994"/>
    <d v="2025-04-01T00:00:00"/>
    <d v="2025-04-24T00:00:00"/>
    <n v="1042.3400000000001"/>
    <n v="29.237637000000003"/>
    <n v="2.8049999999999999E-2"/>
    <m/>
    <x v="3"/>
    <m/>
    <m/>
    <n v="0.57266878403019994"/>
    <s v="4月已补建"/>
    <m/>
    <x v="0"/>
    <s v="Y"/>
    <n v="11311.4754509328"/>
    <m/>
    <m/>
    <m/>
    <m/>
  </r>
  <r>
    <s v="西宁华松商贸有限公司2162-08"/>
    <s v="短期促销返利"/>
    <x v="12"/>
    <s v="2162-08"/>
    <s v="216208舒洁®北海道牛乳系列乳霜纸面巾20抽8包装"/>
    <n v="4"/>
    <n v="32"/>
    <n v="100.5"/>
    <n v="25.125"/>
    <n v="93.967500000000001"/>
    <n v="102.57304364999999"/>
    <n v="31.413043649999995"/>
    <n v="71.16"/>
    <n v="0.29583796176940291"/>
    <n v="2.2237499999999999"/>
    <d v="2025-04-01T00:00:00"/>
    <d v="2025-04-30T00:00:00"/>
    <n v="6230.91"/>
    <n v="1723.5226329346319"/>
    <n v="0.27660849425439171"/>
    <m/>
    <x v="3"/>
    <n v="0.246"/>
    <m/>
    <n v="2.2237499999999999"/>
    <s v="4月已补建"/>
    <m/>
    <x v="2"/>
    <s v="Y"/>
    <n v="3904.353982300885"/>
    <n v="62"/>
    <n v="4489.88"/>
    <n v="585.52601769911507"/>
    <n v="661.64440000000002"/>
  </r>
  <r>
    <s v="西宁华松商贸有限公司2152-04"/>
    <s v="短期促销返利"/>
    <x v="12"/>
    <s v="2152-04"/>
    <s v="215204舒洁鎏金系列乳霜纸巾40抽8包"/>
    <n v="4"/>
    <n v="32"/>
    <n v="105.79"/>
    <n v="26.447500000000002"/>
    <n v="98.913650000000018"/>
    <n v="107.97216206700001"/>
    <n v="39.13216206700001"/>
    <n v="68.84"/>
    <n v="0.35010569236600936"/>
    <n v="2.1512500000000001"/>
    <d v="2025-04-01T00:00:00"/>
    <d v="2025-04-30T00:00:00"/>
    <n v="6876.22"/>
    <n v="2250.9225193035359"/>
    <n v="0.32734882236221874"/>
    <m/>
    <x v="3"/>
    <n v="0.3"/>
    <m/>
    <n v="2.1512500000000001"/>
    <s v="4月已补建"/>
    <m/>
    <x v="2"/>
    <s v="Y"/>
    <n v="3959.8230088495584"/>
    <n v="65"/>
    <n v="4583.8900000000003"/>
    <n v="624.06699115044194"/>
    <n v="705.19569999999931"/>
  </r>
  <r>
    <s v="西宁华松商贸有限公司2662-00"/>
    <s v="短期促销返利"/>
    <x v="12"/>
    <s v="2662-00"/>
    <s v="266200舒洁湿厕纸80片x6包 "/>
    <n v="1"/>
    <n v="6"/>
    <n v="69.44"/>
    <n v="69.44"/>
    <n v="64.926400000000001"/>
    <n v="70.872359711999991"/>
    <n v="25.872359711999991"/>
    <n v="45"/>
    <n v="0.35264381746781698"/>
    <n v="7.5"/>
    <d v="2025-04-01T00:00:00"/>
    <d v="2025-04-30T00:00:00"/>
    <n v="6944"/>
    <n v="2289.5893550442474"/>
    <n v="0.32972196933240888"/>
    <m/>
    <x v="3"/>
    <n v="0.29099999999999998"/>
    <m/>
    <n v="7.5"/>
    <s v="4月已补建"/>
    <m/>
    <x v="2"/>
    <s v="Y"/>
    <n v="3982.3008849557523"/>
    <n v="100"/>
    <n v="4387.05"/>
    <n v="404.7491150442479"/>
    <n v="457.36650000000009"/>
  </r>
  <r>
    <s v="大连隆欣商贸有限公司2694-30"/>
    <s v="短期促销返利"/>
    <x v="13"/>
    <s v="2694-30"/>
    <s v="269430舒洁湿厕纸家庭装40抽"/>
    <n v="40"/>
    <n v="40"/>
    <n v="367.52197000000001"/>
    <n v="9.1880492500000006"/>
    <n v="343.63304195000001"/>
    <n v="375.10295593178091"/>
    <n v="174.73740183157497"/>
    <n v="200.36555410020594"/>
    <n v="0.45"/>
    <n v="5.0091388525051483"/>
    <d v="2025-04-01T00:00:00"/>
    <d v="2025-04-30T00:00:00"/>
    <n v="1837.6098500000001"/>
    <n v="773.17434438750013"/>
    <n v="0.42075000000000007"/>
    <s v="王金邦"/>
    <x v="3"/>
    <m/>
    <m/>
    <n v="5.0091388525051483"/>
    <s v="7月待建"/>
    <s v="王金邦5.10邮件"/>
    <x v="0"/>
    <s v="Y"/>
    <m/>
    <m/>
    <m/>
    <m/>
    <m/>
  </r>
  <r>
    <s v="大连隆欣商贸有限公司2103-90"/>
    <s v="短期促销返利"/>
    <x v="13"/>
    <s v="2103-90"/>
    <s v="210390舒洁小熊印花抽纸3层80抽4包FSC mix70%"/>
    <n v="24"/>
    <n v="96"/>
    <n v="287.22000000000003"/>
    <n v="11.967500000000001"/>
    <n v="268.55070000000006"/>
    <n v="293.14457310600005"/>
    <n v="15.173114550000003"/>
    <n v="277.97145855600007"/>
    <n v="0.05"/>
    <n v="2.8955360266250008"/>
    <d v="2025-04-01T00:00:00"/>
    <d v="2025-04-30T00:00:00"/>
    <n v="1436.1000000000001"/>
    <n v="67.137675000000016"/>
    <n v="4.6750000000000007E-2"/>
    <s v="王金邦"/>
    <x v="3"/>
    <m/>
    <m/>
    <n v="2.8955360266250008"/>
    <s v="7月待建"/>
    <s v="王金邦5.10邮件"/>
    <x v="0"/>
    <s v="Y"/>
    <m/>
    <m/>
    <m/>
    <m/>
    <m/>
  </r>
  <r>
    <s v="大连隆欣商贸有限公司2312-16"/>
    <s v="短期促销返利"/>
    <x v="13"/>
    <s v="2312-16"/>
    <s v="231216 舒洁马蹄莲盒面纸200抽3盒 FSC mix70%"/>
    <n v="10"/>
    <n v="30"/>
    <n v="243.21306999999999"/>
    <n v="24.321306999999997"/>
    <n v="227.40422045"/>
    <n v="248.22989895881099"/>
    <n v="17.987673837595"/>
    <n v="230.24222512121599"/>
    <n v="7.0000000000000007E-2"/>
    <n v="7.6747408373738661"/>
    <d v="2025-04-01T00:00:00"/>
    <d v="2025-04-30T00:00:00"/>
    <n v="486.42613999999998"/>
    <n v="31.836590863000005"/>
    <n v="6.5450000000000008E-2"/>
    <s v="王金邦"/>
    <x v="3"/>
    <m/>
    <m/>
    <n v="7.6747408373738661"/>
    <s v="7月待建"/>
    <s v="王金邦5.10邮件"/>
    <x v="0"/>
    <s v="Y"/>
    <m/>
    <m/>
    <m/>
    <m/>
    <m/>
  </r>
  <r>
    <s v="黑龙江和盛祥供应链管理有限公司2156-10"/>
    <s v="短期促销返利"/>
    <x v="14"/>
    <s v="2156-10"/>
    <s v="215610舒洁®北海道轻牛乳系列乳霜纸面巾100抽3包装"/>
    <n v="6"/>
    <n v="18"/>
    <n v="215.4"/>
    <n v="35.9"/>
    <n v="201.39900000000003"/>
    <n v="219.84312041999999"/>
    <n v="5.6827246257540072"/>
    <n v="214.16039579424597"/>
    <n v="2.4970133147632339E-2"/>
    <n v="11.897799766346999"/>
    <d v="2025-04-01T00:00:00"/>
    <d v="2025-04-30T00:00:00"/>
    <n v="1077"/>
    <n v="25.144799229000029"/>
    <n v="2.3347074493036239E-2"/>
    <s v="王金邦"/>
    <x v="3"/>
    <n v="0.35"/>
    <n v="0.37497013314763233"/>
    <n v="7.4726161830136659"/>
    <s v="7月待建"/>
    <s v="王金邦5.10邮件"/>
    <x v="0"/>
    <s v="Y"/>
    <m/>
    <m/>
    <m/>
    <m/>
    <m/>
  </r>
  <r>
    <s v="黑龙江和盛祥供应链管理有限公司2155-03"/>
    <s v="短期促销返利"/>
    <x v="14"/>
    <s v="2155-03"/>
    <s v="215503舒洁®北海道轻牛乳系列乳霜纸面巾40抽3包装"/>
    <n v="16"/>
    <n v="48"/>
    <n v="222.4"/>
    <n v="13.9"/>
    <n v="207.94400000000002"/>
    <n v="226.98751152"/>
    <n v="10.326341539623971"/>
    <n v="216.66116998037603"/>
    <n v="4.3946232374100599E-2"/>
    <n v="4.5137743745911676"/>
    <d v="2025-04-01T00:00:00"/>
    <d v="2025-04-30T00:00:00"/>
    <n v="1112"/>
    <n v="45.69177672399988"/>
    <n v="4.1089727269784063E-2"/>
    <s v="王金邦"/>
    <x v="3"/>
    <n v="0.38"/>
    <n v="0.42394623237410062"/>
    <n v="2.6535420079245005"/>
    <s v="7月待建"/>
    <s v="王金邦5.10邮件"/>
    <x v="0"/>
    <s v="Y"/>
    <m/>
    <m/>
    <m/>
    <m/>
    <m/>
  </r>
  <r>
    <s v="北京朝批中得商贸有限公司2107-61"/>
    <s v="短期促销返利"/>
    <x v="9"/>
    <s v="2107-61"/>
    <s v="210761舒洁卡通系列抽纸200抽3包 FSC mix70%"/>
    <n v="20"/>
    <n v="60"/>
    <n v="338.18198999999998"/>
    <n v="16.9090995"/>
    <n v="316.20016064999999"/>
    <n v="345.15777136232697"/>
    <n v="65.744337402347995"/>
    <n v="279.41343395997899"/>
    <n v="0.184"/>
    <n v="4.6568905659996496"/>
    <d v="2025-03-01T00:00:00"/>
    <d v="2025-04-30T00:00:00"/>
    <n v="4058.1840000000002"/>
    <n v="698.16997536000008"/>
    <n v="0.17204"/>
    <m/>
    <x v="3"/>
    <m/>
    <m/>
    <n v="4.6568905659996496"/>
    <s v="5月已补建"/>
    <s v="王金邦5.10邮件，华联出库金额返利"/>
    <x v="3"/>
    <s v="Y"/>
    <n v="698.16997536000008"/>
    <m/>
    <m/>
    <n v="698.16997536000008"/>
    <n v="788.93207215680002"/>
  </r>
  <r>
    <s v="北京朝批中得商贸有限公司2660-00"/>
    <s v="短期促销返利"/>
    <x v="9"/>
    <s v="2660-00"/>
    <s v="266000舒洁湿厕纸80片"/>
    <n v="24"/>
    <n v="24"/>
    <n v="326.88"/>
    <n v="13.62"/>
    <n v="305.63280000000003"/>
    <n v="333.622651824"/>
    <n v="63.547171775999999"/>
    <n v="270.07548004800003"/>
    <n v="0.184"/>
    <n v="11.253145002000002"/>
    <d v="2025-03-01T00:00:00"/>
    <d v="2025-04-30T00:00:00"/>
    <n v="653.76"/>
    <n v="112.47287040000001"/>
    <n v="0.17204"/>
    <m/>
    <x v="3"/>
    <m/>
    <m/>
    <n v="11.253145002000002"/>
    <s v="5月已补建"/>
    <s v="王金邦5.10邮件，华联出库金额返利"/>
    <x v="3"/>
    <s v="Y"/>
    <n v="112.47287040000001"/>
    <m/>
    <m/>
    <n v="112.47287040000001"/>
    <n v="127.094343552"/>
  </r>
  <r>
    <s v="北京朝批中得商贸有限公司2103-90"/>
    <s v="短期促销返利"/>
    <x v="9"/>
    <s v="2103-90"/>
    <s v="210390舒洁小熊印花抽纸3层80抽4包FSC mix70%"/>
    <n v="24"/>
    <n v="96"/>
    <n v="287.22000000000003"/>
    <n v="11.967500000000001"/>
    <n v="268.55070000000006"/>
    <n v="293.14457310600005"/>
    <n v="55.837061544000008"/>
    <n v="237.30751156200006"/>
    <n v="0.184"/>
    <n v="2.4719532454375006"/>
    <d v="2025-03-01T00:00:00"/>
    <d v="2025-04-30T00:00:00"/>
    <n v="1795.1442999999999"/>
    <n v="308.83662537200001"/>
    <n v="0.17204000000000003"/>
    <m/>
    <x v="3"/>
    <n v="0.05"/>
    <n v="0.23399999999999999"/>
    <n v="2.31"/>
    <s v="5月已补建"/>
    <s v="王金邦5.10邮件，华联出库金额返利"/>
    <x v="3"/>
    <s v="Y"/>
    <n v="308.83662537200001"/>
    <m/>
    <m/>
    <n v="308.83662537200001"/>
    <n v="348.98538667035996"/>
  </r>
  <r>
    <s v="北京朝批中得商贸有限公司2701-90"/>
    <s v="短期促销返利"/>
    <x v="9"/>
    <s v="2701-90"/>
    <s v="270190舒洁小熊印花手帕纸3层10包FSC mix70%"/>
    <n v="36"/>
    <n v="360"/>
    <n v="208.46834000000001"/>
    <n v="5.7907872222222228"/>
    <n v="194.91789790000001"/>
    <n v="212.768478989682"/>
    <n v="40.527329331367994"/>
    <n v="172.24114965831399"/>
    <n v="0.184"/>
    <n v="0.47844763793976108"/>
    <d v="2025-03-01T00:00:00"/>
    <d v="2025-04-30T00:00:00"/>
    <n v="1598.1179"/>
    <n v="274.940203516"/>
    <n v="0.17204"/>
    <m/>
    <x v="3"/>
    <m/>
    <m/>
    <n v="0.47844763793976108"/>
    <s v="5月已补建"/>
    <s v="王金邦5.10邮件，华联出库金额返利"/>
    <x v="3"/>
    <s v="Y"/>
    <n v="274.940203516"/>
    <m/>
    <m/>
    <n v="274.940203516"/>
    <n v="310.68242997307999"/>
  </r>
  <r>
    <s v="北京卓腾商贸有限公司2694-30"/>
    <s v="短期促销返利"/>
    <x v="15"/>
    <s v="2694-30"/>
    <s v="269430舒洁湿厕纸家庭装40抽"/>
    <n v="40"/>
    <n v="40"/>
    <n v="367.52197000000001"/>
    <n v="9.1880492500000006"/>
    <n v="343.63304195000001"/>
    <n v="375.10295593178091"/>
    <n v="21.3567935571925"/>
    <n v="353.74616237458844"/>
    <n v="5.5E-2"/>
    <n v="8.8436540593647113"/>
    <d v="2025-04-01T00:00:00"/>
    <d v="2025-04-24T00:00:00"/>
    <n v="110256.591"/>
    <n v="5669.9451921750006"/>
    <n v="5.1425000000000005E-2"/>
    <s v="王金邦"/>
    <x v="3"/>
    <m/>
    <m/>
    <n v="8.8436540593647113"/>
    <s v="7月待建"/>
    <s v="王金邦5.10邮件"/>
    <x v="0"/>
    <s v="Y"/>
    <m/>
    <m/>
    <m/>
    <m/>
    <m/>
  </r>
  <r>
    <s v="北京朝批中得商贸有限公司2103-90"/>
    <s v="短期促销返利"/>
    <x v="9"/>
    <s v="2103-90"/>
    <s v="210390舒洁小熊印花抽纸3层80抽4包FSC mix70%"/>
    <n v="24"/>
    <n v="96"/>
    <n v="287.22000000000003"/>
    <n v="11.967500000000001"/>
    <n v="268.55070000000006"/>
    <n v="293.14457310600005"/>
    <n v="64.911720000000003"/>
    <n v="228.23285310600005"/>
    <n v="0.21390374331550802"/>
    <n v="2.3774255531875004"/>
    <d v="2025-03-01T00:00:00"/>
    <d v="2025-04-30T00:00:00"/>
    <n v="239.54400000000001"/>
    <n v="47.908800000000006"/>
    <n v="0.2"/>
    <m/>
    <x v="3"/>
    <m/>
    <m/>
    <m/>
    <s v="5月已补建"/>
    <s v="华堂出库金额价格补差"/>
    <x v="3"/>
    <s v="Y"/>
    <n v="47.908800000000006"/>
    <m/>
    <m/>
    <n v="47.908800000000006"/>
    <n v="54.136944"/>
  </r>
  <r>
    <s v="北京朝批中得商贸有限公司2107-61"/>
    <s v="短期促销返利"/>
    <x v="9"/>
    <s v="2107-61"/>
    <s v="210761舒洁卡通系列抽纸200抽3包 FSC mix70%"/>
    <n v="20"/>
    <n v="60"/>
    <n v="338.18198999999998"/>
    <n v="16.9090995"/>
    <n v="316.20016064999999"/>
    <n v="345.15777136232697"/>
    <n v="76.429129739999993"/>
    <n v="268.72864162232696"/>
    <n v="0.21390374331550802"/>
    <n v="4.4788106937054497"/>
    <d v="2025-03-01T00:00:00"/>
    <d v="2025-04-30T00:00:00"/>
    <n v="338.18200000000002"/>
    <n v="67.636400000000009"/>
    <n v="0.2"/>
    <m/>
    <x v="3"/>
    <m/>
    <m/>
    <m/>
    <s v="5月已补建"/>
    <s v="华堂出库金额价格补差"/>
    <x v="3"/>
    <s v="Y"/>
    <n v="67.636400000000009"/>
    <m/>
    <m/>
    <n v="67.636400000000009"/>
    <n v="76.42913200000001"/>
  </r>
  <r>
    <s v="北京朝批中得商贸有限公司2312-16"/>
    <s v="短期促销返利"/>
    <x v="9"/>
    <s v="2312-16"/>
    <s v="231216 舒洁马蹄莲盒面纸200抽3盒 FSC mix70%"/>
    <n v="10"/>
    <n v="30"/>
    <n v="243.21306999999999"/>
    <n v="24.321306999999997"/>
    <n v="227.40422045"/>
    <n v="248.22989895881099"/>
    <n v="54.966153819999988"/>
    <n v="193.263745138811"/>
    <n v="0.21390374331550802"/>
    <n v="6.4421248379603666"/>
    <d v="2025-03-01T00:00:00"/>
    <d v="2025-04-30T00:00:00"/>
    <n v="364.81950000000001"/>
    <n v="72.963899999999995"/>
    <n v="0.19999999999999998"/>
    <m/>
    <x v="3"/>
    <m/>
    <m/>
    <m/>
    <s v="5月已补建"/>
    <s v="华堂出库金额价格补差"/>
    <x v="3"/>
    <s v="Y"/>
    <n v="72.963899999999995"/>
    <m/>
    <m/>
    <n v="72.963899999999995"/>
    <n v="82.449206999999987"/>
  </r>
  <r>
    <s v="北京朝批中得商贸有限公司2216-35"/>
    <s v="短期促销返利"/>
    <x v="9"/>
    <s v="2216-35"/>
    <s v="221635舒洁卷纸3层纯白10粒（蓝色）"/>
    <n v="10"/>
    <n v="100"/>
    <n v="240.89676"/>
    <n v="24.089676000000001"/>
    <n v="225.2384706"/>
    <n v="245.86580973754795"/>
    <n v="54.442667759999999"/>
    <n v="191.42314197754794"/>
    <n v="0.21390374331550802"/>
    <n v="1.9142314197754795"/>
    <d v="2025-03-01T00:00:00"/>
    <d v="2025-04-30T00:00:00"/>
    <n v="120.44840000000001"/>
    <n v="24.089680000000001"/>
    <n v="0.2"/>
    <m/>
    <x v="3"/>
    <m/>
    <m/>
    <m/>
    <s v="5月已补建"/>
    <s v="华堂出库金额价格补差"/>
    <x v="3"/>
    <s v="Y"/>
    <n v="24.089680000000001"/>
    <m/>
    <m/>
    <n v="24.089680000000001"/>
    <n v="27.2213384"/>
  </r>
  <r>
    <s v="北京朝批中得商贸有限公司2701-90"/>
    <s v="短期促销返利"/>
    <x v="9"/>
    <s v="2701-90"/>
    <s v="270190舒洁小熊印花手帕纸3层10包FSC mix70%"/>
    <n v="36"/>
    <n v="360"/>
    <n v="208.46834000000001"/>
    <n v="5.7907872222222228"/>
    <n v="194.91789790000001"/>
    <n v="212.768478989682"/>
    <n v="47.113844839999999"/>
    <n v="165.65463414968201"/>
    <n v="0.21390374331550802"/>
    <n v="0.46015176152689446"/>
    <d v="2025-03-01T00:00:00"/>
    <d v="2025-04-30T00:00:00"/>
    <n v="231.81649999999999"/>
    <n v="46.363300000000002"/>
    <n v="0.2"/>
    <m/>
    <x v="3"/>
    <m/>
    <m/>
    <m/>
    <s v="5月已补建"/>
    <s v="华堂出库金额价格补差"/>
    <x v="3"/>
    <s v="Y"/>
    <n v="45.982300884955755"/>
    <m/>
    <m/>
    <n v="45.982300884955755"/>
    <n v="51.96"/>
  </r>
  <r>
    <s v="北京朝批中得商贸有限公司2694-30"/>
    <s v="短期促销返利"/>
    <x v="9"/>
    <s v="2694-30"/>
    <s v="269430舒洁湿厕纸家庭装40抽"/>
    <n v="40"/>
    <n v="40"/>
    <n v="367.52197000000001"/>
    <n v="9.1880492500000006"/>
    <n v="343.63304195000001"/>
    <n v="375.10295593178091"/>
    <n v="83.059965219999995"/>
    <n v="292.04299071178093"/>
    <n v="0.21390374331550802"/>
    <n v="7.3010747677945229"/>
    <d v="2025-03-01T00:00:00"/>
    <d v="2025-04-30T00:00:00"/>
    <n v="275.64150000000001"/>
    <n v="55.128300000000003"/>
    <n v="0.2"/>
    <m/>
    <x v="3"/>
    <m/>
    <m/>
    <m/>
    <s v="5月已补建"/>
    <s v="华堂出库金额价格补差"/>
    <x v="3"/>
    <s v="Y"/>
    <n v="42.477876106194692"/>
    <m/>
    <m/>
    <n v="42.477876106194692"/>
    <n v="48"/>
  </r>
  <r>
    <s v="北京朝批中得商贸有限公司2613-00"/>
    <s v="短期促销返利"/>
    <x v="9"/>
    <s v="2613-00"/>
    <s v="261300舒洁无香湿巾单包装"/>
    <n v="30"/>
    <n v="30"/>
    <n v="91.362830000000002"/>
    <n v="3.0454276666666669"/>
    <n v="85.424246050000008"/>
    <n v="93.247398503258992"/>
    <n v="20.64799958"/>
    <n v="72.599398923258988"/>
    <n v="0.21390374331550802"/>
    <n v="2.419979964108633"/>
    <d v="2025-03-01T00:00:00"/>
    <d v="2025-04-30T00:00:00"/>
    <n v="91.36269999999999"/>
    <n v="18.272539999999999"/>
    <n v="0.2"/>
    <m/>
    <x v="3"/>
    <m/>
    <m/>
    <m/>
    <s v="5月已补建"/>
    <s v="华堂出库金额价格补差"/>
    <x v="3"/>
    <s v="Y"/>
    <n v="0"/>
    <m/>
    <m/>
    <n v="0"/>
    <n v="0"/>
  </r>
  <r>
    <s v="上海文鑫网络科技有限公司2694-40"/>
    <s v="短期促销返利"/>
    <x v="3"/>
    <s v="2694-40"/>
    <s v="269440舒洁湿厕纸家庭装40抽10包装"/>
    <n v="4"/>
    <n v="40"/>
    <n v="330.25036"/>
    <n v="82.56259"/>
    <n v="308.78408660000002"/>
    <n v="337.06253325082798"/>
    <n v="24.424821250060003"/>
    <n v="312.63771200076798"/>
    <n v="7.0000000000000007E-2"/>
    <n v="7.8159428000191991"/>
    <d v="2025-05-01T00:00:00"/>
    <d v="2025-05-31T00:00:00"/>
    <n v="100000"/>
    <n v="6545.0000000000009"/>
    <n v="6.5450000000000008E-2"/>
    <s v="曲盛涛"/>
    <x v="2"/>
    <n v="0.4017"/>
    <n v="0.47170000000000001"/>
    <n v="4.3118532656802344"/>
    <s v="7月待建"/>
    <s v="曲盛涛5.22邮件"/>
    <x v="0"/>
    <m/>
    <m/>
    <m/>
    <m/>
    <m/>
    <m/>
  </r>
  <r>
    <s v="上海文鑫网络科技有限公司2312-16"/>
    <s v="短期促销返利"/>
    <x v="3"/>
    <s v="2312-16"/>
    <s v="231216 舒洁马蹄莲盒面纸200抽3盒 FSC mix70%"/>
    <n v="10"/>
    <n v="30"/>
    <n v="243.21306999999999"/>
    <n v="24.321306999999997"/>
    <n v="227.40422045"/>
    <n v="248.22989895881099"/>
    <n v="10.278670764339999"/>
    <n v="237.95122819447099"/>
    <n v="0.04"/>
    <n v="7.9317076064823659"/>
    <d v="2025-05-01T00:00:00"/>
    <d v="2025-05-31T00:00:00"/>
    <n v="53475.935828877002"/>
    <n v="2000"/>
    <n v="3.7400000000000003E-2"/>
    <s v="曲盛涛"/>
    <x v="2"/>
    <n v="0.16"/>
    <n v="0.2"/>
    <n v="6.5612181712370328"/>
    <s v="7月待建"/>
    <s v="曲盛涛5.27"/>
    <x v="0"/>
    <m/>
    <m/>
    <m/>
    <m/>
    <m/>
    <m/>
  </r>
  <r>
    <s v="北京泰和嘉华商贸有限公司2670-30"/>
    <s v="短期促销返利"/>
    <x v="7"/>
    <s v="2670-30"/>
    <s v="267030舒洁湿厕纸旅行装10包装"/>
    <n v="4"/>
    <n v="40"/>
    <n v="151.33257"/>
    <n v="37.833142500000001"/>
    <n v="141.49595295"/>
    <n v="154.45415232116099"/>
    <n v="55.96164939172499"/>
    <n v="98.492502929436"/>
    <n v="0.35"/>
    <n v="2.4623125732358999"/>
    <d v="2025-04-25T00:00:00"/>
    <d v="2025-05-26T00:00:00"/>
    <n v="3026.6600000000003"/>
    <n v="990.47448500000019"/>
    <n v="0.32725000000000004"/>
    <s v="王金邦"/>
    <x v="3"/>
    <m/>
    <m/>
    <m/>
    <s v="7月待建"/>
    <s v="王金邦5.26邮件"/>
    <x v="0"/>
    <m/>
    <m/>
    <m/>
    <m/>
    <m/>
    <m/>
  </r>
  <r>
    <s v="成都东森润园商贸有限公司2701-90"/>
    <s v="短期促销返利"/>
    <x v="16"/>
    <s v="2701-90"/>
    <s v="270190舒洁小熊印花手帕纸3层10包FSC mix70%"/>
    <n v="36"/>
    <n v="360"/>
    <n v="208.46834000000001"/>
    <n v="5.7907872222222228"/>
    <n v="194.91789790000001"/>
    <n v="212.768478989682"/>
    <n v="6.6077167388099998"/>
    <n v="206.16076225087198"/>
    <n v="0.03"/>
    <n v="0.57266878403019994"/>
    <d v="2025-04-01T00:00:00"/>
    <d v="2025-04-30T00:00:00"/>
    <n v="2084.6799999999998"/>
    <n v="58.475273999999992"/>
    <n v="2.8049999999999999E-2"/>
    <s v="曲盛涛"/>
    <x v="2"/>
    <m/>
    <m/>
    <m/>
    <s v="7月待建"/>
    <s v="曲盛涛6.6邮件"/>
    <x v="0"/>
    <m/>
    <n v="457783.86427509825"/>
    <m/>
    <m/>
    <m/>
    <m/>
  </r>
  <r>
    <s v="成都东森润园商贸有限公司2613-00"/>
    <s v="短期促销返利"/>
    <x v="16"/>
    <s v="2613-00"/>
    <s v="261300舒洁无香湿巾单包装"/>
    <n v="30"/>
    <n v="30"/>
    <n v="91.362830000000002"/>
    <n v="3.0454276666666669"/>
    <n v="85.424246050000008"/>
    <n v="93.247398503258992"/>
    <n v="28.958819410949999"/>
    <n v="64.288579092308993"/>
    <n v="0.3"/>
    <n v="2.1429526364102998"/>
    <d v="2025-04-01T00:00:00"/>
    <d v="2025-04-30T00:00:00"/>
    <n v="913.63"/>
    <n v="256.27321499999999"/>
    <n v="0.28049999999999997"/>
    <s v="曲盛涛"/>
    <x v="2"/>
    <m/>
    <m/>
    <m/>
    <s v="7月待建"/>
    <s v="曲盛涛6.6邮件"/>
    <x v="0"/>
    <m/>
    <m/>
    <m/>
    <m/>
    <m/>
    <m/>
  </r>
  <r>
    <s v="成都东森润园商贸有限公司2152-04"/>
    <s v="短期促销返利"/>
    <x v="16"/>
    <s v="2152-04"/>
    <s v="215204舒洁鎏金系列乳霜纸巾40抽8包"/>
    <n v="4"/>
    <n v="32"/>
    <n v="105.79"/>
    <n v="26.447500000000002"/>
    <n v="98.913650000000018"/>
    <n v="107.97216206700001"/>
    <n v="33.531727350000004"/>
    <n v="74.440434717000016"/>
    <n v="0.3"/>
    <n v="2.3262635849062505"/>
    <d v="2025-04-01T00:00:00"/>
    <d v="2025-04-30T00:00:00"/>
    <n v="3173.64"/>
    <n v="890.20601999999997"/>
    <n v="0.28050000000000003"/>
    <s v="曲盛涛"/>
    <x v="2"/>
    <m/>
    <m/>
    <m/>
    <s v="7月待建"/>
    <s v="曲盛涛6.6邮件"/>
    <x v="0"/>
    <m/>
    <m/>
    <m/>
    <m/>
    <m/>
    <m/>
  </r>
  <r>
    <s v="上海文鑫网络科技有限公司2701-90"/>
    <s v="短期促销返利"/>
    <x v="3"/>
    <s v="2701-90"/>
    <s v="270190舒洁小熊印花手帕纸3层10包FSC mix70%"/>
    <n v="36"/>
    <n v="360"/>
    <n v="208.46834000000001"/>
    <n v="5.7907872222222228"/>
    <n v="194.91789790000001"/>
    <n v="212.768478989682"/>
    <n v="7.9292600865719987"/>
    <n v="204.83921890311001"/>
    <n v="3.5999999999999997E-2"/>
    <n v="0.56899783028641671"/>
    <d v="2025-05-01T00:00:00"/>
    <d v="2025-05-31T00:00:00"/>
    <n v="0"/>
    <n v="0"/>
    <e v="#DIV/0!"/>
    <s v="曲盛涛"/>
    <x v="2"/>
    <n v="0.21299999999999994"/>
    <n v="0.24899999999999994"/>
    <n v="0.43867897238210829"/>
    <s v="7月待建"/>
    <s v="曲盛涛6.6邮件"/>
    <x v="0"/>
    <m/>
    <m/>
    <m/>
    <m/>
    <m/>
    <m/>
  </r>
  <r>
    <s v="上海文鑫网络科技有限公司2103-90"/>
    <s v="短期促销返利"/>
    <x v="3"/>
    <s v="2103-90"/>
    <s v="210390舒洁小熊印花抽纸3层80抽4包FSC mix70%"/>
    <n v="24"/>
    <n v="96"/>
    <n v="287.22000000000003"/>
    <n v="11.967500000000001"/>
    <n v="268.55070000000006"/>
    <n v="293.14457310600005"/>
    <n v="15.476576841000002"/>
    <n v="277.66799626500006"/>
    <n v="5.0999999999999997E-2"/>
    <n v="2.8923749610937506"/>
    <d v="2025-05-01T00:00:00"/>
    <d v="2025-05-31T00:00:00"/>
    <n v="78411.89"/>
    <n v="3739.0709746499997"/>
    <n v="4.7684999999999998E-2"/>
    <s v="曲盛涛"/>
    <x v="2"/>
    <n v="0.2"/>
    <n v="0.251"/>
    <n v="2.2601618548437501"/>
    <s v="7月待建"/>
    <s v="曲盛涛6.6邮件"/>
    <x v="0"/>
    <m/>
    <m/>
    <m/>
    <m/>
    <m/>
    <m/>
  </r>
  <r>
    <s v="上海文鑫网络科技有限公司2107-61"/>
    <s v="短期促销返利"/>
    <x v="3"/>
    <s v="2107-61"/>
    <s v="210761舒洁卡通系列抽纸200抽3包 FSC mix70%"/>
    <n v="20"/>
    <n v="60"/>
    <n v="338.18198999999998"/>
    <n v="16.9090995"/>
    <n v="316.20016064999999"/>
    <n v="345.15777136232697"/>
    <n v="23.939514162811498"/>
    <n v="321.21825719951545"/>
    <n v="6.7000000000000004E-2"/>
    <n v="5.3536376199919244"/>
    <d v="2025-05-01T00:00:00"/>
    <d v="2025-05-31T00:00:00"/>
    <n v="162327.35999999999"/>
    <n v="10168.997467200001"/>
    <n v="6.2645000000000006E-2"/>
    <s v="曲盛涛"/>
    <x v="2"/>
    <n v="0.21299999999999999"/>
    <n v="0.28000000000000003"/>
    <n v="4.0852006755444501"/>
    <s v="7月待建"/>
    <s v="曲盛涛6.6邮件"/>
    <x v="0"/>
    <m/>
    <m/>
    <m/>
    <m/>
    <m/>
    <m/>
  </r>
  <r>
    <s v="上海文鑫网络科技有限公司2291-60"/>
    <s v="短期促销返利"/>
    <x v="3"/>
    <s v="2291-60"/>
    <s v="229160舒洁绿茶洋甘菊印花清香卷纸10粒"/>
    <n v="5"/>
    <n v="50"/>
    <n v="153.64888999999999"/>
    <n v="30.729778"/>
    <n v="143.66171215"/>
    <n v="156.81825174869698"/>
    <n v="16.720786677138499"/>
    <n v="140.09746507155847"/>
    <n v="0.10299999999999999"/>
    <n v="2.8019493014311694"/>
    <d v="2025-05-01T00:00:00"/>
    <d v="2025-05-31T00:00:00"/>
    <n v="49167.65"/>
    <n v="4735.0905332499997"/>
    <n v="9.6304999999999988E-2"/>
    <s v="曲盛涛"/>
    <x v="2"/>
    <n v="0.19199999999999987"/>
    <n v="0.29499999999999987"/>
    <n v="2.1785724000698901"/>
    <s v="7月待建"/>
    <s v="曲盛涛6.6邮件"/>
    <x v="0"/>
    <m/>
    <m/>
    <m/>
    <m/>
    <m/>
    <m/>
  </r>
  <r>
    <s v="上海文鑫网络科技有限公司2216-35"/>
    <s v="短期促销返利"/>
    <x v="3"/>
    <s v="2216-35"/>
    <s v="221635舒洁卷纸3层纯白10粒（蓝色）"/>
    <n v="10"/>
    <n v="100"/>
    <n v="240.89676"/>
    <n v="24.089676000000001"/>
    <n v="225.2384706"/>
    <n v="245.86580973754795"/>
    <n v="24.179349818909998"/>
    <n v="221.68645991863795"/>
    <n v="9.5000000000000001E-2"/>
    <n v="2.2168645991863793"/>
    <d v="2025-05-01T00:00:00"/>
    <d v="2025-05-31T00:00:00"/>
    <n v="85277.46"/>
    <n v="7574.7703845000015"/>
    <n v="8.8825000000000015E-2"/>
    <s v="曲盛涛"/>
    <x v="2"/>
    <n v="0.192"/>
    <n v="0.28700000000000003"/>
    <n v="1.7281872133726199"/>
    <s v="7月待建"/>
    <s v="曲盛涛6.6邮件"/>
    <x v="0"/>
    <m/>
    <m/>
    <m/>
    <m/>
    <m/>
    <m/>
  </r>
  <r>
    <s v="上海文鑫网络科技有限公司2613-00"/>
    <s v="短期促销返利"/>
    <x v="3"/>
    <s v="2613-00"/>
    <s v="261300舒洁无香湿巾单包装"/>
    <n v="30"/>
    <n v="30"/>
    <n v="91.362830000000002"/>
    <n v="3.0454276666666669"/>
    <n v="85.424246050000008"/>
    <n v="93.247398503258992"/>
    <n v="2.7993525430584998"/>
    <n v="90.448045960200488"/>
    <n v="2.9000000000000001E-2"/>
    <n v="3.0149348653400163"/>
    <d v="2025-05-01T00:00:00"/>
    <d v="2025-05-31T00:00:00"/>
    <n v="45498.68"/>
    <n v="1233.6967082000001"/>
    <n v="2.7115000000000004E-2"/>
    <s v="曲盛涛"/>
    <x v="2"/>
    <n v="0.44"/>
    <n v="0.46900000000000003"/>
    <n v="1.5991703608046832"/>
    <s v="7月待建"/>
    <s v="曲盛涛6.6邮件"/>
    <x v="0"/>
    <m/>
    <m/>
    <m/>
    <m/>
    <m/>
    <m/>
  </r>
  <r>
    <s v="新疆八点半供应链管理有限公司2670-30"/>
    <s v="短期促销返利"/>
    <x v="17"/>
    <s v="2670-30"/>
    <s v="267030舒洁湿厕纸旅行装10包装"/>
    <n v="4"/>
    <n v="40"/>
    <n v="151.33257"/>
    <n v="37.833142500000001"/>
    <n v="141.49595295"/>
    <n v="154.45415232116099"/>
    <n v="0"/>
    <n v="154.45415232116099"/>
    <m/>
    <n v="3.8613538080290248"/>
    <d v="2025-02-01T00:00:00"/>
    <d v="2025-02-28T00:00:00"/>
    <n v="28850"/>
    <n v="20143.000000000004"/>
    <n v="0.69819757365684587"/>
    <m/>
    <x v="3"/>
    <m/>
    <m/>
    <m/>
    <s v="6月已补建"/>
    <s v="八点半2月价差"/>
    <x v="2"/>
    <s v="Y"/>
    <n v="22761.590000000004"/>
    <m/>
    <m/>
    <n v="20143.000000000004"/>
    <n v="22761.590000000004"/>
  </r>
  <r>
    <s v="北京泰和嘉华商贸有限公司2694-30"/>
    <s v="31665245"/>
    <x v="7"/>
    <s v="2694-30"/>
    <s v="269430舒洁湿厕纸家庭装40抽"/>
    <n v="40"/>
    <n v="40"/>
    <n v="367.52197000000001"/>
    <n v="9.1880492500000006"/>
    <n v="343.63304195000001"/>
    <n v="375.10295593178091"/>
    <n v="25.628152268631002"/>
    <n v="349.47480366314988"/>
    <n v="6.6000000000000003E-2"/>
    <n v="8.7368700915787478"/>
    <d v="2025-04-01T00:00:00"/>
    <d v="2025-04-30T00:00:00"/>
    <n v="73504.394"/>
    <n v="4535.9561537400004"/>
    <n v="6.1710000000000008E-2"/>
    <s v="王金邦"/>
    <x v="3"/>
    <n v="0.45"/>
    <n v="0.51600000000000001"/>
    <n v="4.3684350457893739"/>
    <s v="7月待建"/>
    <s v="王金邦7.21邮件"/>
    <x v="0"/>
    <s v="Y"/>
    <n v="5125.6304537262004"/>
    <m/>
    <m/>
    <m/>
    <m/>
  </r>
  <r>
    <s v="北京宝诚恒信商贸有限公司2694-30"/>
    <s v="31653280"/>
    <x v="18"/>
    <s v="2694-30"/>
    <s v="269430舒洁湿厕纸家庭装40抽"/>
    <n v="40"/>
    <n v="40"/>
    <n v="367.52197000000001"/>
    <n v="9.1880492500000006"/>
    <n v="343.63304195000001"/>
    <n v="375.10295593178091"/>
    <n v="20.5801828823855"/>
    <n v="354.52277304939543"/>
    <n v="5.2999999999999999E-2"/>
    <n v="8.8630693262348856"/>
    <d v="2025-06-29T00:00:00"/>
    <d v="2025-06-30T00:00:00"/>
    <n v="73504.394"/>
    <n v="3642.5102446699998"/>
    <n v="4.9554999999999995E-2"/>
    <s v="王金邦"/>
    <x v="3"/>
    <n v="0.45"/>
    <n v="0.503"/>
    <n v="4.4946342804455108"/>
    <s v="7月待建"/>
    <s v="王金邦7.21邮件"/>
    <x v="0"/>
    <s v="Y"/>
    <n v="4116.0365764770995"/>
    <m/>
    <m/>
    <m/>
    <m/>
  </r>
  <r>
    <s v="新疆八点半供应链2660-00"/>
    <s v="31673168"/>
    <x v="19"/>
    <s v="2660-00"/>
    <s v="266000舒洁湿厕纸80片"/>
    <n v="24"/>
    <n v="24"/>
    <n v="326.88"/>
    <n v="13.62"/>
    <n v="305.63280000000003"/>
    <n v="333.622651824"/>
    <n v="9.9119773367999997"/>
    <n v="323.71067448719998"/>
    <n v="2.87E-2"/>
    <n v="13.487944770299999"/>
    <d v="2025-06-01T00:00:00"/>
    <d v="2025-06-30T00:00:00"/>
    <n v="163440"/>
    <n v="4385.83068"/>
    <n v="2.6834500000000001E-2"/>
    <s v="王金邦"/>
    <x v="3"/>
    <m/>
    <n v="2.87E-2"/>
    <m/>
    <s v="7月待建"/>
    <s v="王金邦7.21邮件"/>
    <x v="0"/>
    <s v="Y"/>
    <n v="4955.9886683999994"/>
    <m/>
    <m/>
    <m/>
    <m/>
  </r>
  <r>
    <s v="伊犁紫金花商贸有限责任公司2694-30"/>
    <s v="31662112"/>
    <x v="20"/>
    <s v="2694-30"/>
    <s v="269430舒洁湿厕纸家庭装40抽"/>
    <n v="40"/>
    <n v="40"/>
    <n v="367.52197000000001"/>
    <n v="9.1880492500000006"/>
    <n v="343.63304195000001"/>
    <n v="375.10295593178091"/>
    <n v="174.73740183157497"/>
    <n v="200.36555410020594"/>
    <n v="0.45"/>
    <n v="5.0091388525051483"/>
    <d v="2025-06-01T00:00:00"/>
    <d v="2025-06-30T00:00:00"/>
    <n v="7350.4394000000002"/>
    <n v="3092.6973775500005"/>
    <n v="0.42075000000000007"/>
    <s v="王金邦"/>
    <x v="3"/>
    <m/>
    <n v="0.45"/>
    <n v="5.0091388525051483"/>
    <s v="7月待建"/>
    <s v="王金邦7.21邮件"/>
    <x v="0"/>
    <s v="Y"/>
    <n v="3494.7480366315003"/>
    <m/>
    <m/>
    <m/>
    <m/>
  </r>
  <r>
    <s v="青岛荣利鑫商贸有限公司2107-61"/>
    <s v="31651585"/>
    <x v="21"/>
    <s v="2107-61"/>
    <s v="210761舒洁卡通系列抽纸200抽3包 FSC mix70%"/>
    <n v="20"/>
    <n v="60"/>
    <n v="338.18198999999998"/>
    <n v="16.9090995"/>
    <n v="316.20016064999999"/>
    <n v="345.15777136232697"/>
    <n v="28.584494522759996"/>
    <n v="316.57327683956697"/>
    <n v="0.08"/>
    <n v="5.27622128065945"/>
    <d v="2025-06-01T00:00:00"/>
    <d v="2025-06-30T00:00:00"/>
    <n v="4396.3658699999996"/>
    <n v="328.84816707599998"/>
    <n v="7.4800000000000005E-2"/>
    <s v="王金邦"/>
    <x v="3"/>
    <m/>
    <n v="0.08"/>
    <n v="5.27622128065945"/>
    <s v="7月待建"/>
    <s v="王金邦7.21邮件"/>
    <x v="0"/>
    <s v="Y"/>
    <n v="371.59842879587995"/>
    <m/>
    <m/>
    <m/>
    <m/>
  </r>
  <r>
    <s v="沈阳和盛祥供应链管理有限公司2162-08"/>
    <s v="31672939"/>
    <x v="22"/>
    <s v="2162-08"/>
    <s v="216208舒洁®北海道牛乳系列乳霜纸面巾20抽8包装"/>
    <n v="4"/>
    <n v="32"/>
    <n v="100.5"/>
    <n v="25.125"/>
    <n v="93.967500000000001"/>
    <n v="102.57304364999999"/>
    <n v="15.927491249999997"/>
    <n v="86.645552399999985"/>
    <n v="0.15"/>
    <n v="2.7076735124999995"/>
    <d v="2025-05-01T00:00:00"/>
    <d v="2025-05-30T00:00:00"/>
    <n v="2010"/>
    <n v="281.90250000000003"/>
    <n v="0.14025000000000001"/>
    <s v="王金邦"/>
    <x v="3"/>
    <m/>
    <n v="0.15"/>
    <n v="2.7076735124999995"/>
    <s v="7月待建"/>
    <s v="王金邦7.21邮件"/>
    <x v="0"/>
    <s v="Y"/>
    <n v="318.549825"/>
    <m/>
    <m/>
    <m/>
    <m/>
  </r>
  <r>
    <s v="沈阳和盛祥供应链管理有限公司2694-30"/>
    <s v="31672939"/>
    <x v="22"/>
    <s v="2694-30"/>
    <s v="269430舒洁湿厕纸家庭装40抽"/>
    <n v="40"/>
    <n v="40"/>
    <n v="367.52197000000001"/>
    <n v="9.1880492500000006"/>
    <n v="343.63304195000001"/>
    <n v="375.10295593178091"/>
    <n v="174.73740183157497"/>
    <n v="200.36555410020594"/>
    <n v="0.45"/>
    <n v="5.0091388525051483"/>
    <d v="2025-05-01T00:00:00"/>
    <d v="2025-05-30T00:00:00"/>
    <n v="5512.8295500000004"/>
    <n v="2319.5230331625003"/>
    <n v="0.42075000000000001"/>
    <s v="王金邦"/>
    <x v="3"/>
    <m/>
    <n v="0.45"/>
    <n v="1.7281872133726193"/>
    <s v="7月待建"/>
    <s v="王金邦7.21邮件"/>
    <x v="0"/>
    <s v="Y"/>
    <n v="2621.061027473625"/>
    <m/>
    <m/>
    <m/>
    <m/>
  </r>
  <r>
    <m/>
    <m/>
    <x v="0"/>
    <m/>
    <m/>
    <m/>
    <m/>
    <m/>
    <m/>
    <n v="0"/>
    <m/>
    <m/>
    <m/>
    <m/>
    <m/>
    <m/>
    <m/>
    <m/>
    <m/>
    <m/>
    <m/>
    <x v="0"/>
    <m/>
    <m/>
    <m/>
    <m/>
    <m/>
    <x v="0"/>
    <m/>
    <m/>
    <m/>
    <m/>
    <m/>
    <m/>
  </r>
  <r>
    <m/>
    <m/>
    <x v="0"/>
    <m/>
    <m/>
    <m/>
    <m/>
    <m/>
    <m/>
    <m/>
    <m/>
    <m/>
    <m/>
    <m/>
    <m/>
    <m/>
    <m/>
    <m/>
    <m/>
    <m/>
    <m/>
    <x v="0"/>
    <m/>
    <m/>
    <m/>
    <m/>
    <m/>
    <x v="0"/>
    <m/>
    <m/>
    <m/>
    <m/>
    <m/>
    <m/>
  </r>
  <r>
    <m/>
    <m/>
    <x v="0"/>
    <m/>
    <m/>
    <m/>
    <m/>
    <m/>
    <m/>
    <m/>
    <m/>
    <m/>
    <m/>
    <m/>
    <m/>
    <m/>
    <m/>
    <m/>
    <m/>
    <m/>
    <m/>
    <x v="0"/>
    <m/>
    <m/>
    <m/>
    <m/>
    <m/>
    <x v="0"/>
    <m/>
    <m/>
    <m/>
    <m/>
    <m/>
    <m/>
  </r>
  <r>
    <m/>
    <m/>
    <x v="0"/>
    <m/>
    <m/>
    <m/>
    <m/>
    <m/>
    <m/>
    <m/>
    <m/>
    <m/>
    <m/>
    <m/>
    <m/>
    <m/>
    <m/>
    <m/>
    <m/>
    <m/>
    <m/>
    <x v="0"/>
    <m/>
    <m/>
    <m/>
    <m/>
    <m/>
    <x v="0"/>
    <m/>
    <m/>
    <m/>
    <m/>
    <m/>
    <m/>
  </r>
  <r>
    <m/>
    <m/>
    <x v="0"/>
    <m/>
    <m/>
    <m/>
    <m/>
    <m/>
    <m/>
    <m/>
    <m/>
    <m/>
    <m/>
    <m/>
    <m/>
    <m/>
    <m/>
    <m/>
    <m/>
    <m/>
    <m/>
    <x v="0"/>
    <m/>
    <m/>
    <m/>
    <m/>
    <m/>
    <x v="0"/>
    <m/>
    <m/>
    <m/>
    <m/>
    <m/>
    <m/>
  </r>
  <r>
    <m/>
    <m/>
    <x v="0"/>
    <m/>
    <m/>
    <m/>
    <m/>
    <m/>
    <m/>
    <m/>
    <m/>
    <m/>
    <m/>
    <m/>
    <m/>
    <m/>
    <m/>
    <m/>
    <n v="120634.15880383043"/>
    <m/>
    <m/>
    <x v="0"/>
    <m/>
    <m/>
    <m/>
    <m/>
    <m/>
    <x v="0"/>
    <m/>
    <m/>
    <m/>
    <m/>
    <n v="114899.20581218005"/>
    <m/>
  </r>
  <r>
    <m/>
    <m/>
    <x v="0"/>
    <m/>
    <m/>
    <m/>
    <m/>
    <m/>
    <m/>
    <m/>
    <m/>
    <m/>
    <m/>
    <m/>
    <m/>
    <m/>
    <m/>
    <m/>
    <n v="83039.618976800004"/>
    <m/>
    <s v="曲盛涛"/>
    <x v="2"/>
    <m/>
    <m/>
    <m/>
    <m/>
    <m/>
    <x v="0"/>
    <m/>
    <m/>
    <m/>
    <m/>
    <n v="32847.938644647089"/>
    <m/>
  </r>
  <r>
    <m/>
    <m/>
    <x v="0"/>
    <m/>
    <m/>
    <m/>
    <m/>
    <m/>
    <m/>
    <m/>
    <m/>
    <m/>
    <m/>
    <m/>
    <m/>
    <m/>
    <m/>
    <m/>
    <n v="99373.899256576988"/>
    <m/>
    <s v="王金邦"/>
    <x v="3"/>
    <m/>
    <m/>
    <m/>
    <m/>
    <m/>
    <x v="0"/>
    <m/>
    <m/>
    <m/>
    <m/>
    <n v="82051.267167532962"/>
    <m/>
  </r>
  <r>
    <m/>
    <m/>
    <x v="0"/>
    <m/>
    <m/>
    <m/>
    <m/>
    <m/>
    <m/>
    <m/>
    <m/>
    <m/>
    <m/>
    <m/>
    <m/>
    <m/>
    <m/>
    <m/>
    <m/>
    <m/>
    <m/>
    <x v="0"/>
    <m/>
    <m/>
    <m/>
    <m/>
    <m/>
    <x v="0"/>
    <m/>
    <m/>
    <m/>
    <m/>
    <m/>
    <m/>
  </r>
  <r>
    <m/>
    <m/>
    <x v="0"/>
    <m/>
    <m/>
    <m/>
    <m/>
    <m/>
    <m/>
    <m/>
    <m/>
    <m/>
    <m/>
    <m/>
    <m/>
    <m/>
    <m/>
    <m/>
    <m/>
    <m/>
    <m/>
    <x v="0"/>
    <m/>
    <m/>
    <m/>
    <m/>
    <m/>
    <x v="0"/>
    <m/>
    <m/>
    <m/>
    <m/>
    <m/>
    <m/>
  </r>
  <r>
    <m/>
    <m/>
    <x v="0"/>
    <m/>
    <m/>
    <m/>
    <m/>
    <m/>
    <m/>
    <m/>
    <m/>
    <m/>
    <m/>
    <m/>
    <m/>
    <m/>
    <m/>
    <m/>
    <m/>
    <m/>
    <m/>
    <x v="0"/>
    <m/>
    <m/>
    <m/>
    <m/>
    <m/>
    <x v="0"/>
    <m/>
    <m/>
    <m/>
    <m/>
    <m/>
    <m/>
  </r>
  <r>
    <m/>
    <m/>
    <x v="0"/>
    <m/>
    <m/>
    <m/>
    <m/>
    <m/>
    <m/>
    <m/>
    <m/>
    <m/>
    <m/>
    <m/>
    <m/>
    <m/>
    <m/>
    <m/>
    <m/>
    <m/>
    <m/>
    <x v="0"/>
    <m/>
    <m/>
    <m/>
    <m/>
    <m/>
    <x v="0"/>
    <m/>
    <m/>
    <m/>
    <m/>
    <m/>
    <m/>
  </r>
  <r>
    <m/>
    <m/>
    <x v="0"/>
    <m/>
    <m/>
    <m/>
    <m/>
    <m/>
    <m/>
    <m/>
    <m/>
    <m/>
    <m/>
    <m/>
    <m/>
    <m/>
    <m/>
    <m/>
    <m/>
    <m/>
    <m/>
    <x v="0"/>
    <m/>
    <m/>
    <m/>
    <m/>
    <m/>
    <x v="0"/>
    <m/>
    <m/>
    <m/>
    <m/>
    <m/>
    <m/>
  </r>
  <r>
    <m/>
    <m/>
    <x v="0"/>
    <m/>
    <m/>
    <m/>
    <m/>
    <m/>
    <m/>
    <m/>
    <m/>
    <m/>
    <m/>
    <m/>
    <m/>
    <m/>
    <m/>
    <m/>
    <m/>
    <m/>
    <m/>
    <x v="0"/>
    <m/>
    <m/>
    <m/>
    <m/>
    <m/>
    <x v="0"/>
    <m/>
    <m/>
    <m/>
    <m/>
    <m/>
    <m/>
  </r>
  <r>
    <m/>
    <m/>
    <x v="0"/>
    <m/>
    <m/>
    <m/>
    <m/>
    <m/>
    <m/>
    <m/>
    <m/>
    <m/>
    <m/>
    <m/>
    <m/>
    <m/>
    <m/>
    <m/>
    <m/>
    <m/>
    <m/>
    <x v="0"/>
    <m/>
    <m/>
    <m/>
    <m/>
    <m/>
    <x v="0"/>
    <m/>
    <m/>
    <m/>
    <m/>
    <m/>
    <m/>
  </r>
  <r>
    <m/>
    <m/>
    <x v="0"/>
    <m/>
    <m/>
    <m/>
    <m/>
    <m/>
    <m/>
    <m/>
    <m/>
    <m/>
    <m/>
    <m/>
    <m/>
    <m/>
    <m/>
    <m/>
    <m/>
    <m/>
    <m/>
    <x v="0"/>
    <m/>
    <m/>
    <m/>
    <m/>
    <m/>
    <x v="0"/>
    <m/>
    <m/>
    <m/>
    <m/>
    <m/>
    <m/>
  </r>
  <r>
    <m/>
    <m/>
    <x v="0"/>
    <m/>
    <m/>
    <m/>
    <m/>
    <m/>
    <m/>
    <m/>
    <m/>
    <m/>
    <m/>
    <m/>
    <m/>
    <m/>
    <m/>
    <m/>
    <m/>
    <m/>
    <m/>
    <x v="0"/>
    <m/>
    <m/>
    <m/>
    <m/>
    <m/>
    <x v="0"/>
    <m/>
    <m/>
    <m/>
    <m/>
    <m/>
    <m/>
  </r>
  <r>
    <m/>
    <m/>
    <x v="0"/>
    <m/>
    <m/>
    <m/>
    <m/>
    <m/>
    <m/>
    <m/>
    <m/>
    <m/>
    <m/>
    <m/>
    <m/>
    <m/>
    <m/>
    <m/>
    <m/>
    <m/>
    <m/>
    <x v="0"/>
    <m/>
    <m/>
    <m/>
    <m/>
    <m/>
    <x v="0"/>
    <m/>
    <m/>
    <m/>
    <m/>
    <m/>
    <m/>
  </r>
  <r>
    <m/>
    <m/>
    <x v="0"/>
    <m/>
    <m/>
    <m/>
    <m/>
    <m/>
    <m/>
    <m/>
    <m/>
    <m/>
    <m/>
    <m/>
    <m/>
    <m/>
    <m/>
    <m/>
    <m/>
    <m/>
    <m/>
    <x v="0"/>
    <m/>
    <m/>
    <m/>
    <m/>
    <m/>
    <x v="0"/>
    <m/>
    <m/>
    <m/>
    <m/>
    <m/>
    <m/>
  </r>
  <r>
    <m/>
    <m/>
    <x v="0"/>
    <m/>
    <m/>
    <m/>
    <m/>
    <m/>
    <m/>
    <m/>
    <m/>
    <m/>
    <m/>
    <m/>
    <m/>
    <m/>
    <m/>
    <m/>
    <m/>
    <m/>
    <m/>
    <x v="0"/>
    <m/>
    <m/>
    <m/>
    <m/>
    <m/>
    <x v="0"/>
    <m/>
    <m/>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
  <r>
    <m/>
    <m/>
    <x v="0"/>
    <m/>
    <m/>
    <m/>
    <m/>
    <m/>
    <m/>
    <m/>
    <m/>
    <m/>
    <m/>
    <m/>
    <m/>
    <m/>
    <m/>
    <m/>
    <m/>
    <m/>
    <m/>
    <x v="0"/>
    <n v="100"/>
    <m/>
    <m/>
    <x v="0"/>
  </r>
  <r>
    <s v="公式"/>
    <s v="销售填写"/>
    <x v="1"/>
    <s v="销售填写"/>
    <s v="公式"/>
    <s v="公式"/>
    <s v="公式"/>
    <s v="公式"/>
    <s v="公式"/>
    <s v="公式"/>
    <s v="公式"/>
    <s v="公式"/>
    <s v="公式"/>
    <s v="销售填写"/>
    <s v="公式"/>
    <s v="销售填写"/>
    <s v="销售填写"/>
    <s v="Lucy填写"/>
    <s v="公式"/>
    <s v="公式"/>
    <m/>
    <x v="0"/>
    <m/>
    <m/>
    <m/>
    <x v="0"/>
  </r>
  <r>
    <s v="V"/>
    <s v="计划类型"/>
    <x v="2"/>
    <s v="Product Code"/>
    <s v="产品名称"/>
    <s v="箱规"/>
    <s v="包/箱"/>
    <s v="PR00_x000a_(箱价)-未税"/>
    <s v="PR00/EA"/>
    <s v="经销商箱价"/>
    <s v="打款价格-含税"/>
    <s v="折扣费用"/>
    <s v="最终价格-含税"/>
    <s v="折扣力度"/>
    <s v="单包价格/含税"/>
    <s v="实际活动_x000a_开始时间"/>
    <s v="实际活动_x000a_结束时间"/>
    <s v="GSV-实际"/>
    <s v="PE-后补"/>
    <s v="PE%-_x000a_后补点数"/>
    <s v="归属"/>
    <x v="1"/>
    <s v="随货点数"/>
    <s v="实际点数"/>
    <s v="最终低价"/>
    <x v="1"/>
  </r>
  <r>
    <s v="上海文鑫网络科技有限公司2701-90"/>
    <s v="短期促销返利"/>
    <x v="3"/>
    <s v="2701-90"/>
    <s v="270190舒洁小熊印花手帕纸3层10包FSC mix70%"/>
    <n v="36"/>
    <n v="360"/>
    <n v="208.46834000000001"/>
    <n v="5.7907872222222228"/>
    <n v="194.91789790000001"/>
    <n v="212.768478989682"/>
    <n v="7.9292600865719987"/>
    <n v="204.83921890311001"/>
    <n v="3.5999999999999997E-2"/>
    <n v="0.56899783028641671"/>
    <d v="2025-04-01T00:00:00"/>
    <d v="2025-04-30T00:00:00"/>
    <n v="57537.26"/>
    <n v="1936.7041716000001"/>
    <n v="3.3660000000000002E-2"/>
    <m/>
    <x v="2"/>
    <n v="0.21299999999999999"/>
    <n v="0.249"/>
    <n v="0.48742108042456478"/>
    <x v="2"/>
  </r>
  <r>
    <s v="上海文鑫网络科技有限公司2103-90"/>
    <s v="短期促销返利"/>
    <x v="3"/>
    <s v="2103-90"/>
    <s v="210390舒洁小熊印花抽纸3层80抽4包FSC mix70%"/>
    <n v="24"/>
    <n v="96"/>
    <n v="287.22000000000003"/>
    <n v="11.967500000000001"/>
    <n v="268.55070000000006"/>
    <n v="293.14457310600005"/>
    <n v="15.476576841000002"/>
    <n v="277.66799626500006"/>
    <n v="5.0999999999999997E-2"/>
    <n v="2.8923749610937506"/>
    <d v="2025-04-01T00:00:00"/>
    <d v="2025-04-30T00:00:00"/>
    <n v="108283.09"/>
    <n v="5163.4791466500001"/>
    <n v="4.7685000000000005E-2"/>
    <m/>
    <x v="2"/>
    <n v="0.2"/>
    <n v="0.251"/>
    <n v="2.2601618548437501"/>
    <x v="2"/>
  </r>
  <r>
    <s v="上海文鑫网络科技有限公司2107-61"/>
    <s v="短期促销返利"/>
    <x v="3"/>
    <s v="2107-61"/>
    <s v="210761舒洁卡通系列抽纸200抽3包 FSC mix70%"/>
    <n v="20"/>
    <n v="60"/>
    <n v="338.18198999999998"/>
    <n v="16.9090995"/>
    <n v="316.20016064999999"/>
    <n v="345.15777136232697"/>
    <n v="23.939514162811498"/>
    <n v="321.21825719951545"/>
    <n v="6.7000000000000004E-2"/>
    <n v="5.3536376199919244"/>
    <d v="2025-04-01T00:00:00"/>
    <d v="2025-04-30T00:00:00"/>
    <n v="211701.93"/>
    <n v="13262.06740485"/>
    <n v="6.2645000000000006E-2"/>
    <m/>
    <x v="2"/>
    <n v="0.21299999999999999"/>
    <n v="0.28000000000000003"/>
    <n v="4.0852006755444501"/>
    <x v="2"/>
  </r>
  <r>
    <s v="上海文鑫网络科技有限公司2291-60"/>
    <s v="短期促销返利"/>
    <x v="3"/>
    <s v="2291-60"/>
    <s v="229160舒洁绿茶洋甘菊印花清香卷纸10粒"/>
    <n v="5"/>
    <n v="50"/>
    <n v="153.64888999999999"/>
    <n v="30.729778"/>
    <n v="143.66171215"/>
    <n v="156.81825174869698"/>
    <n v="16.720786677138499"/>
    <n v="140.09746507155847"/>
    <n v="0.10299999999999999"/>
    <n v="2.8019493014311694"/>
    <d v="2025-04-01T00:00:00"/>
    <d v="2025-04-30T00:00:00"/>
    <n v="18437.87"/>
    <n v="1775.6590703499999"/>
    <n v="9.6305000000000002E-2"/>
    <m/>
    <x v="2"/>
    <n v="0.192"/>
    <n v="0.29499999999999998"/>
    <n v="2.1785724000698901"/>
    <x v="2"/>
  </r>
  <r>
    <s v="上海薪满翊商贸有限公司2107-61"/>
    <s v="短期促销返利"/>
    <x v="4"/>
    <s v="2107-61"/>
    <s v="210761舒洁卡通系列抽纸200抽3包 FSC mix70%"/>
    <n v="20"/>
    <n v="60"/>
    <n v="338.18198999999998"/>
    <n v="16.9090995"/>
    <n v="316.20016064999999"/>
    <n v="345.15777136232697"/>
    <n v="55.739764319381997"/>
    <n v="289.41800704294496"/>
    <n v="0.156"/>
    <n v="4.8236334507157492"/>
    <d v="2025-04-01T00:00:00"/>
    <d v="2025-04-30T00:00:00"/>
    <n v="10483.64"/>
    <n v="1529.1437303999999"/>
    <n v="0.14585999999999999"/>
    <m/>
    <x v="2"/>
    <m/>
    <m/>
    <n v="4.8236334507157492"/>
    <x v="2"/>
  </r>
  <r>
    <s v="上海薪满翊商贸有限公司2701-90"/>
    <s v="短期促销返利"/>
    <x v="4"/>
    <s v="2701-90"/>
    <s v="270190舒洁小熊印花手帕纸3层10包FSC mix70%"/>
    <n v="36"/>
    <n v="360"/>
    <n v="208.46834000000001"/>
    <n v="5.7907872222222228"/>
    <n v="194.91789790000001"/>
    <n v="212.768478989682"/>
    <n v="39.646300432859995"/>
    <n v="173.12217855682201"/>
    <n v="0.18"/>
    <n v="0.4808949404356167"/>
    <d v="2025-04-01T00:00:00"/>
    <d v="2025-04-30T00:00:00"/>
    <n v="416.94"/>
    <n v="70.171002000000001"/>
    <n v="0.16830000000000001"/>
    <m/>
    <x v="2"/>
    <m/>
    <m/>
    <n v="0.4808949404356167"/>
    <x v="2"/>
  </r>
  <r>
    <s v="上海文鑫网络科技有限公司2216-35"/>
    <s v="短期促销返利"/>
    <x v="3"/>
    <s v="2216-35"/>
    <s v="221635舒洁卷纸3层纯白10粒（蓝色）"/>
    <n v="10"/>
    <n v="100"/>
    <n v="240.89676"/>
    <n v="24.089676000000001"/>
    <n v="225.2384706"/>
    <n v="245.86580973754795"/>
    <n v="24.179349818909998"/>
    <n v="221.68645991863795"/>
    <n v="9.5000000000000001E-2"/>
    <n v="2.2168645991863793"/>
    <d v="2025-04-01T00:00:00"/>
    <d v="2025-04-30T00:00:00"/>
    <n v="104549.21"/>
    <n v="9286.5835782500017"/>
    <n v="8.8825000000000015E-2"/>
    <m/>
    <x v="2"/>
    <n v="0.192"/>
    <n v="0.28700000000000003"/>
    <n v="1.7281872133726193"/>
    <x v="2"/>
  </r>
  <r>
    <s v="上海薪满翊商贸有限公司2103-90"/>
    <s v="短期促销返利"/>
    <x v="4"/>
    <s v="2103-90"/>
    <s v="210390舒洁小熊印花抽纸3层80抽4包FSC mix70%"/>
    <n v="24"/>
    <n v="96"/>
    <n v="287.22000000000003"/>
    <n v="11.967500000000001"/>
    <n v="268.55070000000006"/>
    <n v="293.14457310600005"/>
    <n v="45.51934365000001"/>
    <n v="247.62522945600006"/>
    <n v="0.15"/>
    <n v="2.5794294735000007"/>
    <d v="2025-04-01T00:00:00"/>
    <d v="2025-04-30T00:00:00"/>
    <n v="7467.8"/>
    <n v="1047.35895"/>
    <n v="0.14025000000000001"/>
    <m/>
    <x v="2"/>
    <m/>
    <m/>
    <n v="2.5794294735000007"/>
    <x v="2"/>
  </r>
  <r>
    <s v="上海文鑫网络科技有限公司2613-00"/>
    <s v="短期促销返利"/>
    <x v="3"/>
    <s v="2613-00"/>
    <s v="261300舒洁无香湿巾单包装"/>
    <n v="30"/>
    <n v="30"/>
    <n v="91.362830000000002"/>
    <n v="3.0454276666666669"/>
    <n v="85.424246050000008"/>
    <n v="93.247398503258992"/>
    <n v="2.0985491133135081"/>
    <n v="91.148849389945482"/>
    <n v="2.1739999999999982E-2"/>
    <n v="3.0382949796648493"/>
    <d v="2025-04-01T00:00:00"/>
    <d v="2025-04-30T00:00:00"/>
    <n v="121878"/>
    <n v="2477.4019181999979"/>
    <n v="2.0326899999999985E-2"/>
    <m/>
    <x v="2"/>
    <n v="0.44700000000000001"/>
    <n v="0.46873999999999999"/>
    <n v="1.6000069489209996"/>
    <x v="2"/>
  </r>
  <r>
    <s v="天宁区雕庄达途百货经营部2662-00"/>
    <s v="短期促销返利"/>
    <x v="5"/>
    <s v="2662-00"/>
    <s v="266200舒洁湿厕纸80片x6包 "/>
    <n v="1"/>
    <n v="6"/>
    <n v="69.44"/>
    <n v="69.44"/>
    <n v="64.926400000000001"/>
    <n v="70.872359711999991"/>
    <n v="25.898491695999994"/>
    <n v="44.973868015999997"/>
    <n v="0.35299999999999998"/>
    <n v="7.4956446693333332"/>
    <d v="2025-04-01T00:00:00"/>
    <d v="2025-04-30T00:00:00"/>
    <n v="138880"/>
    <n v="45838.038400000005"/>
    <n v="0.33005500000000004"/>
    <s v="曲盛涛"/>
    <x v="2"/>
    <m/>
    <m/>
    <n v="7.4956446693333332"/>
    <x v="3"/>
  </r>
  <r>
    <s v="贵阳鑫旺隆贸易有限公司2694-30"/>
    <s v="短期促销返利"/>
    <x v="6"/>
    <s v="2694-30"/>
    <s v="269430舒洁湿厕纸家庭装40抽"/>
    <n v="40"/>
    <n v="40"/>
    <n v="367.52197000000001"/>
    <n v="9.1880492500000006"/>
    <n v="343.63304195000001"/>
    <n v="375.10295593178091"/>
    <n v="20.191877544981995"/>
    <n v="354.91107838679892"/>
    <n v="5.1999999999999998E-2"/>
    <n v="8.8727769596699737"/>
    <d v="2025-04-01T00:00:00"/>
    <d v="2025-04-30T00:00:00"/>
    <n v="13598.31"/>
    <n v="661.14983219999999"/>
    <n v="4.8620000000000003E-2"/>
    <m/>
    <x v="2"/>
    <n v="0.45179999999999998"/>
    <n v="0.50380000000000003"/>
    <n v="4.4868681736974398"/>
    <x v="2"/>
  </r>
  <r>
    <s v="贵阳鑫旺隆贸易有限公司2107-61"/>
    <s v="短期促销返利"/>
    <x v="6"/>
    <s v="2107-61"/>
    <s v="210761舒洁卡通系列抽纸200抽3包 FSC mix70%"/>
    <n v="20"/>
    <n v="60"/>
    <n v="338.18198999999998"/>
    <n v="16.9090995"/>
    <n v="316.20016064999999"/>
    <n v="345.15777136232697"/>
    <n v="39.660986150329492"/>
    <n v="305.49678521199746"/>
    <n v="0.111"/>
    <n v="5.0916130868666247"/>
    <d v="2025-04-01T00:00:00"/>
    <d v="2025-04-30T00:00:00"/>
    <n v="25363.65"/>
    <n v="2632.36641525"/>
    <n v="0.103785"/>
    <m/>
    <x v="2"/>
    <m/>
    <m/>
    <n v="5.0916130868666247"/>
    <x v="2"/>
  </r>
  <r>
    <s v="北京泰和嘉华商贸有限公司2670-30"/>
    <s v="短期促销返利"/>
    <x v="7"/>
    <s v="2670-30"/>
    <s v="267030舒洁湿厕纸旅行装10包装"/>
    <n v="4"/>
    <n v="40"/>
    <n v="151.33257"/>
    <n v="37.833142500000001"/>
    <n v="141.49595295"/>
    <n v="154.45415232116099"/>
    <n v="55.96164939172499"/>
    <n v="98.492502929436"/>
    <n v="0.35"/>
    <n v="2.4623125732358999"/>
    <d v="2025-03-01T00:00:00"/>
    <d v="2025-04-24T00:00:00"/>
    <n v="3026.6600000000003"/>
    <n v="990.47448500000019"/>
    <n v="0.32725000000000004"/>
    <m/>
    <x v="3"/>
    <m/>
    <m/>
    <n v="2.4623125732358999"/>
    <x v="2"/>
  </r>
  <r>
    <s v="大连达博商贸有限公司2694-30"/>
    <s v="短期促销返利"/>
    <x v="8"/>
    <s v="2694-30"/>
    <s v="269430舒洁湿厕纸家庭装40抽"/>
    <n v="40"/>
    <n v="40"/>
    <n v="367.52197000000001"/>
    <n v="9.1880492500000006"/>
    <n v="343.63304195000001"/>
    <n v="375.10295593178091"/>
    <n v="174.73740183157497"/>
    <n v="200.36555410020594"/>
    <n v="0.45"/>
    <n v="5.0091388525051483"/>
    <d v="2025-04-01T00:00:00"/>
    <d v="2025-04-24T00:00:00"/>
    <n v="25726.54"/>
    <n v="10824.441705000001"/>
    <n v="0.42075000000000001"/>
    <m/>
    <x v="3"/>
    <m/>
    <m/>
    <n v="5.0091388525051483"/>
    <x v="2"/>
  </r>
  <r>
    <s v="大连达博商贸有限公司2701-90"/>
    <s v="短期促销返利"/>
    <x v="8"/>
    <s v="2701-90"/>
    <s v="270190舒洁小熊印花手帕纸3层10包FSC mix70%"/>
    <n v="36"/>
    <n v="360"/>
    <n v="208.46834000000001"/>
    <n v="5.7907872222222228"/>
    <n v="194.91789790000001"/>
    <n v="212.768478989682"/>
    <n v="6.6077167388099998"/>
    <n v="206.16076225087198"/>
    <n v="0.03"/>
    <n v="0.57266878403019994"/>
    <d v="2025-04-01T00:00:00"/>
    <d v="2025-04-24T00:00:00"/>
    <n v="1042.3400000000001"/>
    <n v="29.237637000000003"/>
    <n v="2.8049999999999999E-2"/>
    <m/>
    <x v="3"/>
    <m/>
    <m/>
    <n v="0.57266878403019994"/>
    <x v="2"/>
  </r>
  <r>
    <s v="北京朝批中得商贸有限公司2694-30"/>
    <s v="短期促销返利"/>
    <x v="9"/>
    <s v="2694-30"/>
    <s v="269430舒洁湿厕纸家庭装40抽"/>
    <n v="40"/>
    <n v="40"/>
    <n v="367.52197000000001"/>
    <n v="9.1880492500000006"/>
    <n v="343.63304195000001"/>
    <n v="382.86906267985097"/>
    <n v="174.73740183157497"/>
    <n v="208.131660848276"/>
    <n v="0.45"/>
    <n v="5.2032915212069"/>
    <d v="2025-04-01T00:00:00"/>
    <d v="2025-04-24T00:00:00"/>
    <n v="135983.13999999998"/>
    <n v="57214.906154999997"/>
    <n v="0.42075000000000001"/>
    <m/>
    <x v="3"/>
    <m/>
    <m/>
    <n v="5.2032915212069"/>
    <x v="4"/>
  </r>
  <r>
    <s v="北京朝批中得商贸有限公司2103-90"/>
    <s v="短期促销返利"/>
    <x v="9"/>
    <s v="2103-90"/>
    <s v="210390舒洁小熊印花抽纸3层80抽4包FSC mix70%"/>
    <n v="24"/>
    <n v="96"/>
    <n v="287.22000000000003"/>
    <n v="11.967500000000001"/>
    <n v="268.55070000000006"/>
    <n v="293.14457310600005"/>
    <n v="15.173114550000003"/>
    <n v="277.97145855600007"/>
    <n v="0.05"/>
    <n v="2.8955360266250008"/>
    <d v="2025-04-01T00:00:00"/>
    <d v="2025-04-24T00:00:00"/>
    <n v="10052.81"/>
    <n v="469.96886749999999"/>
    <n v="4.675E-2"/>
    <m/>
    <x v="3"/>
    <m/>
    <m/>
    <n v="2.8955360266250008"/>
    <x v="4"/>
  </r>
  <r>
    <s v="北京朝批中得商贸有限公司2107-61"/>
    <s v="短期促销返利"/>
    <x v="9"/>
    <s v="2107-61"/>
    <s v="210761舒洁卡通系列抽纸200抽3包 FSC mix70%"/>
    <n v="20"/>
    <n v="60"/>
    <n v="338.18198999999998"/>
    <n v="16.9090995"/>
    <n v="316.20016064999999"/>
    <n v="345.15777136232697"/>
    <n v="28.584494522759996"/>
    <n v="316.57327683956697"/>
    <n v="0.08"/>
    <n v="5.27622128065945"/>
    <d v="2025-04-01T00:00:00"/>
    <d v="2025-04-24T00:00:00"/>
    <n v="7778.1900000000005"/>
    <n v="581.80861200000004"/>
    <n v="7.4800000000000005E-2"/>
    <m/>
    <x v="3"/>
    <m/>
    <m/>
    <n v="5.27622128065945"/>
    <x v="4"/>
  </r>
  <r>
    <s v="北京朝批中得商贸有限公司2613-00"/>
    <s v="短期促销返利"/>
    <x v="9"/>
    <s v="2613-00"/>
    <s v="261300舒洁无香湿巾单包装"/>
    <n v="30"/>
    <n v="30"/>
    <n v="91.362830000000002"/>
    <n v="3.0454276666666669"/>
    <n v="85.424246050000008"/>
    <n v="93.247398503258992"/>
    <n v="9.6529398036499998"/>
    <n v="83.594458699608992"/>
    <n v="0.1"/>
    <n v="2.786481956653633"/>
    <d v="2025-04-01T00:00:00"/>
    <d v="2025-04-24T00:00:00"/>
    <n v="365.45"/>
    <n v="34.169575000000002"/>
    <n v="9.3500000000000014E-2"/>
    <m/>
    <x v="3"/>
    <m/>
    <m/>
    <n v="2.786481956653633"/>
    <x v="4"/>
  </r>
  <r>
    <s v="北京朝批中得商贸有限公司2660-00"/>
    <s v="短期促销返利"/>
    <x v="9"/>
    <s v="2660-00"/>
    <s v="266000舒洁湿厕纸80片"/>
    <n v="24"/>
    <n v="24"/>
    <n v="326.88"/>
    <n v="13.62"/>
    <n v="305.63280000000003"/>
    <n v="333.622651824"/>
    <n v="62.165711519999995"/>
    <n v="271.456940304"/>
    <n v="0.18"/>
    <n v="11.310705845999999"/>
    <d v="2025-04-01T00:00:00"/>
    <d v="2025-04-24T00:00:00"/>
    <n v="1634.4"/>
    <n v="275.06952000000001"/>
    <n v="0.16830000000000001"/>
    <m/>
    <x v="3"/>
    <m/>
    <m/>
    <n v="11.310705845999999"/>
    <x v="4"/>
  </r>
  <r>
    <s v="北京朝批中得商贸有限公司2216-35"/>
    <s v="短期促销返利"/>
    <x v="9"/>
    <s v="2216-35"/>
    <s v="221635舒洁卷纸3层纯白10粒（蓝色）"/>
    <n v="10"/>
    <n v="100"/>
    <n v="240.89676"/>
    <n v="24.089676000000001"/>
    <n v="225.2384706"/>
    <n v="245.86580973754795"/>
    <n v="12.725973588899999"/>
    <n v="233.13983614864796"/>
    <n v="0.05"/>
    <n v="2.3313983614864795"/>
    <d v="2025-04-01T00:00:00"/>
    <d v="2025-04-24T00:00:00"/>
    <n v="481.79"/>
    <n v="22.523682500000003"/>
    <n v="4.6750000000000007E-2"/>
    <m/>
    <x v="3"/>
    <m/>
    <m/>
    <n v="2.3313983614864795"/>
    <x v="4"/>
  </r>
  <r>
    <s v="北京宝诚恒信科技有限公司2694-30"/>
    <s v="短期促销返利"/>
    <x v="10"/>
    <s v="2694-30"/>
    <s v="269430舒洁湿厕纸家庭装40抽"/>
    <n v="40"/>
    <n v="40"/>
    <n v="367.52197000000001"/>
    <n v="9.1880492500000006"/>
    <n v="343.63304195000001"/>
    <n v="375.10295593178091"/>
    <n v="174.73740183157497"/>
    <n v="200.36555410020594"/>
    <n v="0.45"/>
    <n v="5.0091388525051483"/>
    <d v="2025-04-01T00:00:00"/>
    <d v="2025-04-24T00:00:00"/>
    <n v="173470.37"/>
    <n v="72987.658177500009"/>
    <n v="0.42075000000000007"/>
    <m/>
    <x v="3"/>
    <m/>
    <m/>
    <n v="5.0091388525051483"/>
    <x v="5"/>
  </r>
  <r>
    <s v="北京宝诚恒信科技有限公司2103-90"/>
    <s v="短期促销返利"/>
    <x v="10"/>
    <s v="2103-90"/>
    <s v="210390舒洁小熊印花抽纸3层80抽4包FSC mix70%"/>
    <n v="24"/>
    <n v="96"/>
    <n v="287.22000000000003"/>
    <n v="11.967500000000001"/>
    <n v="268.55070000000006"/>
    <n v="293.14457310600005"/>
    <n v="15.173114550000003"/>
    <n v="277.97145855600007"/>
    <n v="0.05"/>
    <n v="2.8955360266250008"/>
    <d v="2025-04-01T00:00:00"/>
    <d v="2025-04-24T00:00:00"/>
    <n v="3446.6800000000003"/>
    <n v="161.13229000000004"/>
    <n v="4.6750000000000007E-2"/>
    <m/>
    <x v="3"/>
    <m/>
    <m/>
    <n v="2.8955360266250008"/>
    <x v="5"/>
  </r>
  <r>
    <s v="北京宝诚恒信科技有限公司2701-90"/>
    <s v="短期促销返利"/>
    <x v="10"/>
    <s v="2701-90"/>
    <s v="270190舒洁小熊印花手帕纸3层10包FSC mix70%"/>
    <n v="36"/>
    <n v="360"/>
    <n v="208.46834000000001"/>
    <n v="5.7907872222222228"/>
    <n v="194.91789790000001"/>
    <n v="212.768478989682"/>
    <n v="6.6077167388099998"/>
    <n v="206.16076225087198"/>
    <n v="0.03"/>
    <n v="0.57266878403019994"/>
    <d v="2025-04-01T00:00:00"/>
    <d v="2025-04-24T00:00:00"/>
    <n v="416.94"/>
    <n v="11.695167"/>
    <n v="2.8049999999999999E-2"/>
    <m/>
    <x v="3"/>
    <m/>
    <m/>
    <n v="0.57266878403019994"/>
    <x v="5"/>
  </r>
  <r>
    <s v="北京宝诚恒信科技有限公司2312-16"/>
    <s v="短期促销返利"/>
    <x v="10"/>
    <s v="2312-16"/>
    <s v="231216 舒洁马蹄莲盒面纸200抽3盒 FSC mix70%"/>
    <n v="10"/>
    <n v="30"/>
    <n v="243.21306999999999"/>
    <n v="24.321306999999997"/>
    <n v="227.40422045"/>
    <n v="248.22989895881099"/>
    <n v="12.848338455425001"/>
    <n v="235.381560503386"/>
    <n v="0.05"/>
    <n v="7.8460520167795336"/>
    <d v="2025-04-01T00:00:00"/>
    <d v="2025-04-24T00:00:00"/>
    <n v="486.42999999999995"/>
    <n v="22.740602500000001"/>
    <n v="4.6750000000000007E-2"/>
    <m/>
    <x v="3"/>
    <m/>
    <m/>
    <n v="7.8460520167795336"/>
    <x v="5"/>
  </r>
  <r>
    <s v="青岛聚鑫美商贸有限公司2103-90"/>
    <s v="短期促销返利"/>
    <x v="11"/>
    <s v="2103-90"/>
    <s v="210390舒洁小熊印花抽纸3层80抽4包FSC mix70%"/>
    <n v="24"/>
    <n v="96"/>
    <n v="287.22000000000003"/>
    <n v="11.967500000000001"/>
    <n v="268.55070000000006"/>
    <n v="293.14457310600005"/>
    <n v="15.173114550000003"/>
    <n v="277.97145855600007"/>
    <n v="0.05"/>
    <n v="2.8955360266250008"/>
    <d v="2025-04-01T00:00:00"/>
    <d v="2025-04-24T00:00:00"/>
    <n v="861.67000000000007"/>
    <n v="40.28307250000001"/>
    <n v="4.6750000000000007E-2"/>
    <m/>
    <x v="3"/>
    <m/>
    <m/>
    <n v="2.8955360266250008"/>
    <x v="2"/>
  </r>
  <r>
    <s v="青岛聚鑫美商贸有限公司2107-61"/>
    <s v="短期促销返利"/>
    <x v="11"/>
    <s v="2107-61"/>
    <s v="210761舒洁卡通系列抽纸200抽3包 FSC mix70%"/>
    <n v="20"/>
    <n v="60"/>
    <n v="338.18198999999998"/>
    <n v="16.9090995"/>
    <n v="316.20016064999999"/>
    <n v="345.15777136232697"/>
    <n v="28.584494522759996"/>
    <n v="316.57327683956697"/>
    <n v="0.08"/>
    <n v="5.27622128065945"/>
    <d v="2025-04-01T00:00:00"/>
    <d v="2025-04-24T00:00:00"/>
    <n v="2029.1000000000001"/>
    <n v="151.77668"/>
    <n v="7.4799999999999991E-2"/>
    <m/>
    <x v="3"/>
    <m/>
    <m/>
    <n v="5.27622128065945"/>
    <x v="2"/>
  </r>
  <r>
    <s v="青岛聚鑫美商贸有限公司2156-10"/>
    <s v="短期促销返利"/>
    <x v="11"/>
    <s v="2156-10"/>
    <s v="215610舒洁®北海道轻牛乳系列乳霜纸面巾100抽3包装"/>
    <n v="6"/>
    <n v="18"/>
    <n v="215.4"/>
    <n v="35.9"/>
    <n v="201.39900000000003"/>
    <n v="219.84312041999999"/>
    <n v="40.964556600000002"/>
    <n v="178.87856381999998"/>
    <n v="0.18"/>
    <n v="9.9376979899999984"/>
    <d v="2025-04-01T00:00:00"/>
    <d v="2025-04-24T00:00:00"/>
    <n v="1077"/>
    <n v="181.25909999999999"/>
    <n v="0.16829999999999998"/>
    <m/>
    <x v="3"/>
    <m/>
    <m/>
    <n v="9.9376979899999984"/>
    <x v="2"/>
  </r>
  <r>
    <s v="青岛聚鑫美商贸有限公司2291-60"/>
    <s v="短期促销返利"/>
    <x v="11"/>
    <s v="2291-60"/>
    <s v="229160舒洁绿茶洋甘菊印花清香卷纸10粒"/>
    <n v="5"/>
    <n v="50"/>
    <n v="153.64888999999999"/>
    <n v="30.729778"/>
    <n v="143.66171215"/>
    <n v="156.81825174869698"/>
    <n v="8.1168867364749993"/>
    <n v="148.70136501222197"/>
    <n v="0.05"/>
    <n v="2.9740273002444395"/>
    <d v="2025-04-01T00:00:00"/>
    <d v="2025-04-24T00:00:00"/>
    <n v="768.25"/>
    <n v="35.915687500000004"/>
    <n v="4.6750000000000007E-2"/>
    <m/>
    <x v="3"/>
    <m/>
    <m/>
    <n v="2.9740273002444395"/>
    <x v="2"/>
  </r>
  <r>
    <s v="青岛聚鑫美商贸有限公司2312-16"/>
    <s v="短期促销返利"/>
    <x v="11"/>
    <s v="2312-16"/>
    <s v="231216 舒洁马蹄莲盒面纸200抽3盒 FSC mix70%"/>
    <n v="10"/>
    <n v="30"/>
    <n v="243.21306999999999"/>
    <n v="24.321306999999997"/>
    <n v="227.40422045"/>
    <n v="248.22989895881099"/>
    <n v="12.848338455425001"/>
    <n v="235.381560503386"/>
    <n v="0.05"/>
    <n v="7.8460520167795336"/>
    <d v="2025-04-01T00:00:00"/>
    <d v="2025-04-24T00:00:00"/>
    <n v="729.64"/>
    <n v="34.110669999999999"/>
    <n v="4.675E-2"/>
    <m/>
    <x v="3"/>
    <m/>
    <m/>
    <n v="7.8460520167795336"/>
    <x v="2"/>
  </r>
  <r>
    <s v="青岛聚鑫美商贸有限公司2660-00"/>
    <s v="短期促销返利"/>
    <x v="11"/>
    <s v="2660-00"/>
    <s v="266000舒洁湿厕纸80片"/>
    <n v="24"/>
    <n v="24"/>
    <n v="326.88"/>
    <n v="13.62"/>
    <n v="305.63280000000003"/>
    <n v="333.622651824"/>
    <n v="62.165711519999995"/>
    <n v="271.456940304"/>
    <n v="0.18"/>
    <n v="11.310705845999999"/>
    <d v="2025-04-01T00:00:00"/>
    <d v="2025-04-24T00:00:00"/>
    <n v="326.88"/>
    <n v="55.013904000000004"/>
    <n v="0.16830000000000001"/>
    <m/>
    <x v="3"/>
    <m/>
    <m/>
    <n v="11.310705845999999"/>
    <x v="2"/>
  </r>
  <r>
    <s v="青岛聚鑫美商贸有限公司2694-30"/>
    <s v="短期促销返利"/>
    <x v="11"/>
    <s v="2694-30"/>
    <s v="269430舒洁湿厕纸家庭装40抽"/>
    <n v="40"/>
    <n v="40"/>
    <n v="367.52197000000001"/>
    <n v="9.1880492500000006"/>
    <n v="343.63304195000001"/>
    <n v="375.10295593178091"/>
    <n v="116.49160122104998"/>
    <n v="258.61135471073095"/>
    <n v="0.3"/>
    <n v="6.4652838677682736"/>
    <d v="2025-04-01T00:00:00"/>
    <d v="2025-04-24T00:00:00"/>
    <n v="735.04000000000008"/>
    <n v="206.17872000000003"/>
    <n v="0.28050000000000003"/>
    <m/>
    <x v="3"/>
    <m/>
    <m/>
    <n v="6.4652838677682736"/>
    <x v="2"/>
  </r>
  <r>
    <s v="青岛聚鑫美商贸有限公司2701-90"/>
    <s v="短期促销返利"/>
    <x v="11"/>
    <s v="2701-90"/>
    <s v="270190舒洁小熊印花手帕纸3层10包FSC mix70%"/>
    <n v="36"/>
    <n v="360"/>
    <n v="208.46834000000001"/>
    <n v="5.7907872222222228"/>
    <n v="194.91789790000001"/>
    <n v="212.768478989682"/>
    <n v="6.6077167388099998"/>
    <n v="206.16076225087198"/>
    <n v="0.03"/>
    <n v="0.57266878403019994"/>
    <d v="2025-04-01T00:00:00"/>
    <d v="2025-04-24T00:00:00"/>
    <n v="1042.3400000000001"/>
    <n v="29.237637000000003"/>
    <n v="2.8049999999999999E-2"/>
    <m/>
    <x v="3"/>
    <m/>
    <m/>
    <n v="0.57266878403019994"/>
    <x v="2"/>
  </r>
  <r>
    <s v="西宁华松商贸有限公司2162-08"/>
    <s v="短期促销返利"/>
    <x v="12"/>
    <s v="2162-08"/>
    <s v="216208舒洁®北海道牛乳系列乳霜纸面巾20抽8包装"/>
    <n v="4"/>
    <n v="32"/>
    <n v="100.5"/>
    <n v="25.125"/>
    <n v="93.967500000000001"/>
    <n v="102.57304364999999"/>
    <n v="31.413043649999995"/>
    <n v="71.16"/>
    <n v="0.29583796176940291"/>
    <n v="2.2237499999999999"/>
    <d v="2025-04-01T00:00:00"/>
    <d v="2025-04-30T00:00:00"/>
    <n v="6230.91"/>
    <n v="1723.5226329346319"/>
    <n v="0.27660849425439171"/>
    <m/>
    <x v="3"/>
    <n v="0.246"/>
    <m/>
    <n v="2.2237499999999999"/>
    <x v="2"/>
  </r>
  <r>
    <s v="西宁华松商贸有限公司2152-04"/>
    <s v="短期促销返利"/>
    <x v="12"/>
    <s v="2152-04"/>
    <s v="215204舒洁鎏金系列乳霜纸巾40抽8包"/>
    <n v="4"/>
    <n v="32"/>
    <n v="105.79"/>
    <n v="26.447500000000002"/>
    <n v="98.913650000000018"/>
    <n v="107.97216206700001"/>
    <n v="39.13216206700001"/>
    <n v="68.84"/>
    <n v="0.35010569236600936"/>
    <n v="2.1512500000000001"/>
    <d v="2025-04-01T00:00:00"/>
    <d v="2025-04-30T00:00:00"/>
    <n v="6876.22"/>
    <n v="2250.9225193035359"/>
    <n v="0.32734882236221874"/>
    <m/>
    <x v="3"/>
    <n v="0.3"/>
    <m/>
    <n v="2.1512500000000001"/>
    <x v="2"/>
  </r>
  <r>
    <s v="西宁华松商贸有限公司2662-00"/>
    <s v="短期促销返利"/>
    <x v="12"/>
    <s v="2662-00"/>
    <s v="266200舒洁湿厕纸80片x6包 "/>
    <n v="1"/>
    <n v="6"/>
    <n v="69.44"/>
    <n v="69.44"/>
    <n v="64.926400000000001"/>
    <n v="70.872359711999991"/>
    <n v="25.872359711999991"/>
    <n v="45"/>
    <n v="0.35264381746781698"/>
    <n v="7.5"/>
    <d v="2025-04-01T00:00:00"/>
    <d v="2025-04-30T00:00:00"/>
    <n v="6944"/>
    <n v="2289.5893550442474"/>
    <n v="0.32972196933240888"/>
    <m/>
    <x v="3"/>
    <n v="0.29099999999999998"/>
    <m/>
    <n v="7.5"/>
    <x v="2"/>
  </r>
  <r>
    <s v="大连隆欣商贸有限公司2694-30"/>
    <s v="短期促销返利"/>
    <x v="13"/>
    <s v="2694-30"/>
    <s v="269430舒洁湿厕纸家庭装40抽"/>
    <n v="40"/>
    <n v="40"/>
    <n v="367.52197000000001"/>
    <n v="9.1880492500000006"/>
    <n v="343.63304195000001"/>
    <n v="375.10295593178091"/>
    <n v="174.73740183157497"/>
    <n v="200.36555410020594"/>
    <n v="0.45"/>
    <n v="5.0091388525051483"/>
    <d v="2025-04-01T00:00:00"/>
    <d v="2025-04-30T00:00:00"/>
    <n v="1837.6098500000001"/>
    <n v="773.17434438750013"/>
    <n v="0.42075000000000007"/>
    <s v="王金邦"/>
    <x v="3"/>
    <m/>
    <m/>
    <n v="5.0091388525051483"/>
    <x v="3"/>
  </r>
  <r>
    <s v="大连隆欣商贸有限公司2103-90"/>
    <s v="短期促销返利"/>
    <x v="13"/>
    <s v="2103-90"/>
    <s v="210390舒洁小熊印花抽纸3层80抽4包FSC mix70%"/>
    <n v="24"/>
    <n v="96"/>
    <n v="287.22000000000003"/>
    <n v="11.967500000000001"/>
    <n v="268.55070000000006"/>
    <n v="293.14457310600005"/>
    <n v="15.173114550000003"/>
    <n v="277.97145855600007"/>
    <n v="0.05"/>
    <n v="2.8955360266250008"/>
    <d v="2025-04-01T00:00:00"/>
    <d v="2025-04-30T00:00:00"/>
    <n v="1436.1000000000001"/>
    <n v="67.137675000000016"/>
    <n v="4.6750000000000007E-2"/>
    <s v="王金邦"/>
    <x v="3"/>
    <m/>
    <m/>
    <n v="2.8955360266250008"/>
    <x v="3"/>
  </r>
  <r>
    <s v="大连隆欣商贸有限公司2312-16"/>
    <s v="短期促销返利"/>
    <x v="13"/>
    <s v="2312-16"/>
    <s v="231216 舒洁马蹄莲盒面纸200抽3盒 FSC mix70%"/>
    <n v="10"/>
    <n v="30"/>
    <n v="243.21306999999999"/>
    <n v="24.321306999999997"/>
    <n v="227.40422045"/>
    <n v="248.22989895881099"/>
    <n v="17.987673837595"/>
    <n v="230.24222512121599"/>
    <n v="7.0000000000000007E-2"/>
    <n v="7.6747408373738661"/>
    <d v="2025-04-01T00:00:00"/>
    <d v="2025-04-30T00:00:00"/>
    <n v="486.42613999999998"/>
    <n v="31.836590863000005"/>
    <n v="6.5450000000000008E-2"/>
    <s v="王金邦"/>
    <x v="3"/>
    <m/>
    <m/>
    <n v="7.6747408373738661"/>
    <x v="3"/>
  </r>
  <r>
    <s v="黑龙江和盛祥供应链管理有限公司2156-10"/>
    <s v="短期促销返利"/>
    <x v="14"/>
    <s v="2156-10"/>
    <s v="215610舒洁®北海道轻牛乳系列乳霜纸面巾100抽3包装"/>
    <n v="6"/>
    <n v="18"/>
    <n v="215.4"/>
    <n v="35.9"/>
    <n v="201.39900000000003"/>
    <n v="219.84312041999999"/>
    <n v="5.6827246257540072"/>
    <n v="214.16039579424597"/>
    <n v="2.4970133147632339E-2"/>
    <n v="11.897799766346999"/>
    <d v="2025-04-01T00:00:00"/>
    <d v="2025-04-30T00:00:00"/>
    <n v="1077"/>
    <n v="25.144799229000029"/>
    <n v="2.3347074493036239E-2"/>
    <s v="王金邦"/>
    <x v="3"/>
    <n v="0.35"/>
    <n v="0.37497013314763233"/>
    <n v="7.4726161830136659"/>
    <x v="3"/>
  </r>
  <r>
    <s v="黑龙江和盛祥供应链管理有限公司2155-03"/>
    <s v="短期促销返利"/>
    <x v="14"/>
    <s v="2155-03"/>
    <s v="215503舒洁®北海道轻牛乳系列乳霜纸面巾40抽3包装"/>
    <n v="16"/>
    <n v="48"/>
    <n v="222.4"/>
    <n v="13.9"/>
    <n v="207.94400000000002"/>
    <n v="226.98751152"/>
    <n v="10.326341539623971"/>
    <n v="216.66116998037603"/>
    <n v="4.3946232374100599E-2"/>
    <n v="4.5137743745911676"/>
    <d v="2025-04-01T00:00:00"/>
    <d v="2025-04-30T00:00:00"/>
    <n v="1112"/>
    <n v="45.69177672399988"/>
    <n v="4.1089727269784063E-2"/>
    <s v="王金邦"/>
    <x v="3"/>
    <n v="0.38"/>
    <n v="0.42394623237410062"/>
    <n v="2.6535420079245005"/>
    <x v="3"/>
  </r>
  <r>
    <s v="北京朝批中得商贸有限公司2107-61"/>
    <s v="短期促销返利"/>
    <x v="9"/>
    <s v="2107-61"/>
    <s v="210761舒洁卡通系列抽纸200抽3包 FSC mix70%"/>
    <n v="20"/>
    <n v="60"/>
    <n v="338.18198999999998"/>
    <n v="16.9090995"/>
    <n v="316.20016064999999"/>
    <n v="345.15777136232697"/>
    <n v="65.744337402347995"/>
    <n v="279.41343395997899"/>
    <n v="0.184"/>
    <n v="4.6568905659996496"/>
    <d v="2025-03-01T00:00:00"/>
    <d v="2025-04-30T00:00:00"/>
    <n v="4058.1840000000002"/>
    <n v="698.16997536000008"/>
    <n v="0.17204"/>
    <m/>
    <x v="3"/>
    <m/>
    <m/>
    <n v="4.6568905659996496"/>
    <x v="4"/>
  </r>
  <r>
    <s v="北京朝批中得商贸有限公司2660-00"/>
    <s v="短期促销返利"/>
    <x v="9"/>
    <s v="2660-00"/>
    <s v="266000舒洁湿厕纸80片"/>
    <n v="24"/>
    <n v="24"/>
    <n v="326.88"/>
    <n v="13.62"/>
    <n v="305.63280000000003"/>
    <n v="333.622651824"/>
    <n v="63.547171775999999"/>
    <n v="270.07548004800003"/>
    <n v="0.184"/>
    <n v="11.253145002000002"/>
    <d v="2025-03-01T00:00:00"/>
    <d v="2025-04-30T00:00:00"/>
    <n v="653.76"/>
    <n v="112.47287040000001"/>
    <n v="0.17204"/>
    <m/>
    <x v="3"/>
    <m/>
    <m/>
    <n v="11.253145002000002"/>
    <x v="4"/>
  </r>
  <r>
    <s v="北京朝批中得商贸有限公司2103-90"/>
    <s v="短期促销返利"/>
    <x v="9"/>
    <s v="2103-90"/>
    <s v="210390舒洁小熊印花抽纸3层80抽4包FSC mix70%"/>
    <n v="24"/>
    <n v="96"/>
    <n v="287.22000000000003"/>
    <n v="11.967500000000001"/>
    <n v="268.55070000000006"/>
    <n v="293.14457310600005"/>
    <n v="55.837061544000008"/>
    <n v="237.30751156200006"/>
    <n v="0.184"/>
    <n v="2.4719532454375006"/>
    <d v="2025-03-01T00:00:00"/>
    <d v="2025-04-30T00:00:00"/>
    <n v="1795.1442999999999"/>
    <n v="308.83662537200001"/>
    <n v="0.17204000000000003"/>
    <m/>
    <x v="3"/>
    <n v="0.05"/>
    <n v="0.23399999999999999"/>
    <n v="2.31"/>
    <x v="4"/>
  </r>
  <r>
    <s v="北京朝批中得商贸有限公司2701-90"/>
    <s v="短期促销返利"/>
    <x v="9"/>
    <s v="2701-90"/>
    <s v="270190舒洁小熊印花手帕纸3层10包FSC mix70%"/>
    <n v="36"/>
    <n v="360"/>
    <n v="208.46834000000001"/>
    <n v="5.7907872222222228"/>
    <n v="194.91789790000001"/>
    <n v="212.768478989682"/>
    <n v="40.527329331367994"/>
    <n v="172.24114965831399"/>
    <n v="0.184"/>
    <n v="0.47844763793976108"/>
    <d v="2025-03-01T00:00:00"/>
    <d v="2025-04-30T00:00:00"/>
    <n v="1598.1179"/>
    <n v="274.940203516"/>
    <n v="0.17204"/>
    <m/>
    <x v="3"/>
    <m/>
    <m/>
    <n v="0.47844763793976108"/>
    <x v="4"/>
  </r>
  <r>
    <s v="北京卓腾商贸有限公司2694-30"/>
    <s v="短期促销返利"/>
    <x v="15"/>
    <s v="2694-30"/>
    <s v="269430舒洁湿厕纸家庭装40抽"/>
    <n v="40"/>
    <n v="40"/>
    <n v="367.52197000000001"/>
    <n v="9.1880492500000006"/>
    <n v="343.63304195000001"/>
    <n v="375.10295593178091"/>
    <n v="21.3567935571925"/>
    <n v="353.74616237458844"/>
    <n v="5.5E-2"/>
    <n v="8.8436540593647113"/>
    <d v="2025-04-01T00:00:00"/>
    <d v="2025-04-24T00:00:00"/>
    <n v="110256.591"/>
    <n v="5669.9451921750006"/>
    <n v="5.1425000000000005E-2"/>
    <s v="王金邦"/>
    <x v="3"/>
    <m/>
    <m/>
    <n v="8.8436540593647113"/>
    <x v="3"/>
  </r>
  <r>
    <s v="北京朝批中得商贸有限公司2103-90"/>
    <s v="短期促销返利"/>
    <x v="9"/>
    <s v="2103-90"/>
    <s v="210390舒洁小熊印花抽纸3层80抽4包FSC mix70%"/>
    <n v="24"/>
    <n v="96"/>
    <n v="287.22000000000003"/>
    <n v="11.967500000000001"/>
    <n v="268.55070000000006"/>
    <n v="293.14457310600005"/>
    <n v="64.911720000000003"/>
    <n v="228.23285310600005"/>
    <n v="0.21390374331550802"/>
    <n v="2.3774255531875004"/>
    <d v="2025-03-01T00:00:00"/>
    <d v="2025-04-30T00:00:00"/>
    <n v="239.54400000000001"/>
    <n v="47.908800000000006"/>
    <n v="0.2"/>
    <m/>
    <x v="3"/>
    <m/>
    <m/>
    <m/>
    <x v="4"/>
  </r>
  <r>
    <s v="北京朝批中得商贸有限公司2107-61"/>
    <s v="短期促销返利"/>
    <x v="9"/>
    <s v="2107-61"/>
    <s v="210761舒洁卡通系列抽纸200抽3包 FSC mix70%"/>
    <n v="20"/>
    <n v="60"/>
    <n v="338.18198999999998"/>
    <n v="16.9090995"/>
    <n v="316.20016064999999"/>
    <n v="345.15777136232697"/>
    <n v="76.429129739999993"/>
    <n v="268.72864162232696"/>
    <n v="0.21390374331550802"/>
    <n v="4.4788106937054497"/>
    <d v="2025-03-01T00:00:00"/>
    <d v="2025-04-30T00:00:00"/>
    <n v="338.18200000000002"/>
    <n v="67.636400000000009"/>
    <n v="0.2"/>
    <m/>
    <x v="3"/>
    <m/>
    <m/>
    <m/>
    <x v="4"/>
  </r>
  <r>
    <s v="北京朝批中得商贸有限公司2312-16"/>
    <s v="短期促销返利"/>
    <x v="9"/>
    <s v="2312-16"/>
    <s v="231216 舒洁马蹄莲盒面纸200抽3盒 FSC mix70%"/>
    <n v="10"/>
    <n v="30"/>
    <n v="243.21306999999999"/>
    <n v="24.321306999999997"/>
    <n v="227.40422045"/>
    <n v="248.22989895881099"/>
    <n v="54.966153819999988"/>
    <n v="193.263745138811"/>
    <n v="0.21390374331550802"/>
    <n v="6.4421248379603666"/>
    <d v="2025-03-01T00:00:00"/>
    <d v="2025-04-30T00:00:00"/>
    <n v="364.81950000000001"/>
    <n v="72.963899999999995"/>
    <n v="0.19999999999999998"/>
    <m/>
    <x v="3"/>
    <m/>
    <m/>
    <m/>
    <x v="4"/>
  </r>
  <r>
    <s v="北京朝批中得商贸有限公司2216-35"/>
    <s v="短期促销返利"/>
    <x v="9"/>
    <s v="2216-35"/>
    <s v="221635舒洁卷纸3层纯白10粒（蓝色）"/>
    <n v="10"/>
    <n v="100"/>
    <n v="240.89676"/>
    <n v="24.089676000000001"/>
    <n v="225.2384706"/>
    <n v="245.86580973754795"/>
    <n v="54.442667759999999"/>
    <n v="191.42314197754794"/>
    <n v="0.21390374331550802"/>
    <n v="1.9142314197754795"/>
    <d v="2025-03-01T00:00:00"/>
    <d v="2025-04-30T00:00:00"/>
    <n v="120.44840000000001"/>
    <n v="24.089680000000001"/>
    <n v="0.2"/>
    <m/>
    <x v="3"/>
    <m/>
    <m/>
    <m/>
    <x v="4"/>
  </r>
  <r>
    <s v="北京朝批中得商贸有限公司2701-90"/>
    <s v="短期促销返利"/>
    <x v="9"/>
    <s v="2701-90"/>
    <s v="270190舒洁小熊印花手帕纸3层10包FSC mix70%"/>
    <n v="36"/>
    <n v="360"/>
    <n v="208.46834000000001"/>
    <n v="5.7907872222222228"/>
    <n v="194.91789790000001"/>
    <n v="212.768478989682"/>
    <n v="47.113844839999999"/>
    <n v="165.65463414968201"/>
    <n v="0.21390374331550802"/>
    <n v="0.46015176152689446"/>
    <d v="2025-03-01T00:00:00"/>
    <d v="2025-04-30T00:00:00"/>
    <n v="231.81649999999999"/>
    <n v="46.363300000000002"/>
    <n v="0.2"/>
    <m/>
    <x v="3"/>
    <m/>
    <m/>
    <m/>
    <x v="4"/>
  </r>
  <r>
    <s v="北京朝批中得商贸有限公司2694-30"/>
    <s v="短期促销返利"/>
    <x v="9"/>
    <s v="2694-30"/>
    <s v="269430舒洁湿厕纸家庭装40抽"/>
    <n v="40"/>
    <n v="40"/>
    <n v="367.52197000000001"/>
    <n v="9.1880492500000006"/>
    <n v="343.63304195000001"/>
    <n v="375.10295593178091"/>
    <n v="83.059965219999995"/>
    <n v="292.04299071178093"/>
    <n v="0.21390374331550802"/>
    <n v="7.3010747677945229"/>
    <d v="2025-03-01T00:00:00"/>
    <d v="2025-04-30T00:00:00"/>
    <n v="275.64150000000001"/>
    <n v="55.128300000000003"/>
    <n v="0.2"/>
    <m/>
    <x v="3"/>
    <m/>
    <m/>
    <m/>
    <x v="4"/>
  </r>
  <r>
    <s v="北京朝批中得商贸有限公司2613-00"/>
    <s v="短期促销返利"/>
    <x v="9"/>
    <s v="2613-00"/>
    <s v="261300舒洁无香湿巾单包装"/>
    <n v="30"/>
    <n v="30"/>
    <n v="91.362830000000002"/>
    <n v="3.0454276666666669"/>
    <n v="85.424246050000008"/>
    <n v="93.247398503258992"/>
    <n v="20.64799958"/>
    <n v="72.599398923258988"/>
    <n v="0.21390374331550802"/>
    <n v="2.419979964108633"/>
    <d v="2025-03-01T00:00:00"/>
    <d v="2025-04-30T00:00:00"/>
    <n v="91.36269999999999"/>
    <n v="18.272539999999999"/>
    <n v="0.2"/>
    <m/>
    <x v="3"/>
    <m/>
    <m/>
    <m/>
    <x v="4"/>
  </r>
  <r>
    <s v="上海文鑫网络科技有限公司2694-40"/>
    <s v="短期促销返利"/>
    <x v="3"/>
    <s v="2694-40"/>
    <s v="269440舒洁湿厕纸家庭装40抽10包装"/>
    <n v="4"/>
    <n v="40"/>
    <n v="330.25036"/>
    <n v="82.56259"/>
    <n v="308.78408660000002"/>
    <n v="337.06253325082798"/>
    <n v="24.424821250060003"/>
    <n v="312.63771200076798"/>
    <n v="7.0000000000000007E-2"/>
    <n v="7.8159428000191991"/>
    <d v="2025-05-01T00:00:00"/>
    <d v="2025-05-31T00:00:00"/>
    <n v="100000"/>
    <n v="6545.0000000000009"/>
    <n v="6.5450000000000008E-2"/>
    <m/>
    <x v="2"/>
    <n v="0.4017"/>
    <n v="0.47170000000000001"/>
    <n v="4.3118532656802344"/>
    <x v="5"/>
  </r>
  <r>
    <s v="上海文鑫网络科技有限公司2312-16"/>
    <s v="短期促销返利"/>
    <x v="3"/>
    <s v="2312-16"/>
    <s v="231216 舒洁马蹄莲盒面纸200抽3盒 FSC mix70%"/>
    <n v="10"/>
    <n v="30"/>
    <n v="243.21306999999999"/>
    <n v="24.321306999999997"/>
    <n v="227.40422045"/>
    <n v="248.22989895881099"/>
    <n v="10.278670764339999"/>
    <n v="237.95122819447099"/>
    <n v="0.04"/>
    <n v="7.9317076064823659"/>
    <d v="2025-05-01T00:00:00"/>
    <d v="2025-05-31T00:00:00"/>
    <n v="53475.935828877002"/>
    <n v="2000"/>
    <n v="3.7400000000000003E-2"/>
    <m/>
    <x v="2"/>
    <n v="0.16"/>
    <n v="0.2"/>
    <n v="6.5612181712370328"/>
    <x v="5"/>
  </r>
  <r>
    <s v="北京泰和嘉华商贸有限公司2670-30"/>
    <s v="短期促销返利"/>
    <x v="7"/>
    <s v="2670-30"/>
    <s v="267030舒洁湿厕纸旅行装10包装"/>
    <n v="4"/>
    <n v="40"/>
    <n v="151.33257"/>
    <n v="37.833142500000001"/>
    <n v="141.49595295"/>
    <n v="154.45415232116099"/>
    <n v="55.96164939172499"/>
    <n v="98.492502929436"/>
    <n v="0.35"/>
    <n v="2.4623125732358999"/>
    <d v="2025-04-25T00:00:00"/>
    <d v="2025-05-26T00:00:00"/>
    <n v="3026.6600000000003"/>
    <n v="990.47448500000019"/>
    <n v="0.32725000000000004"/>
    <s v="王金邦"/>
    <x v="3"/>
    <m/>
    <m/>
    <m/>
    <x v="6"/>
  </r>
  <r>
    <s v="成都东森润园商贸有限公司2701-90"/>
    <s v="短期促销返利"/>
    <x v="16"/>
    <s v="2701-90"/>
    <s v="270190舒洁小熊印花手帕纸3层10包FSC mix70%"/>
    <n v="36"/>
    <n v="360"/>
    <n v="208.46834000000001"/>
    <n v="5.7907872222222228"/>
    <n v="194.91789790000001"/>
    <n v="212.768478989682"/>
    <n v="6.6077167388099998"/>
    <n v="206.16076225087198"/>
    <n v="0.03"/>
    <n v="0.57266878403019994"/>
    <d v="2025-04-01T00:00:00"/>
    <d v="2025-04-30T00:00:00"/>
    <n v="2084.6799999999998"/>
    <n v="58.475273999999992"/>
    <n v="2.8049999999999999E-2"/>
    <s v="曲盛涛"/>
    <x v="2"/>
    <m/>
    <m/>
    <m/>
    <x v="3"/>
  </r>
  <r>
    <s v="成都东森润园商贸有限公司2613-00"/>
    <s v="短期促销返利"/>
    <x v="16"/>
    <s v="2613-00"/>
    <s v="261300舒洁无香湿巾单包装"/>
    <n v="30"/>
    <n v="30"/>
    <n v="91.362830000000002"/>
    <n v="3.0454276666666669"/>
    <n v="85.424246050000008"/>
    <n v="93.247398503258992"/>
    <n v="28.958819410949999"/>
    <n v="64.288579092308993"/>
    <n v="0.3"/>
    <n v="2.1429526364102998"/>
    <d v="2025-04-01T00:00:00"/>
    <d v="2025-04-30T00:00:00"/>
    <n v="913.63"/>
    <n v="256.27321499999999"/>
    <n v="0.28049999999999997"/>
    <s v="曲盛涛"/>
    <x v="2"/>
    <m/>
    <m/>
    <m/>
    <x v="3"/>
  </r>
  <r>
    <s v="成都东森润园商贸有限公司2152-04"/>
    <s v="短期促销返利"/>
    <x v="16"/>
    <s v="2152-04"/>
    <s v="215204舒洁鎏金系列乳霜纸巾40抽8包"/>
    <n v="4"/>
    <n v="32"/>
    <n v="105.79"/>
    <n v="26.447500000000002"/>
    <n v="98.913650000000018"/>
    <n v="107.97216206700001"/>
    <n v="33.531727350000004"/>
    <n v="74.440434717000016"/>
    <n v="0.3"/>
    <n v="2.3262635849062505"/>
    <d v="2025-04-01T00:00:00"/>
    <d v="2025-04-30T00:00:00"/>
    <n v="3173.64"/>
    <n v="890.20601999999997"/>
    <n v="0.28050000000000003"/>
    <s v="曲盛涛"/>
    <x v="2"/>
    <m/>
    <m/>
    <m/>
    <x v="3"/>
  </r>
  <r>
    <s v="上海文鑫网络科技有限公司2701-90"/>
    <s v="短期促销返利"/>
    <x v="3"/>
    <s v="2701-90"/>
    <s v="270190舒洁小熊印花手帕纸3层10包FSC mix70%"/>
    <n v="36"/>
    <n v="360"/>
    <n v="208.46834000000001"/>
    <n v="5.7907872222222228"/>
    <n v="194.91789790000001"/>
    <n v="212.768478989682"/>
    <n v="7.9292600865719987"/>
    <n v="204.83921890311001"/>
    <n v="3.5999999999999997E-2"/>
    <n v="0.56899783028641671"/>
    <d v="2025-05-01T00:00:00"/>
    <d v="2025-05-31T00:00:00"/>
    <n v="0"/>
    <n v="0"/>
    <e v="#DIV/0!"/>
    <m/>
    <x v="2"/>
    <n v="0.21299999999999994"/>
    <n v="0.24899999999999994"/>
    <n v="0.43867897238210829"/>
    <x v="5"/>
  </r>
  <r>
    <s v="上海文鑫网络科技有限公司2103-90"/>
    <s v="短期促销返利"/>
    <x v="3"/>
    <s v="2103-90"/>
    <s v="210390舒洁小熊印花抽纸3层80抽4包FSC mix70%"/>
    <n v="24"/>
    <n v="96"/>
    <n v="287.22000000000003"/>
    <n v="11.967500000000001"/>
    <n v="268.55070000000006"/>
    <n v="293.14457310600005"/>
    <n v="15.476576841000002"/>
    <n v="277.66799626500006"/>
    <n v="5.0999999999999997E-2"/>
    <n v="2.8923749610937506"/>
    <d v="2025-05-01T00:00:00"/>
    <d v="2025-05-31T00:00:00"/>
    <n v="78411.89"/>
    <n v="3739.0709746499997"/>
    <n v="4.7684999999999998E-2"/>
    <m/>
    <x v="2"/>
    <n v="0.2"/>
    <n v="0.251"/>
    <n v="2.2601618548437501"/>
    <x v="5"/>
  </r>
  <r>
    <s v="上海文鑫网络科技有限公司2107-61"/>
    <s v="短期促销返利"/>
    <x v="3"/>
    <s v="2107-61"/>
    <s v="210761舒洁卡通系列抽纸200抽3包 FSC mix70%"/>
    <n v="20"/>
    <n v="60"/>
    <n v="338.18198999999998"/>
    <n v="16.9090995"/>
    <n v="316.20016064999999"/>
    <n v="345.15777136232697"/>
    <n v="23.939514162811498"/>
    <n v="321.21825719951545"/>
    <n v="6.7000000000000004E-2"/>
    <n v="5.3536376199919244"/>
    <d v="2025-05-01T00:00:00"/>
    <d v="2025-05-31T00:00:00"/>
    <n v="162327.35999999999"/>
    <n v="10168.997467200001"/>
    <n v="6.2645000000000006E-2"/>
    <m/>
    <x v="2"/>
    <n v="0.21299999999999999"/>
    <n v="0.28000000000000003"/>
    <n v="4.0852006755444501"/>
    <x v="5"/>
  </r>
  <r>
    <s v="上海文鑫网络科技有限公司2291-60"/>
    <s v="短期促销返利"/>
    <x v="3"/>
    <s v="2291-60"/>
    <s v="229160舒洁绿茶洋甘菊印花清香卷纸10粒"/>
    <n v="5"/>
    <n v="50"/>
    <n v="153.64888999999999"/>
    <n v="30.729778"/>
    <n v="143.66171215"/>
    <n v="156.81825174869698"/>
    <n v="16.720786677138499"/>
    <n v="140.09746507155847"/>
    <n v="0.10299999999999999"/>
    <n v="2.8019493014311694"/>
    <d v="2025-05-01T00:00:00"/>
    <d v="2025-05-31T00:00:00"/>
    <n v="49167.65"/>
    <n v="4735.0905332499997"/>
    <n v="9.6304999999999988E-2"/>
    <m/>
    <x v="2"/>
    <n v="0.19199999999999987"/>
    <n v="0.29499999999999987"/>
    <n v="2.1785724000698901"/>
    <x v="5"/>
  </r>
  <r>
    <s v="上海文鑫网络科技有限公司2216-35"/>
    <s v="短期促销返利"/>
    <x v="3"/>
    <s v="2216-35"/>
    <s v="221635舒洁卷纸3层纯白10粒（蓝色）"/>
    <n v="10"/>
    <n v="100"/>
    <n v="240.89676"/>
    <n v="24.089676000000001"/>
    <n v="225.2384706"/>
    <n v="245.86580973754795"/>
    <n v="24.179349818909998"/>
    <n v="221.68645991863795"/>
    <n v="9.5000000000000001E-2"/>
    <n v="2.2168645991863793"/>
    <d v="2025-05-01T00:00:00"/>
    <d v="2025-05-31T00:00:00"/>
    <n v="85277.46"/>
    <n v="7574.7703845000015"/>
    <n v="8.8825000000000015E-2"/>
    <m/>
    <x v="2"/>
    <n v="0.192"/>
    <n v="0.28700000000000003"/>
    <n v="1.7281872133726199"/>
    <x v="5"/>
  </r>
  <r>
    <s v="上海文鑫网络科技有限公司2613-00"/>
    <s v="短期促销返利"/>
    <x v="3"/>
    <s v="2613-00"/>
    <s v="261300舒洁无香湿巾单包装"/>
    <n v="30"/>
    <n v="30"/>
    <n v="91.362830000000002"/>
    <n v="3.0454276666666669"/>
    <n v="85.424246050000008"/>
    <n v="93.247398503258992"/>
    <n v="2.7993525430584998"/>
    <n v="90.448045960200488"/>
    <n v="2.9000000000000001E-2"/>
    <n v="3.0149348653400163"/>
    <d v="2025-05-01T00:00:00"/>
    <d v="2025-05-31T00:00:00"/>
    <n v="45498.68"/>
    <n v="1233.6967082000001"/>
    <n v="2.7115000000000004E-2"/>
    <m/>
    <x v="2"/>
    <n v="0.44"/>
    <n v="0.46900000000000003"/>
    <n v="1.5991703608046832"/>
    <x v="5"/>
  </r>
  <r>
    <s v="新疆八点半供应链管理有限公司2670-30"/>
    <s v="短期促销返利"/>
    <x v="17"/>
    <s v="2670-30"/>
    <s v="267030舒洁湿厕纸旅行装10包装"/>
    <n v="4"/>
    <n v="40"/>
    <n v="151.33257"/>
    <n v="37.833142500000001"/>
    <n v="141.49595295"/>
    <n v="154.45415232116099"/>
    <n v="0"/>
    <n v="154.45415232116099"/>
    <m/>
    <n v="3.8613538080290248"/>
    <d v="2025-02-01T00:00:00"/>
    <d v="2025-02-28T00:00:00"/>
    <n v="28850"/>
    <n v="20143.000000000004"/>
    <n v="0.69819757365684587"/>
    <m/>
    <x v="3"/>
    <m/>
    <m/>
    <m/>
    <x v="7"/>
  </r>
  <r>
    <s v="北京泰和嘉华商贸有限公司2694-30"/>
    <s v="31665245"/>
    <x v="7"/>
    <s v="2694-30"/>
    <s v="269430舒洁湿厕纸家庭装40抽"/>
    <n v="40"/>
    <n v="40"/>
    <n v="367.52197000000001"/>
    <n v="9.1880492500000006"/>
    <n v="343.63304195000001"/>
    <n v="375.10295593178091"/>
    <n v="25.628152268631002"/>
    <n v="349.47480366314988"/>
    <n v="6.6000000000000003E-2"/>
    <n v="8.7368700915787478"/>
    <d v="2025-04-01T00:00:00"/>
    <d v="2025-04-30T00:00:00"/>
    <n v="73504.394"/>
    <n v="4535.9561537400004"/>
    <n v="6.1710000000000008E-2"/>
    <s v="王金邦"/>
    <x v="3"/>
    <n v="0.45"/>
    <n v="0.51600000000000001"/>
    <n v="4.3684350457893739"/>
    <x v="6"/>
  </r>
  <r>
    <s v="北京宝诚恒信商贸有限公司2694-30"/>
    <s v="31653280"/>
    <x v="18"/>
    <s v="2694-30"/>
    <s v="269430舒洁湿厕纸家庭装40抽"/>
    <n v="40"/>
    <n v="40"/>
    <n v="367.52197000000001"/>
    <n v="9.1880492500000006"/>
    <n v="343.63304195000001"/>
    <n v="375.10295593178091"/>
    <n v="20.5801828823855"/>
    <n v="354.52277304939543"/>
    <n v="5.2999999999999999E-2"/>
    <n v="8.8630693262348856"/>
    <d v="2025-06-29T00:00:00"/>
    <d v="2025-06-30T00:00:00"/>
    <n v="73504.394"/>
    <n v="3642.5102446699998"/>
    <n v="4.9554999999999995E-2"/>
    <s v="王金邦"/>
    <x v="3"/>
    <n v="0.45"/>
    <n v="0.503"/>
    <n v="4.4946342804455108"/>
    <x v="3"/>
  </r>
  <r>
    <s v="新疆八点半供应链管理有限公司2660-00"/>
    <s v="31673168"/>
    <x v="17"/>
    <s v="2660-00"/>
    <s v="266000舒洁湿厕纸80片"/>
    <n v="24"/>
    <n v="24"/>
    <n v="326.88"/>
    <n v="13.62"/>
    <n v="305.63280000000003"/>
    <n v="333.622651824"/>
    <n v="9.9119773367999997"/>
    <n v="323.71067448719998"/>
    <n v="2.87E-2"/>
    <n v="13.487944770299999"/>
    <d v="2025-06-01T00:00:00"/>
    <d v="2025-06-30T00:00:00"/>
    <n v="163440"/>
    <n v="4385.83068"/>
    <n v="2.6834500000000001E-2"/>
    <s v="王金邦"/>
    <x v="3"/>
    <m/>
    <n v="2.87E-2"/>
    <m/>
    <x v="6"/>
  </r>
  <r>
    <s v="伊犁紫金花商贸有限责任公司2694-30"/>
    <s v="31662112"/>
    <x v="19"/>
    <s v="2694-30"/>
    <s v="269430舒洁湿厕纸家庭装40抽"/>
    <n v="40"/>
    <n v="40"/>
    <n v="367.52197000000001"/>
    <n v="9.1880492500000006"/>
    <n v="343.63304195000001"/>
    <n v="375.10295593178091"/>
    <n v="174.73740183157497"/>
    <n v="200.36555410020594"/>
    <n v="0.45"/>
    <n v="5.0091388525051483"/>
    <d v="2025-06-01T00:00:00"/>
    <d v="2025-06-30T00:00:00"/>
    <n v="7350.4394000000002"/>
    <n v="3092.6973775500005"/>
    <n v="0.42075000000000007"/>
    <s v="王金邦"/>
    <x v="3"/>
    <m/>
    <n v="0.45"/>
    <n v="5.0091388525051483"/>
    <x v="3"/>
  </r>
  <r>
    <s v="青岛荣利鑫商贸有限公司2107-61"/>
    <s v="31651585"/>
    <x v="20"/>
    <s v="2107-61"/>
    <s v="210761舒洁卡通系列抽纸200抽3包 FSC mix70%"/>
    <n v="20"/>
    <n v="60"/>
    <n v="338.18198999999998"/>
    <n v="16.9090995"/>
    <n v="316.20016064999999"/>
    <n v="345.15777136232697"/>
    <n v="28.584494522759996"/>
    <n v="316.57327683956697"/>
    <n v="0.08"/>
    <n v="5.27622128065945"/>
    <d v="2025-06-01T00:00:00"/>
    <d v="2025-06-30T00:00:00"/>
    <n v="4396.3658699999996"/>
    <n v="328.84816707599998"/>
    <n v="7.4800000000000005E-2"/>
    <s v="王金邦"/>
    <x v="3"/>
    <m/>
    <n v="0.08"/>
    <n v="5.27622128065945"/>
    <x v="3"/>
  </r>
  <r>
    <s v="沈阳和盛祥供应链管理有限公司2162-08"/>
    <s v="31672939"/>
    <x v="21"/>
    <s v="2162-08"/>
    <s v="216208舒洁®北海道牛乳系列乳霜纸面巾20抽8包装"/>
    <n v="4"/>
    <n v="32"/>
    <n v="100.5"/>
    <n v="25.125"/>
    <n v="93.967500000000001"/>
    <n v="102.57304364999999"/>
    <n v="15.927491249999997"/>
    <n v="86.645552399999985"/>
    <n v="0.15"/>
    <n v="2.7076735124999995"/>
    <d v="2025-05-01T00:00:00"/>
    <d v="2025-05-30T00:00:00"/>
    <n v="2010"/>
    <n v="281.90250000000003"/>
    <n v="0.14025000000000001"/>
    <s v="王金邦"/>
    <x v="3"/>
    <m/>
    <n v="0.15"/>
    <n v="2.7076735124999995"/>
    <x v="3"/>
  </r>
  <r>
    <s v="沈阳和盛祥供应链管理有限公司2694-30"/>
    <s v="31672939"/>
    <x v="21"/>
    <s v="2694-30"/>
    <s v="269430舒洁湿厕纸家庭装40抽"/>
    <n v="40"/>
    <n v="40"/>
    <n v="367.52197000000001"/>
    <n v="9.1880492500000006"/>
    <n v="343.63304195000001"/>
    <n v="375.10295593178091"/>
    <n v="174.73740183157497"/>
    <n v="200.36555410020594"/>
    <n v="0.45"/>
    <n v="5.0091388525051483"/>
    <d v="2025-05-01T00:00:00"/>
    <d v="2025-05-30T00:00:00"/>
    <n v="5512.8295500000004"/>
    <n v="2319.5230331625003"/>
    <n v="0.42075000000000001"/>
    <s v="王金邦"/>
    <x v="3"/>
    <m/>
    <n v="0.45"/>
    <n v="1.7281872133726193"/>
    <x v="3"/>
  </r>
  <r>
    <s v="济南华天新光商贸有限公司2660-00"/>
    <s v="31663380"/>
    <x v="22"/>
    <s v="2660-00"/>
    <s v="266000舒洁湿厕纸80片 "/>
    <n v="24"/>
    <n v="24"/>
    <n v="326.88"/>
    <n v="13.62"/>
    <n v="305.63280000000003"/>
    <n v="333.622651824"/>
    <n v="90.399996232128004"/>
    <n v="243.22265559187201"/>
    <n v="0.26175199999999998"/>
    <n v="10.134277316328001"/>
    <d v="2025-01-01T00:00:00"/>
    <d v="2025-06-30T00:00:00"/>
    <n v="24516"/>
    <n v="5999.9997499200008"/>
    <n v="0.24473812000000003"/>
    <s v="王金邦"/>
    <x v="3"/>
    <m/>
    <n v="0.26175199999999998"/>
    <m/>
    <x v="6"/>
  </r>
  <r>
    <s v="常州领淘商贸有限公司2664-10"/>
    <s v="短期促销返利"/>
    <x v="23"/>
    <s v="2664-10"/>
    <s v="266410舒洁湿厕纸80片x8包(黄箱)"/>
    <n v="1"/>
    <n v="8"/>
    <n v="92.6"/>
    <n v="92.6"/>
    <n v="86.581000000000003"/>
    <n v="94.510087979999994"/>
    <n v="39.827342529333322"/>
    <n v="54.682745450666673"/>
    <n v="0.40708048956083509"/>
    <n v="6.8353431813333341"/>
    <d v="2025-07-01T00:00:00"/>
    <d v="2025-07-31T00:00:00"/>
    <n v="54078.400000000001"/>
    <n v="20583.334546133334"/>
    <n v="0.38062025773938085"/>
    <s v="王金邦"/>
    <x v="3"/>
    <m/>
    <n v="0.40708048956083509"/>
    <m/>
    <x v="3"/>
  </r>
  <r>
    <s v="浙江省宁波三江2660-00"/>
    <s v="31651408"/>
    <x v="24"/>
    <s v="2660-00"/>
    <s v="266000舒洁湿厕纸80片 "/>
    <n v="24"/>
    <n v="24"/>
    <n v="326.88"/>
    <m/>
    <m/>
    <m/>
    <m/>
    <m/>
    <m/>
    <m/>
    <d v="2024-12-26T00:00:00"/>
    <d v="2025-05-28T00:00:00"/>
    <m/>
    <n v="8707"/>
    <n v="0.125"/>
    <s v="曲盛涛"/>
    <x v="2"/>
    <m/>
    <m/>
    <m/>
    <x v="3"/>
  </r>
  <r>
    <s v="浙江省宁波三江2694-40"/>
    <s v="31651408"/>
    <x v="24"/>
    <s v="2694-40"/>
    <s v="269440舒洁湿厕纸家庭装40抽10包装"/>
    <n v="4"/>
    <n v="40"/>
    <n v="330.25036"/>
    <m/>
    <m/>
    <m/>
    <m/>
    <m/>
    <m/>
    <m/>
    <d v="2025-03-27T00:00:00"/>
    <d v="2025-04-30T00:00:00"/>
    <m/>
    <n v="2593"/>
    <n v="0.125"/>
    <s v="曲盛涛"/>
    <x v="2"/>
    <m/>
    <m/>
    <m/>
    <x v="3"/>
  </r>
  <r>
    <m/>
    <m/>
    <x v="0"/>
    <m/>
    <m/>
    <m/>
    <m/>
    <m/>
    <m/>
    <m/>
    <m/>
    <m/>
    <m/>
    <m/>
    <m/>
    <m/>
    <m/>
    <m/>
    <m/>
    <m/>
    <m/>
    <x v="0"/>
    <m/>
    <m/>
    <m/>
    <x v="0"/>
  </r>
  <r>
    <m/>
    <m/>
    <x v="0"/>
    <m/>
    <m/>
    <m/>
    <m/>
    <m/>
    <m/>
    <m/>
    <m/>
    <m/>
    <m/>
    <m/>
    <m/>
    <m/>
    <m/>
    <m/>
    <n v="359449.1305611108"/>
    <m/>
    <m/>
    <x v="0"/>
    <m/>
    <m/>
    <m/>
    <x v="0"/>
  </r>
  <r>
    <m/>
    <m/>
    <x v="0"/>
    <m/>
    <m/>
    <m/>
    <m/>
    <m/>
    <m/>
    <m/>
    <m/>
    <m/>
    <m/>
    <m/>
    <m/>
    <m/>
    <m/>
    <m/>
    <n v="58342.992909000001"/>
    <m/>
    <s v="曲盛涛"/>
    <x v="2"/>
    <m/>
    <m/>
    <m/>
    <x v="0"/>
  </r>
  <r>
    <m/>
    <m/>
    <x v="0"/>
    <m/>
    <m/>
    <m/>
    <m/>
    <m/>
    <m/>
    <m/>
    <m/>
    <m/>
    <m/>
    <m/>
    <m/>
    <m/>
    <m/>
    <m/>
    <n v="52774.007315630341"/>
    <m/>
    <s v="王金邦"/>
    <x v="3"/>
    <m/>
    <m/>
    <m/>
    <x v="0"/>
  </r>
  <r>
    <m/>
    <m/>
    <x v="0"/>
    <m/>
    <m/>
    <m/>
    <m/>
    <m/>
    <m/>
    <m/>
    <m/>
    <m/>
    <m/>
    <m/>
    <m/>
    <m/>
    <m/>
    <m/>
    <m/>
    <m/>
    <m/>
    <x v="0"/>
    <m/>
    <m/>
    <m/>
    <x v="0"/>
  </r>
  <r>
    <m/>
    <m/>
    <x v="0"/>
    <m/>
    <m/>
    <m/>
    <m/>
    <m/>
    <m/>
    <m/>
    <m/>
    <m/>
    <m/>
    <m/>
    <m/>
    <m/>
    <m/>
    <m/>
    <m/>
    <m/>
    <m/>
    <x v="0"/>
    <m/>
    <m/>
    <m/>
    <x v="0"/>
  </r>
  <r>
    <m/>
    <m/>
    <x v="0"/>
    <m/>
    <m/>
    <m/>
    <m/>
    <m/>
    <m/>
    <m/>
    <m/>
    <m/>
    <m/>
    <m/>
    <m/>
    <m/>
    <m/>
    <m/>
    <m/>
    <m/>
    <m/>
    <x v="0"/>
    <m/>
    <m/>
    <m/>
    <x v="0"/>
  </r>
  <r>
    <m/>
    <m/>
    <x v="0"/>
    <m/>
    <m/>
    <m/>
    <m/>
    <m/>
    <m/>
    <m/>
    <m/>
    <m/>
    <m/>
    <m/>
    <m/>
    <m/>
    <m/>
    <m/>
    <m/>
    <m/>
    <m/>
    <x v="0"/>
    <m/>
    <m/>
    <m/>
    <x v="0"/>
  </r>
  <r>
    <m/>
    <m/>
    <x v="0"/>
    <m/>
    <m/>
    <m/>
    <m/>
    <m/>
    <m/>
    <m/>
    <m/>
    <m/>
    <m/>
    <m/>
    <m/>
    <m/>
    <m/>
    <m/>
    <m/>
    <m/>
    <m/>
    <x v="0"/>
    <m/>
    <m/>
    <m/>
    <x v="0"/>
  </r>
  <r>
    <m/>
    <m/>
    <x v="0"/>
    <m/>
    <m/>
    <m/>
    <m/>
    <m/>
    <m/>
    <m/>
    <m/>
    <m/>
    <m/>
    <m/>
    <m/>
    <m/>
    <m/>
    <m/>
    <m/>
    <m/>
    <m/>
    <x v="0"/>
    <m/>
    <m/>
    <m/>
    <x v="0"/>
  </r>
  <r>
    <m/>
    <m/>
    <x v="0"/>
    <m/>
    <m/>
    <m/>
    <m/>
    <m/>
    <m/>
    <m/>
    <m/>
    <m/>
    <m/>
    <m/>
    <m/>
    <m/>
    <m/>
    <m/>
    <m/>
    <m/>
    <m/>
    <x v="0"/>
    <m/>
    <m/>
    <m/>
    <x v="0"/>
  </r>
  <r>
    <m/>
    <m/>
    <x v="0"/>
    <m/>
    <m/>
    <m/>
    <m/>
    <m/>
    <m/>
    <m/>
    <m/>
    <m/>
    <m/>
    <m/>
    <m/>
    <m/>
    <m/>
    <m/>
    <m/>
    <m/>
    <m/>
    <x v="0"/>
    <m/>
    <m/>
    <m/>
    <x v="0"/>
  </r>
  <r>
    <m/>
    <m/>
    <x v="0"/>
    <m/>
    <m/>
    <m/>
    <m/>
    <m/>
    <m/>
    <m/>
    <m/>
    <m/>
    <m/>
    <m/>
    <m/>
    <m/>
    <m/>
    <m/>
    <m/>
    <m/>
    <m/>
    <x v="0"/>
    <m/>
    <m/>
    <m/>
    <x v="0"/>
  </r>
  <r>
    <m/>
    <m/>
    <x v="0"/>
    <m/>
    <m/>
    <m/>
    <m/>
    <m/>
    <m/>
    <m/>
    <m/>
    <m/>
    <m/>
    <m/>
    <m/>
    <m/>
    <m/>
    <m/>
    <m/>
    <m/>
    <m/>
    <x v="0"/>
    <m/>
    <m/>
    <m/>
    <x v="0"/>
  </r>
  <r>
    <m/>
    <m/>
    <x v="0"/>
    <m/>
    <m/>
    <m/>
    <m/>
    <m/>
    <m/>
    <m/>
    <m/>
    <m/>
    <m/>
    <m/>
    <m/>
    <m/>
    <m/>
    <m/>
    <m/>
    <m/>
    <m/>
    <x v="0"/>
    <m/>
    <m/>
    <m/>
    <x v="0"/>
  </r>
  <r>
    <m/>
    <m/>
    <x v="0"/>
    <m/>
    <m/>
    <m/>
    <m/>
    <m/>
    <m/>
    <m/>
    <m/>
    <m/>
    <m/>
    <m/>
    <m/>
    <m/>
    <m/>
    <m/>
    <m/>
    <m/>
    <m/>
    <x v="0"/>
    <m/>
    <m/>
    <m/>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FE995F6-6A43-4FED-9F1F-E5F9C0D745C5}" name="数据透视表7" cacheId="16" applyNumberFormats="0" applyBorderFormats="0" applyFontFormats="0" applyPatternFormats="0" applyAlignmentFormats="0" applyWidthHeightFormats="1" dataCaption="值" updatedVersion="8" minRefreshableVersion="3" useAutoFormatting="1" itemPrintTitles="1" createdVersion="8" indent="0" compact="0" compactData="0" multipleFieldFilters="0">
  <location ref="B3:J29" firstHeaderRow="1" firstDataRow="2" firstDataCol="2"/>
  <pivotFields count="26">
    <pivotField compact="0" outline="0" showAll="0"/>
    <pivotField compact="0" outline="0" showAll="0"/>
    <pivotField axis="axisRow" compact="0" outline="0" showAll="0">
      <items count="27">
        <item x="10"/>
        <item x="9"/>
        <item x="7"/>
        <item x="8"/>
        <item x="6"/>
        <item x="2"/>
        <item x="11"/>
        <item x="3"/>
        <item x="4"/>
        <item x="5"/>
        <item x="12"/>
        <item x="1"/>
        <item x="0"/>
        <item x="13"/>
        <item x="14"/>
        <item x="15"/>
        <item x="16"/>
        <item x="17"/>
        <item x="18"/>
        <item m="1" x="25"/>
        <item x="19"/>
        <item x="20"/>
        <item x="21"/>
        <item x="22"/>
        <item x="23"/>
        <item x="24"/>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axis="axisRow" compact="0" outline="0" showAll="0">
      <items count="5">
        <item n="曲盛涛" x="2"/>
        <item n="王金邦" x="3"/>
        <item x="1"/>
        <item x="0"/>
        <item t="default"/>
      </items>
    </pivotField>
    <pivotField compact="0" outline="0" showAll="0"/>
    <pivotField compact="0" outline="0" showAll="0"/>
    <pivotField compact="0" outline="0" showAll="0"/>
    <pivotField axis="axisCol" compact="0" outline="0" showAll="0">
      <items count="12">
        <item x="2"/>
        <item h="1" x="1"/>
        <item h="1" x="0"/>
        <item x="4"/>
        <item m="1" x="10"/>
        <item x="7"/>
        <item m="1" x="9"/>
        <item m="1" x="8"/>
        <item x="5"/>
        <item x="6"/>
        <item x="3"/>
        <item t="default"/>
      </items>
    </pivotField>
  </pivotFields>
  <rowFields count="2">
    <field x="21"/>
    <field x="2"/>
  </rowFields>
  <rowItems count="25">
    <i>
      <x/>
      <x v="4"/>
    </i>
    <i r="1">
      <x v="7"/>
    </i>
    <i r="1">
      <x v="8"/>
    </i>
    <i r="1">
      <x v="9"/>
    </i>
    <i r="1">
      <x v="16"/>
    </i>
    <i r="1">
      <x v="25"/>
    </i>
    <i t="default">
      <x/>
    </i>
    <i>
      <x v="1"/>
      <x/>
    </i>
    <i r="1">
      <x v="1"/>
    </i>
    <i r="1">
      <x v="2"/>
    </i>
    <i r="1">
      <x v="3"/>
    </i>
    <i r="1">
      <x v="6"/>
    </i>
    <i r="1">
      <x v="10"/>
    </i>
    <i r="1">
      <x v="13"/>
    </i>
    <i r="1">
      <x v="14"/>
    </i>
    <i r="1">
      <x v="15"/>
    </i>
    <i r="1">
      <x v="17"/>
    </i>
    <i r="1">
      <x v="18"/>
    </i>
    <i r="1">
      <x v="20"/>
    </i>
    <i r="1">
      <x v="21"/>
    </i>
    <i r="1">
      <x v="22"/>
    </i>
    <i r="1">
      <x v="23"/>
    </i>
    <i r="1">
      <x v="24"/>
    </i>
    <i t="default">
      <x v="1"/>
    </i>
    <i t="grand">
      <x/>
    </i>
  </rowItems>
  <colFields count="1">
    <field x="25"/>
  </colFields>
  <colItems count="7">
    <i>
      <x/>
    </i>
    <i>
      <x v="3"/>
    </i>
    <i>
      <x v="5"/>
    </i>
    <i>
      <x v="8"/>
    </i>
    <i>
      <x v="9"/>
    </i>
    <i>
      <x v="10"/>
    </i>
    <i t="grand">
      <x/>
    </i>
  </colItems>
  <dataFields count="1">
    <dataField name="求和项:PE-后补" fld="18" baseField="20" baseItem="1" numFmtId="167"/>
  </dataFields>
  <formats count="15">
    <format dxfId="108">
      <pivotArea outline="0" collapsedLevelsAreSubtotals="1" fieldPosition="0"/>
    </format>
    <format dxfId="107">
      <pivotArea dataOnly="0" labelOnly="1" outline="0" axis="axisValues" fieldPosition="0"/>
    </format>
    <format dxfId="106">
      <pivotArea outline="0" fieldPosition="0">
        <references count="3">
          <reference field="2" count="1" selected="0">
            <x v="10"/>
          </reference>
          <reference field="21" count="1" selected="0">
            <x v="1"/>
          </reference>
          <reference field="25" count="1" selected="0">
            <x v="0"/>
          </reference>
        </references>
      </pivotArea>
    </format>
    <format dxfId="105">
      <pivotArea outline="0" fieldPosition="0">
        <references count="3">
          <reference field="2" count="2" selected="0">
            <x v="3"/>
            <x v="6"/>
          </reference>
          <reference field="21" count="1" selected="0">
            <x v="1"/>
          </reference>
          <reference field="25" count="1" selected="0">
            <x v="0"/>
          </reference>
        </references>
      </pivotArea>
    </format>
    <format dxfId="104">
      <pivotArea dataOnly="0" labelOnly="1" outline="0" fieldPosition="0">
        <references count="1">
          <reference field="25" count="0"/>
        </references>
      </pivotArea>
    </format>
    <format dxfId="103">
      <pivotArea dataOnly="0" labelOnly="1" grandCol="1" outline="0" fieldPosition="0"/>
    </format>
    <format dxfId="102">
      <pivotArea outline="0" fieldPosition="0">
        <references count="3">
          <reference field="2" count="1" selected="0">
            <x v="10"/>
          </reference>
          <reference field="21" count="1" selected="0">
            <x v="1"/>
          </reference>
          <reference field="25" count="1" selected="0">
            <x v="0"/>
          </reference>
        </references>
      </pivotArea>
    </format>
    <format dxfId="101">
      <pivotArea outline="0" fieldPosition="0">
        <references count="3">
          <reference field="2" count="1" selected="0">
            <x v="10"/>
          </reference>
          <reference field="21" count="1" selected="0">
            <x v="1"/>
          </reference>
          <reference field="25" count="1" selected="0">
            <x v="0"/>
          </reference>
        </references>
      </pivotArea>
    </format>
    <format dxfId="100">
      <pivotArea outline="0" fieldPosition="0">
        <references count="3">
          <reference field="2" count="1" selected="0">
            <x v="17"/>
          </reference>
          <reference field="21" count="1" selected="0">
            <x v="1"/>
          </reference>
          <reference field="25" count="1" selected="0">
            <x v="10"/>
          </reference>
        </references>
      </pivotArea>
    </format>
    <format dxfId="99">
      <pivotArea outline="0" fieldPosition="0">
        <references count="3">
          <reference field="2" count="6" selected="0">
            <x v="4"/>
            <x v="7"/>
            <x v="8"/>
            <x v="9"/>
            <x v="16"/>
            <x v="25"/>
          </reference>
          <reference field="21" count="1" selected="0">
            <x v="0"/>
          </reference>
          <reference field="25" count="1" selected="0">
            <x v="0"/>
          </reference>
        </references>
      </pivotArea>
    </format>
    <format dxfId="98">
      <pivotArea outline="0" fieldPosition="0">
        <references count="3">
          <reference field="2" count="6" selected="0">
            <x v="3"/>
            <x v="6"/>
            <x v="10"/>
            <x v="13"/>
            <x v="14"/>
            <x v="15"/>
          </reference>
          <reference field="21" count="1" selected="0">
            <x v="1"/>
          </reference>
          <reference field="25" count="1" selected="0">
            <x v="0"/>
          </reference>
        </references>
      </pivotArea>
    </format>
    <format dxfId="97">
      <pivotArea outline="0" fieldPosition="0">
        <references count="3">
          <reference field="2" count="7" selected="0">
            <x v="0"/>
            <x v="1"/>
            <x v="2"/>
            <x v="3"/>
            <x v="6"/>
            <x v="10"/>
            <x v="13"/>
          </reference>
          <reference field="21" count="1" selected="0">
            <x v="1"/>
          </reference>
          <reference field="25" count="1" selected="0">
            <x v="3"/>
          </reference>
        </references>
      </pivotArea>
    </format>
    <format dxfId="96">
      <pivotArea outline="0" fieldPosition="0">
        <references count="3">
          <reference field="2" count="4" selected="0">
            <x v="15"/>
            <x v="17"/>
            <x v="18"/>
            <x v="20"/>
          </reference>
          <reference field="21" count="1" selected="0">
            <x v="1"/>
          </reference>
          <reference field="25" count="2" selected="0">
            <x v="5"/>
            <x v="8"/>
          </reference>
        </references>
      </pivotArea>
    </format>
    <format dxfId="95">
      <pivotArea outline="0" fieldPosition="0">
        <references count="3">
          <reference field="2" count="1" selected="0">
            <x v="17"/>
          </reference>
          <reference field="21" count="1" selected="0">
            <x v="1"/>
          </reference>
          <reference field="25" count="1" selected="0">
            <x v="9"/>
          </reference>
        </references>
      </pivotArea>
    </format>
    <format dxfId="94">
      <pivotArea outline="0" fieldPosition="0">
        <references count="3">
          <reference field="2" count="1" selected="0">
            <x v="17"/>
          </reference>
          <reference field="21" count="1" selected="0">
            <x v="1"/>
          </reference>
          <reference field="25" count="1" selected="0">
            <x v="9"/>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57AA1C2-E8BF-4B7D-BFB9-240A02C95100}" name="数据透视表6" cacheId="15" applyNumberFormats="0" applyBorderFormats="0" applyFontFormats="0" applyPatternFormats="0" applyAlignmentFormats="0" applyWidthHeightFormats="1" dataCaption="值" updatedVersion="8" minRefreshableVersion="3" useAutoFormatting="1" itemPrintTitles="1" createdVersion="8" indent="0" compact="0" compactData="0" multipleFieldFilters="0">
  <location ref="B39:F47" firstHeaderRow="1" firstDataRow="2" firstDataCol="2"/>
  <pivotFields count="34">
    <pivotField compact="0" outline="0" showAll="0"/>
    <pivotField compact="0" outline="0" showAll="0"/>
    <pivotField axis="axisRow" compact="0" outline="0" showAll="0">
      <items count="24">
        <item x="10"/>
        <item x="9"/>
        <item x="7"/>
        <item x="8"/>
        <item x="6"/>
        <item x="2"/>
        <item x="11"/>
        <item x="3"/>
        <item x="4"/>
        <item x="5"/>
        <item x="12"/>
        <item x="1"/>
        <item x="0"/>
        <item x="13"/>
        <item x="14"/>
        <item x="15"/>
        <item x="16"/>
        <item x="17"/>
        <item x="18"/>
        <item x="19"/>
        <item x="20"/>
        <item x="21"/>
        <item x="2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5">
        <item n="曲盛涛" x="2"/>
        <item n="王金邦" x="3"/>
        <item x="1"/>
        <item x="0"/>
        <item t="default"/>
      </items>
    </pivotField>
    <pivotField compact="0" outline="0" showAll="0"/>
    <pivotField compact="0" outline="0" showAll="0"/>
    <pivotField compact="0" outline="0" showAll="0"/>
    <pivotField compact="0" outline="0" showAll="0"/>
    <pivotField compact="0" outline="0" showAll="0"/>
    <pivotField axis="axisCol" compact="0" outline="0" showAll="0">
      <items count="5">
        <item x="3"/>
        <item x="2"/>
        <item h="1" x="1"/>
        <item h="1" x="0"/>
        <item t="default"/>
      </items>
    </pivotField>
    <pivotField compact="0" outline="0" showAll="0"/>
    <pivotField compact="0" outline="0" showAll="0"/>
    <pivotField compact="0" outline="0" showAll="0"/>
    <pivotField compact="0" outline="0" showAll="0"/>
    <pivotField dataField="1" compact="0" outline="0" showAll="0"/>
    <pivotField compact="0" outline="0" showAll="0"/>
  </pivotFields>
  <rowFields count="2">
    <field x="21"/>
    <field x="2"/>
  </rowFields>
  <rowItems count="7">
    <i>
      <x/>
      <x v="7"/>
    </i>
    <i t="default">
      <x/>
    </i>
    <i>
      <x v="1"/>
      <x v="1"/>
    </i>
    <i r="1">
      <x v="10"/>
    </i>
    <i r="1">
      <x v="17"/>
    </i>
    <i t="default">
      <x v="1"/>
    </i>
    <i t="grand">
      <x/>
    </i>
  </rowItems>
  <colFields count="1">
    <field x="27"/>
  </colFields>
  <colItems count="3">
    <i>
      <x/>
    </i>
    <i>
      <x v="1"/>
    </i>
    <i t="grand">
      <x/>
    </i>
  </colItems>
  <dataFields count="1">
    <dataField name="求和项:应补偿金额-不含税" fld="32" baseField="2" baseItem="12"/>
  </dataFields>
  <formats count="4">
    <format dxfId="112">
      <pivotArea outline="0" collapsedLevelsAreSubtotals="1" fieldPosition="0"/>
    </format>
    <format dxfId="111">
      <pivotArea dataOnly="0" labelOnly="1" outline="0" axis="axisValues" fieldPosition="0"/>
    </format>
    <format dxfId="110">
      <pivotArea dataOnly="0" labelOnly="1" grandCol="1" outline="0" fieldPosition="0"/>
    </format>
    <format dxfId="109">
      <pivotArea type="origin" dataOnly="0" labelOnly="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6A6585A-95BC-4E54-AF55-9DDDD32BCCA2}" name="数据透视表2" cacheId="14" applyNumberFormats="0" applyBorderFormats="0" applyFontFormats="0" applyPatternFormats="0" applyAlignmentFormats="0" applyWidthHeightFormats="1" dataCaption="值" updatedVersion="8" minRefreshableVersion="3" useAutoFormatting="1" itemPrintTitles="1" createdVersion="8" indent="0" compact="0" compactData="0" multipleFieldFilters="0">
  <location ref="A3:E36" firstHeaderRow="1" firstDataRow="1" firstDataCol="5" rowPageCount="1" colPageCount="1"/>
  <pivotFields count="23">
    <pivotField axis="axisPage" compact="0" outline="0" showAll="0">
      <items count="2">
        <item x="0"/>
        <item t="default"/>
      </items>
    </pivotField>
    <pivotField compact="0" outline="0" showAll="0"/>
    <pivotField axis="axisRow" compact="0" outline="0" showAll="0" defaultSubtotal="0">
      <items count="24">
        <item x="9"/>
        <item x="8"/>
        <item x="2"/>
        <item x="1"/>
        <item x="23"/>
        <item x="22"/>
        <item x="21"/>
        <item x="20"/>
        <item x="19"/>
        <item x="18"/>
        <item x="17"/>
        <item x="16"/>
        <item x="15"/>
        <item x="14"/>
        <item x="13"/>
        <item x="12"/>
        <item x="11"/>
        <item x="10"/>
        <item x="7"/>
        <item x="6"/>
        <item x="5"/>
        <item x="4"/>
        <item x="3"/>
        <item x="0"/>
      </items>
    </pivotField>
    <pivotField axis="axisRow" compact="0" outline="0" showAll="0" defaultSubtotal="0">
      <items count="24">
        <item x="23"/>
        <item x="22"/>
        <item x="21"/>
        <item x="20"/>
        <item x="19"/>
        <item x="18"/>
        <item x="17"/>
        <item x="16"/>
        <item x="15"/>
        <item x="14"/>
        <item x="13"/>
        <item x="12"/>
        <item x="11"/>
        <item x="10"/>
        <item x="9"/>
        <item x="8"/>
        <item x="7"/>
        <item x="6"/>
        <item x="5"/>
        <item x="4"/>
        <item x="3"/>
        <item x="2"/>
        <item x="1"/>
        <item x="0"/>
      </items>
    </pivotField>
    <pivotField compact="0" outline="0" showAll="0"/>
    <pivotField compact="0" outline="0" showAll="0"/>
    <pivotField compact="0" outline="0" showAll="0"/>
    <pivotField compact="0" numFmtId="164" outline="0" showAll="0"/>
    <pivotField compact="0" numFmtId="165" outline="0" showAll="0"/>
    <pivotField compact="0" numFmtId="165" outline="0" showAll="0"/>
    <pivotField compact="0" numFmtId="165" outline="0" showAll="0"/>
    <pivotField compact="0" numFmtId="165" outline="0" showAll="0"/>
    <pivotField axis="axisRow" compact="0" outline="0" showAll="0" defaultSubtotal="0">
      <items count="17">
        <item x="0"/>
        <item x="5"/>
        <item x="12"/>
        <item x="16"/>
        <item x="10"/>
        <item x="4"/>
        <item x="13"/>
        <item x="9"/>
        <item x="8"/>
        <item x="3"/>
        <item x="14"/>
        <item x="7"/>
        <item x="2"/>
        <item x="6"/>
        <item x="15"/>
        <item x="1"/>
        <item x="11"/>
      </items>
    </pivotField>
    <pivotField axis="axisRow" compact="0" numFmtId="2" outline="0" showAll="0">
      <items count="33">
        <item x="0"/>
        <item x="10"/>
        <item x="16"/>
        <item x="6"/>
        <item x="15"/>
        <item x="20"/>
        <item x="31"/>
        <item x="17"/>
        <item x="23"/>
        <item x="14"/>
        <item x="11"/>
        <item x="29"/>
        <item x="21"/>
        <item x="19"/>
        <item x="2"/>
        <item x="3"/>
        <item x="22"/>
        <item x="1"/>
        <item x="26"/>
        <item x="30"/>
        <item x="25"/>
        <item x="13"/>
        <item x="8"/>
        <item x="9"/>
        <item x="27"/>
        <item x="4"/>
        <item x="5"/>
        <item x="24"/>
        <item x="28"/>
        <item x="18"/>
        <item x="12"/>
        <item x="7"/>
        <item t="default"/>
      </items>
    </pivotField>
    <pivotField compact="0" outline="0" showAll="0"/>
    <pivotField compact="0" numFmtId="14" outline="0" showAll="0"/>
    <pivotField compact="0" numFmtId="14" outline="0" showAll="0"/>
    <pivotField compact="0" numFmtId="167" outline="0" showAll="0"/>
    <pivotField compact="0" numFmtId="167" outline="0" showAll="0"/>
    <pivotField compact="0" numFmtId="164" outline="0" showAll="0"/>
    <pivotField compact="0" numFmtId="164" outline="0" showAll="0"/>
    <pivotField compact="0" numFmtId="10" outline="0" showAll="0"/>
    <pivotField axis="axisRow" compact="0" outline="0" showAll="0" defaultSubtotal="0">
      <items count="7">
        <item x="1"/>
        <item x="6"/>
        <item x="4"/>
        <item x="5"/>
        <item x="0"/>
        <item x="3"/>
        <item x="2"/>
      </items>
    </pivotField>
  </pivotFields>
  <rowFields count="5">
    <field x="22"/>
    <field x="2"/>
    <field x="3"/>
    <field x="12"/>
    <field x="13"/>
  </rowFields>
  <rowItems count="33">
    <i>
      <x/>
      <x/>
      <x v="14"/>
      <x v="8"/>
      <x v="23"/>
    </i>
    <i r="3">
      <x v="9"/>
      <x v="28"/>
    </i>
    <i r="3">
      <x v="10"/>
      <x v="27"/>
    </i>
    <i r="3">
      <x v="14"/>
      <x v="24"/>
    </i>
    <i r="1">
      <x v="1"/>
      <x v="15"/>
      <x v="11"/>
      <x v="22"/>
    </i>
    <i r="1">
      <x v="2"/>
      <x v="21"/>
      <x v="12"/>
      <x v="14"/>
    </i>
    <i r="3">
      <x v="13"/>
      <x v="18"/>
    </i>
    <i r="3">
      <x v="14"/>
      <x v="20"/>
    </i>
    <i r="1">
      <x v="3"/>
      <x v="22"/>
      <x v="15"/>
      <x v="17"/>
    </i>
    <i r="1">
      <x v="17"/>
      <x v="13"/>
      <x v="7"/>
      <x v="1"/>
    </i>
    <i r="1">
      <x v="18"/>
      <x v="16"/>
      <x v="1"/>
      <x v="31"/>
    </i>
    <i r="1">
      <x v="19"/>
      <x v="17"/>
      <x v="13"/>
      <x v="3"/>
    </i>
    <i r="1">
      <x v="20"/>
      <x v="18"/>
      <x v="1"/>
      <x v="26"/>
    </i>
    <i r="1">
      <x v="21"/>
      <x v="19"/>
      <x v="5"/>
      <x v="25"/>
    </i>
    <i r="1">
      <x v="22"/>
      <x v="20"/>
      <x v="9"/>
      <x v="15"/>
    </i>
    <i>
      <x v="1"/>
      <x v="4"/>
      <x/>
      <x v="1"/>
      <x v="8"/>
    </i>
    <i r="3">
      <x v="2"/>
      <x v="11"/>
    </i>
    <i r="1">
      <x v="5"/>
      <x v="1"/>
      <x v="1"/>
      <x v="16"/>
    </i>
    <i r="3">
      <x v="3"/>
      <x v="19"/>
    </i>
    <i r="1">
      <x v="6"/>
      <x v="2"/>
      <x/>
      <x v="12"/>
    </i>
    <i r="1">
      <x v="7"/>
      <x v="3"/>
      <x v="9"/>
      <x v="5"/>
    </i>
    <i r="1">
      <x v="8"/>
      <x v="4"/>
      <x v="7"/>
      <x v="13"/>
    </i>
    <i r="1">
      <x v="9"/>
      <x v="5"/>
      <x v="5"/>
      <x v="29"/>
    </i>
    <i r="1">
      <x v="10"/>
      <x v="6"/>
      <x v="6"/>
      <x v="7"/>
    </i>
    <i r="1">
      <x v="11"/>
      <x v="7"/>
      <x v="2"/>
      <x v="2"/>
    </i>
    <i>
      <x v="2"/>
      <x v="14"/>
      <x v="10"/>
      <x v="5"/>
      <x v="21"/>
    </i>
    <i>
      <x v="3"/>
      <x v="12"/>
      <x v="8"/>
      <x v="1"/>
      <x v="4"/>
    </i>
    <i r="3">
      <x v="2"/>
      <x v="6"/>
    </i>
    <i r="1">
      <x v="13"/>
      <x v="9"/>
      <x v="1"/>
      <x v="9"/>
    </i>
    <i>
      <x v="4"/>
      <x v="23"/>
      <x v="23"/>
      <x/>
      <x/>
    </i>
    <i>
      <x v="5"/>
      <x v="15"/>
      <x v="11"/>
      <x v="16"/>
      <x v="30"/>
    </i>
    <i>
      <x v="6"/>
      <x v="16"/>
      <x v="12"/>
      <x v="4"/>
      <x v="10"/>
    </i>
    <i t="grand">
      <x/>
    </i>
  </rowItems>
  <colItems count="1">
    <i/>
  </colItems>
  <pageFields count="1">
    <pageField fld="0" item="0" hier="-1"/>
  </pageFields>
  <formats count="38">
    <format dxfId="93">
      <pivotArea field="12" type="button" dataOnly="0" labelOnly="1" outline="0" axis="axisRow" fieldPosition="3"/>
    </format>
    <format dxfId="92">
      <pivotArea dataOnly="0" labelOnly="1" grandRow="1" outline="0" fieldPosition="0"/>
    </format>
    <format dxfId="91">
      <pivotArea dataOnly="0" labelOnly="1" outline="0" fieldPosition="0">
        <references count="3">
          <reference field="2" count="1" selected="0">
            <x v="4"/>
          </reference>
          <reference field="3" count="1" selected="0">
            <x v="0"/>
          </reference>
          <reference field="12" count="2">
            <x v="1"/>
            <x v="2"/>
          </reference>
        </references>
      </pivotArea>
    </format>
    <format dxfId="90">
      <pivotArea dataOnly="0" labelOnly="1" outline="0" fieldPosition="0">
        <references count="3">
          <reference field="2" count="1" selected="0">
            <x v="5"/>
          </reference>
          <reference field="3" count="1" selected="0">
            <x v="1"/>
          </reference>
          <reference field="12" count="2">
            <x v="1"/>
            <x v="3"/>
          </reference>
        </references>
      </pivotArea>
    </format>
    <format dxfId="89">
      <pivotArea dataOnly="0" labelOnly="1" outline="0" fieldPosition="0">
        <references count="3">
          <reference field="2" count="1" selected="0">
            <x v="6"/>
          </reference>
          <reference field="3" count="1" selected="0">
            <x v="2"/>
          </reference>
          <reference field="12" count="1">
            <x v="0"/>
          </reference>
        </references>
      </pivotArea>
    </format>
    <format dxfId="88">
      <pivotArea dataOnly="0" labelOnly="1" outline="0" fieldPosition="0">
        <references count="3">
          <reference field="2" count="1" selected="0">
            <x v="7"/>
          </reference>
          <reference field="3" count="1" selected="0">
            <x v="3"/>
          </reference>
          <reference field="12" count="1">
            <x v="9"/>
          </reference>
        </references>
      </pivotArea>
    </format>
    <format dxfId="87">
      <pivotArea dataOnly="0" labelOnly="1" outline="0" fieldPosition="0">
        <references count="3">
          <reference field="2" count="1" selected="0">
            <x v="8"/>
          </reference>
          <reference field="3" count="1" selected="0">
            <x v="4"/>
          </reference>
          <reference field="12" count="1">
            <x v="7"/>
          </reference>
        </references>
      </pivotArea>
    </format>
    <format dxfId="86">
      <pivotArea dataOnly="0" labelOnly="1" outline="0" fieldPosition="0">
        <references count="3">
          <reference field="2" count="1" selected="0">
            <x v="9"/>
          </reference>
          <reference field="3" count="1" selected="0">
            <x v="5"/>
          </reference>
          <reference field="12" count="1">
            <x v="5"/>
          </reference>
        </references>
      </pivotArea>
    </format>
    <format dxfId="85">
      <pivotArea dataOnly="0" labelOnly="1" outline="0" fieldPosition="0">
        <references count="3">
          <reference field="2" count="1" selected="0">
            <x v="10"/>
          </reference>
          <reference field="3" count="1" selected="0">
            <x v="6"/>
          </reference>
          <reference field="12" count="1">
            <x v="6"/>
          </reference>
        </references>
      </pivotArea>
    </format>
    <format dxfId="84">
      <pivotArea dataOnly="0" labelOnly="1" outline="0" fieldPosition="0">
        <references count="3">
          <reference field="2" count="1" selected="0">
            <x v="11"/>
          </reference>
          <reference field="3" count="1" selected="0">
            <x v="7"/>
          </reference>
          <reference field="12" count="1">
            <x v="2"/>
          </reference>
        </references>
      </pivotArea>
    </format>
    <format dxfId="83">
      <pivotArea dataOnly="0" labelOnly="1" outline="0" fieldPosition="0">
        <references count="3">
          <reference field="2" count="1" selected="0">
            <x v="12"/>
          </reference>
          <reference field="3" count="1" selected="0">
            <x v="8"/>
          </reference>
          <reference field="12" count="2">
            <x v="1"/>
            <x v="2"/>
          </reference>
        </references>
      </pivotArea>
    </format>
    <format dxfId="82">
      <pivotArea dataOnly="0" labelOnly="1" outline="0" fieldPosition="0">
        <references count="3">
          <reference field="2" count="1" selected="0">
            <x v="13"/>
          </reference>
          <reference field="3" count="1" selected="0">
            <x v="9"/>
          </reference>
          <reference field="12" count="1">
            <x v="1"/>
          </reference>
        </references>
      </pivotArea>
    </format>
    <format dxfId="81">
      <pivotArea dataOnly="0" labelOnly="1" outline="0" fieldPosition="0">
        <references count="3">
          <reference field="2" count="1" selected="0">
            <x v="14"/>
          </reference>
          <reference field="3" count="1" selected="0">
            <x v="10"/>
          </reference>
          <reference field="12" count="1">
            <x v="5"/>
          </reference>
        </references>
      </pivotArea>
    </format>
    <format dxfId="80">
      <pivotArea dataOnly="0" labelOnly="1" outline="0" fieldPosition="0">
        <references count="3">
          <reference field="2" count="1" selected="0">
            <x v="15"/>
          </reference>
          <reference field="3" count="1" selected="0">
            <x v="11"/>
          </reference>
          <reference field="12" count="1">
            <x v="16"/>
          </reference>
        </references>
      </pivotArea>
    </format>
    <format dxfId="79">
      <pivotArea dataOnly="0" labelOnly="1" outline="0" fieldPosition="0">
        <references count="3">
          <reference field="2" count="1" selected="0">
            <x v="16"/>
          </reference>
          <reference field="3" count="1" selected="0">
            <x v="12"/>
          </reference>
          <reference field="12" count="1">
            <x v="4"/>
          </reference>
        </references>
      </pivotArea>
    </format>
    <format dxfId="78">
      <pivotArea dataOnly="0" labelOnly="1" outline="0" fieldPosition="0">
        <references count="3">
          <reference field="2" count="1" selected="0">
            <x v="17"/>
          </reference>
          <reference field="3" count="1" selected="0">
            <x v="13"/>
          </reference>
          <reference field="12" count="1">
            <x v="7"/>
          </reference>
        </references>
      </pivotArea>
    </format>
    <format dxfId="77">
      <pivotArea dataOnly="0" labelOnly="1" outline="0" fieldPosition="0">
        <references count="3">
          <reference field="2" count="1" selected="0">
            <x v="0"/>
          </reference>
          <reference field="3" count="1" selected="0">
            <x v="14"/>
          </reference>
          <reference field="12" count="4">
            <x v="8"/>
            <x v="9"/>
            <x v="10"/>
            <x v="14"/>
          </reference>
        </references>
      </pivotArea>
    </format>
    <format dxfId="76">
      <pivotArea dataOnly="0" labelOnly="1" outline="0" fieldPosition="0">
        <references count="3">
          <reference field="2" count="1" selected="0">
            <x v="1"/>
          </reference>
          <reference field="3" count="1" selected="0">
            <x v="15"/>
          </reference>
          <reference field="12" count="1">
            <x v="11"/>
          </reference>
        </references>
      </pivotArea>
    </format>
    <format dxfId="75">
      <pivotArea dataOnly="0" labelOnly="1" outline="0" fieldPosition="0">
        <references count="3">
          <reference field="2" count="1" selected="0">
            <x v="18"/>
          </reference>
          <reference field="3" count="1" selected="0">
            <x v="16"/>
          </reference>
          <reference field="12" count="1">
            <x v="1"/>
          </reference>
        </references>
      </pivotArea>
    </format>
    <format dxfId="74">
      <pivotArea dataOnly="0" labelOnly="1" outline="0" fieldPosition="0">
        <references count="3">
          <reference field="2" count="1" selected="0">
            <x v="19"/>
          </reference>
          <reference field="3" count="1" selected="0">
            <x v="17"/>
          </reference>
          <reference field="12" count="1">
            <x v="13"/>
          </reference>
        </references>
      </pivotArea>
    </format>
    <format dxfId="73">
      <pivotArea dataOnly="0" labelOnly="1" outline="0" fieldPosition="0">
        <references count="3">
          <reference field="2" count="1" selected="0">
            <x v="20"/>
          </reference>
          <reference field="3" count="1" selected="0">
            <x v="18"/>
          </reference>
          <reference field="12" count="1">
            <x v="1"/>
          </reference>
        </references>
      </pivotArea>
    </format>
    <format dxfId="72">
      <pivotArea dataOnly="0" labelOnly="1" outline="0" fieldPosition="0">
        <references count="3">
          <reference field="2" count="1" selected="0">
            <x v="21"/>
          </reference>
          <reference field="3" count="1" selected="0">
            <x v="19"/>
          </reference>
          <reference field="12" count="1">
            <x v="5"/>
          </reference>
        </references>
      </pivotArea>
    </format>
    <format dxfId="71">
      <pivotArea dataOnly="0" labelOnly="1" outline="0" fieldPosition="0">
        <references count="3">
          <reference field="2" count="1" selected="0">
            <x v="22"/>
          </reference>
          <reference field="3" count="1" selected="0">
            <x v="20"/>
          </reference>
          <reference field="12" count="1">
            <x v="9"/>
          </reference>
        </references>
      </pivotArea>
    </format>
    <format dxfId="70">
      <pivotArea dataOnly="0" labelOnly="1" outline="0" fieldPosition="0">
        <references count="3">
          <reference field="2" count="1" selected="0">
            <x v="2"/>
          </reference>
          <reference field="3" count="1" selected="0">
            <x v="21"/>
          </reference>
          <reference field="12" count="3">
            <x v="12"/>
            <x v="13"/>
            <x v="14"/>
          </reference>
        </references>
      </pivotArea>
    </format>
    <format dxfId="69">
      <pivotArea dataOnly="0" labelOnly="1" outline="0" fieldPosition="0">
        <references count="3">
          <reference field="2" count="1" selected="0">
            <x v="3"/>
          </reference>
          <reference field="3" count="1" selected="0">
            <x v="22"/>
          </reference>
          <reference field="12" count="1">
            <x v="15"/>
          </reference>
        </references>
      </pivotArea>
    </format>
    <format dxfId="68">
      <pivotArea dataOnly="0" labelOnly="1" outline="0" fieldPosition="0">
        <references count="3">
          <reference field="2" count="1" selected="0">
            <x v="23"/>
          </reference>
          <reference field="3" count="1" selected="0">
            <x v="23"/>
          </reference>
          <reference field="12" count="1">
            <x v="0"/>
          </reference>
        </references>
      </pivotArea>
    </format>
    <format dxfId="67">
      <pivotArea dataOnly="0" labelOnly="1" outline="0" fieldPosition="0">
        <references count="3">
          <reference field="2" count="1" selected="0">
            <x v="2"/>
          </reference>
          <reference field="3" count="1" selected="0">
            <x v="21"/>
          </reference>
          <reference field="12" count="1">
            <x v="12"/>
          </reference>
        </references>
      </pivotArea>
    </format>
    <format dxfId="66">
      <pivotArea dataOnly="0" labelOnly="1" outline="0" fieldPosition="0">
        <references count="4">
          <reference field="2" count="1" selected="0">
            <x v="2"/>
          </reference>
          <reference field="3" count="1" selected="0">
            <x v="21"/>
          </reference>
          <reference field="12" count="1" selected="0">
            <x v="12"/>
          </reference>
          <reference field="13" count="1">
            <x v="14"/>
          </reference>
        </references>
      </pivotArea>
    </format>
    <format dxfId="65">
      <pivotArea dataOnly="0" labelOnly="1" outline="0" fieldPosition="0">
        <references count="3">
          <reference field="2" count="1" selected="0">
            <x v="0"/>
          </reference>
          <reference field="3" count="1" selected="0">
            <x v="14"/>
          </reference>
          <reference field="12" count="1">
            <x v="8"/>
          </reference>
        </references>
      </pivotArea>
    </format>
    <format dxfId="64">
      <pivotArea dataOnly="0" labelOnly="1" outline="0" fieldPosition="0">
        <references count="4">
          <reference field="2" count="1" selected="0">
            <x v="0"/>
          </reference>
          <reference field="3" count="1" selected="0">
            <x v="14"/>
          </reference>
          <reference field="12" count="1" selected="0">
            <x v="8"/>
          </reference>
          <reference field="13" count="1">
            <x v="23"/>
          </reference>
        </references>
      </pivotArea>
    </format>
    <format dxfId="63">
      <pivotArea dataOnly="0" labelOnly="1" outline="0" offset="IV1" fieldPosition="0">
        <references count="2">
          <reference field="2" count="1">
            <x v="0"/>
          </reference>
          <reference field="22" count="1" selected="0">
            <x v="0"/>
          </reference>
        </references>
      </pivotArea>
    </format>
    <format dxfId="62">
      <pivotArea dataOnly="0" labelOnly="1" outline="0" offset="IV1" fieldPosition="0">
        <references count="3">
          <reference field="2" count="1" selected="0">
            <x v="0"/>
          </reference>
          <reference field="3" count="1">
            <x v="14"/>
          </reference>
          <reference field="22" count="1" selected="0">
            <x v="0"/>
          </reference>
        </references>
      </pivotArea>
    </format>
    <format dxfId="61">
      <pivotArea dataOnly="0" labelOnly="1" outline="0" fieldPosition="0">
        <references count="4">
          <reference field="2" count="1" selected="0">
            <x v="0"/>
          </reference>
          <reference field="3" count="1" selected="0">
            <x v="14"/>
          </reference>
          <reference field="12" count="1">
            <x v="8"/>
          </reference>
          <reference field="22" count="1" selected="0">
            <x v="0"/>
          </reference>
        </references>
      </pivotArea>
    </format>
    <format dxfId="60">
      <pivotArea dataOnly="0" labelOnly="1" outline="0" fieldPosition="0">
        <references count="5">
          <reference field="2" count="1" selected="0">
            <x v="0"/>
          </reference>
          <reference field="3" count="1" selected="0">
            <x v="14"/>
          </reference>
          <reference field="12" count="1" selected="0">
            <x v="8"/>
          </reference>
          <reference field="13" count="1">
            <x v="23"/>
          </reference>
          <reference field="22" count="1" selected="0">
            <x v="0"/>
          </reference>
        </references>
      </pivotArea>
    </format>
    <format dxfId="59">
      <pivotArea dataOnly="0" labelOnly="1" outline="0" offset="IV1" fieldPosition="0">
        <references count="2">
          <reference field="2" count="1">
            <x v="2"/>
          </reference>
          <reference field="22" count="1" selected="0">
            <x v="0"/>
          </reference>
        </references>
      </pivotArea>
    </format>
    <format dxfId="58">
      <pivotArea dataOnly="0" labelOnly="1" outline="0" offset="IV1" fieldPosition="0">
        <references count="3">
          <reference field="2" count="1" selected="0">
            <x v="2"/>
          </reference>
          <reference field="3" count="1">
            <x v="21"/>
          </reference>
          <reference field="22" count="1" selected="0">
            <x v="0"/>
          </reference>
        </references>
      </pivotArea>
    </format>
    <format dxfId="57">
      <pivotArea dataOnly="0" labelOnly="1" outline="0" fieldPosition="0">
        <references count="4">
          <reference field="2" count="1" selected="0">
            <x v="2"/>
          </reference>
          <reference field="3" count="1" selected="0">
            <x v="21"/>
          </reference>
          <reference field="12" count="1">
            <x v="12"/>
          </reference>
          <reference field="22" count="1" selected="0">
            <x v="0"/>
          </reference>
        </references>
      </pivotArea>
    </format>
    <format dxfId="56">
      <pivotArea dataOnly="0" labelOnly="1" outline="0" fieldPosition="0">
        <references count="5">
          <reference field="2" count="1" selected="0">
            <x v="2"/>
          </reference>
          <reference field="3" count="1" selected="0">
            <x v="21"/>
          </reference>
          <reference field="12" count="1" selected="0">
            <x v="12"/>
          </reference>
          <reference field="13" count="1">
            <x v="14"/>
          </reference>
          <reference field="22"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E11" dT="2025-03-04T11:26:09.34" personId="{36DC5F62-B4A7-45EC-ABBD-ACCF013F9629}" id="{C5F36EC2-2C6A-474C-86E6-53FCED0BD4EF}">
    <text xml:space="preserve">价格未来可以调整44%
</text>
  </threadedComment>
  <threadedComment ref="AI11" dT="2025-03-04T11:26:09.34" personId="{36DC5F62-B4A7-45EC-ABBD-ACCF013F9629}" id="{A820E554-E1AC-4487-8EAC-587D4F2CD987}">
    <text xml:space="preserve">价格未来可以调整44%
</text>
  </threadedComment>
  <threadedComment ref="AE22" dT="2025-03-04T11:47:15.63" personId="{36DC5F62-B4A7-45EC-ABBD-ACCF013F9629}" id="{B9DC7DDA-F12B-443C-9A8F-BB20E5C1FFA9}">
    <text xml:space="preserve">30.5%随货
</text>
  </threadedComment>
  <threadedComment ref="AK22" dT="2025-03-04T12:03:19.77" personId="{36DC5F62-B4A7-45EC-ABBD-ACCF013F9629}" id="{9BDD6B76-7E85-48EF-897B-41B2337D16E1}">
    <text xml:space="preserve">与之前改变 调整
</text>
  </threadedComment>
  <threadedComment ref="AE23" dT="2025-02-28T11:22:24.47" personId="{36DC5F62-B4A7-45EC-ABBD-ACCF013F9629}" id="{0630D9D3-093F-4C88-9DC5-72ABF74B10AD}">
    <text xml:space="preserve">25% 未来可以考虑29%
</text>
  </threadedComment>
  <threadedComment ref="AI23" dT="2025-02-28T11:22:24.47" personId="{36DC5F62-B4A7-45EC-ABBD-ACCF013F9629}" id="{E4E5B39D-5672-435A-BAE2-0458CA9EE2D8}">
    <text xml:space="preserve">25% 未来可以考虑29%
</text>
  </threadedComment>
  <threadedComment ref="AK23" dT="2025-03-04T12:03:39.37" personId="{36DC5F62-B4A7-45EC-ABBD-ACCF013F9629}" id="{FC7425E6-B2B6-4E51-9D70-235C31C60004}">
    <text xml:space="preserve">与之前改变调整
</text>
  </threadedComment>
  <threadedComment ref="AM23" dT="2025-03-04T12:31:51.81" personId="{36DC5F62-B4A7-45EC-ABBD-ACCF013F9629}" id="{6A90CCB7-FD0E-4B1F-8357-EAB3A24D3F14}">
    <text xml:space="preserve">去年是5%
</text>
  </threadedComment>
</ThreadedComments>
</file>

<file path=xl/worksheets/_rels/sheet1.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hyperlink" Target="mailto:&#32463;&#38144;&#21830;&#23454;&#38469;&#21040;&#25163;&#20215;&#26684;@%20Shengtao" TargetMode="Externa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1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3F9B89-6B0E-4AFE-96DB-3E4D5A767FC4}">
  <dimension ref="B3:M47"/>
  <sheetViews>
    <sheetView zoomScale="69" zoomScaleNormal="69" workbookViewId="0">
      <selection activeCell="C21" sqref="C21:H21"/>
    </sheetView>
  </sheetViews>
  <sheetFormatPr defaultRowHeight="14" outlineLevelCol="1"/>
  <cols>
    <col min="2" max="2" width="14.08984375" customWidth="1"/>
    <col min="3" max="3" width="30.6328125" bestFit="1" customWidth="1"/>
    <col min="4" max="7" width="10.36328125" hidden="1" customWidth="1" outlineLevel="1"/>
    <col min="8" max="8" width="10.36328125" customWidth="1" collapsed="1"/>
    <col min="9" max="10" width="10.36328125" customWidth="1"/>
    <col min="11" max="11" width="10" style="157" customWidth="1"/>
    <col min="12" max="12" width="10.453125" customWidth="1"/>
    <col min="13" max="13" width="9" bestFit="1" customWidth="1"/>
  </cols>
  <sheetData>
    <row r="3" spans="2:13" ht="41.5" customHeight="1">
      <c r="B3" s="65" t="s">
        <v>323</v>
      </c>
      <c r="D3" s="65" t="s">
        <v>350</v>
      </c>
      <c r="K3" s="257" t="s">
        <v>616</v>
      </c>
    </row>
    <row r="4" spans="2:13">
      <c r="B4" s="65" t="s">
        <v>346</v>
      </c>
      <c r="C4" s="65" t="s">
        <v>369</v>
      </c>
      <c r="D4" s="2" t="s">
        <v>591</v>
      </c>
      <c r="E4" s="2" t="s">
        <v>592</v>
      </c>
      <c r="F4" s="2" t="s">
        <v>593</v>
      </c>
      <c r="G4" s="2" t="s">
        <v>599</v>
      </c>
      <c r="H4" s="2" t="s">
        <v>615</v>
      </c>
      <c r="I4" s="2" t="s">
        <v>601</v>
      </c>
      <c r="J4" s="2" t="s">
        <v>275</v>
      </c>
      <c r="K4" s="258"/>
    </row>
    <row r="5" spans="2:13">
      <c r="B5" t="s">
        <v>357</v>
      </c>
      <c r="C5" t="s">
        <v>296</v>
      </c>
      <c r="D5" s="264">
        <v>3293.5162474500003</v>
      </c>
      <c r="E5" s="104"/>
      <c r="F5" s="104"/>
      <c r="G5" s="104"/>
      <c r="H5" s="104"/>
      <c r="I5" s="104"/>
      <c r="J5" s="104">
        <v>3293.5162474500003</v>
      </c>
      <c r="K5" s="157">
        <v>3293.5162474500003</v>
      </c>
      <c r="M5" s="31"/>
    </row>
    <row r="6" spans="2:13">
      <c r="C6" t="s">
        <v>293</v>
      </c>
      <c r="D6" s="264">
        <v>33901.8952899</v>
      </c>
      <c r="E6" s="104"/>
      <c r="F6" s="104"/>
      <c r="G6" s="104">
        <v>35996.626067800004</v>
      </c>
      <c r="H6" s="104"/>
      <c r="I6" s="104"/>
      <c r="J6" s="104">
        <v>69898.521357699996</v>
      </c>
      <c r="K6" s="157">
        <v>32847.938644647089</v>
      </c>
    </row>
    <row r="7" spans="2:13">
      <c r="C7" t="s">
        <v>299</v>
      </c>
      <c r="D7" s="264">
        <v>2646.6736824</v>
      </c>
      <c r="E7" s="104"/>
      <c r="F7" s="104"/>
      <c r="G7" s="104"/>
      <c r="H7" s="104"/>
      <c r="I7" s="104"/>
      <c r="J7" s="104">
        <v>2646.6736824</v>
      </c>
      <c r="K7" s="157">
        <v>2646.6736824</v>
      </c>
    </row>
    <row r="8" spans="2:13">
      <c r="C8" t="s">
        <v>295</v>
      </c>
      <c r="D8" s="264"/>
      <c r="E8" s="104"/>
      <c r="F8" s="104"/>
      <c r="G8" s="104"/>
      <c r="H8" s="104"/>
      <c r="I8" s="104">
        <v>45838.038400000005</v>
      </c>
      <c r="J8" s="104">
        <v>45838.038400000005</v>
      </c>
    </row>
    <row r="9" spans="2:13">
      <c r="C9" t="s">
        <v>388</v>
      </c>
      <c r="D9" s="264"/>
      <c r="E9" s="104"/>
      <c r="F9" s="104"/>
      <c r="G9" s="104"/>
      <c r="H9" s="104"/>
      <c r="I9" s="104">
        <v>1204.9545089999999</v>
      </c>
      <c r="J9" s="104">
        <v>1204.9545089999999</v>
      </c>
    </row>
    <row r="10" spans="2:13">
      <c r="C10" t="s">
        <v>617</v>
      </c>
      <c r="D10" s="264"/>
      <c r="E10" s="104"/>
      <c r="F10" s="104"/>
      <c r="G10" s="104"/>
      <c r="H10" s="104"/>
      <c r="I10" s="104">
        <v>11300</v>
      </c>
      <c r="J10" s="104">
        <v>11300</v>
      </c>
    </row>
    <row r="11" spans="2:13">
      <c r="B11" t="s">
        <v>370</v>
      </c>
      <c r="D11" s="104">
        <v>39842.085219750006</v>
      </c>
      <c r="E11" s="104"/>
      <c r="F11" s="104"/>
      <c r="G11" s="104">
        <v>35996.626067800004</v>
      </c>
      <c r="H11" s="104"/>
      <c r="I11" s="104">
        <v>58342.992909000008</v>
      </c>
      <c r="J11" s="104">
        <v>134181.70419655001</v>
      </c>
      <c r="K11" s="260">
        <f>SUM(K5:K10)</f>
        <v>38788.128574497096</v>
      </c>
    </row>
    <row r="12" spans="2:13">
      <c r="B12" t="s">
        <v>318</v>
      </c>
      <c r="C12" t="s">
        <v>314</v>
      </c>
      <c r="D12" s="104"/>
      <c r="E12" s="264"/>
      <c r="F12" s="104"/>
      <c r="G12" s="104">
        <v>73183.226236999995</v>
      </c>
      <c r="H12" s="104"/>
      <c r="I12" s="104"/>
      <c r="J12" s="104">
        <v>73183.226236999995</v>
      </c>
    </row>
    <row r="13" spans="2:13">
      <c r="C13" t="s">
        <v>313</v>
      </c>
      <c r="D13" s="104"/>
      <c r="E13" s="264">
        <v>60325.229006647991</v>
      </c>
      <c r="F13" s="104"/>
      <c r="G13" s="104"/>
      <c r="H13" s="104"/>
      <c r="I13" s="104"/>
      <c r="J13" s="104">
        <v>60325.229006647991</v>
      </c>
      <c r="K13" s="157">
        <v>60293.925043639145</v>
      </c>
    </row>
    <row r="14" spans="2:13">
      <c r="C14" t="s">
        <v>358</v>
      </c>
      <c r="D14" s="104">
        <v>990.47448500000019</v>
      </c>
      <c r="E14" s="264"/>
      <c r="F14" s="104"/>
      <c r="G14" s="104"/>
      <c r="H14" s="104">
        <v>5526.4306387400011</v>
      </c>
      <c r="I14" s="104"/>
      <c r="J14" s="104">
        <v>6516.9051237400017</v>
      </c>
    </row>
    <row r="15" spans="2:13">
      <c r="C15" t="s">
        <v>312</v>
      </c>
      <c r="D15" s="265">
        <v>10853.679342000001</v>
      </c>
      <c r="E15" s="264"/>
      <c r="F15" s="104"/>
      <c r="G15" s="104"/>
      <c r="H15" s="104"/>
      <c r="I15" s="104"/>
      <c r="J15" s="104">
        <v>10853.679342000001</v>
      </c>
      <c r="K15" s="157">
        <v>10853.679342000001</v>
      </c>
    </row>
    <row r="16" spans="2:13">
      <c r="C16" t="s">
        <v>311</v>
      </c>
      <c r="D16" s="265">
        <v>733.77547099999992</v>
      </c>
      <c r="E16" s="264"/>
      <c r="F16" s="104"/>
      <c r="G16" s="104"/>
      <c r="H16" s="104"/>
      <c r="I16" s="104"/>
      <c r="J16" s="104">
        <v>733.77547099999992</v>
      </c>
      <c r="K16" s="157">
        <v>733.77547099999992</v>
      </c>
    </row>
    <row r="17" spans="2:11">
      <c r="C17" t="s">
        <v>310</v>
      </c>
      <c r="D17" s="265">
        <v>6264.0345072824148</v>
      </c>
      <c r="E17" s="264"/>
      <c r="F17" s="104"/>
      <c r="G17" s="104"/>
      <c r="H17" s="104"/>
      <c r="I17" s="104"/>
      <c r="J17" s="104">
        <v>6264.0345072824148</v>
      </c>
      <c r="K17" s="157">
        <v>1614.3421238938049</v>
      </c>
    </row>
    <row r="18" spans="2:11">
      <c r="C18" t="s">
        <v>345</v>
      </c>
      <c r="D18" s="264"/>
      <c r="E18" s="264"/>
      <c r="F18" s="104"/>
      <c r="G18" s="104"/>
      <c r="H18" s="104"/>
      <c r="I18" s="104">
        <v>872.14861025050016</v>
      </c>
      <c r="J18" s="104">
        <v>872.14861025050016</v>
      </c>
    </row>
    <row r="19" spans="2:11">
      <c r="C19" t="s">
        <v>342</v>
      </c>
      <c r="D19" s="264"/>
      <c r="E19" s="104"/>
      <c r="F19" s="104"/>
      <c r="G19" s="104"/>
      <c r="H19" s="104"/>
      <c r="I19" s="104">
        <v>70.836575952999908</v>
      </c>
      <c r="J19" s="104">
        <v>70.836575952999908</v>
      </c>
    </row>
    <row r="20" spans="2:11">
      <c r="C20" t="s">
        <v>341</v>
      </c>
      <c r="D20" s="264"/>
      <c r="E20" s="104"/>
      <c r="F20" s="264"/>
      <c r="G20" s="264"/>
      <c r="H20" s="104"/>
      <c r="I20" s="104">
        <v>5669.9451921750006</v>
      </c>
      <c r="J20" s="104">
        <v>5669.9451921750006</v>
      </c>
    </row>
    <row r="21" spans="2:11">
      <c r="C21" t="s">
        <v>423</v>
      </c>
      <c r="D21" s="104"/>
      <c r="E21" s="104"/>
      <c r="F21" s="264">
        <v>20143.000000000004</v>
      </c>
      <c r="G21" s="264"/>
      <c r="H21" s="266">
        <v>4385.83068</v>
      </c>
      <c r="I21" s="254"/>
      <c r="J21" s="104">
        <v>24528.830680000003</v>
      </c>
      <c r="K21" s="157">
        <v>20143.000000000004</v>
      </c>
    </row>
    <row r="22" spans="2:11">
      <c r="C22" t="s">
        <v>576</v>
      </c>
      <c r="D22" s="104"/>
      <c r="E22" s="104"/>
      <c r="F22" s="264"/>
      <c r="G22" s="264"/>
      <c r="H22" s="104"/>
      <c r="I22" s="104">
        <v>3642.5102446699998</v>
      </c>
      <c r="J22" s="104">
        <v>3642.5102446699998</v>
      </c>
    </row>
    <row r="23" spans="2:11">
      <c r="C23" t="s">
        <v>417</v>
      </c>
      <c r="D23" s="104"/>
      <c r="E23" s="104"/>
      <c r="F23" s="264"/>
      <c r="G23" s="264"/>
      <c r="H23" s="104"/>
      <c r="I23" s="104">
        <v>3092.6973775500005</v>
      </c>
      <c r="J23" s="104">
        <v>3092.6973775500005</v>
      </c>
    </row>
    <row r="24" spans="2:11">
      <c r="C24" t="s">
        <v>415</v>
      </c>
      <c r="D24" s="104"/>
      <c r="E24" s="104"/>
      <c r="F24" s="104"/>
      <c r="G24" s="104"/>
      <c r="H24" s="104"/>
      <c r="I24" s="104">
        <v>328.84816707599998</v>
      </c>
      <c r="J24" s="104">
        <v>328.84816707599998</v>
      </c>
    </row>
    <row r="25" spans="2:11">
      <c r="C25" t="s">
        <v>406</v>
      </c>
      <c r="D25" s="104"/>
      <c r="E25" s="104"/>
      <c r="F25" s="104"/>
      <c r="G25" s="104"/>
      <c r="H25" s="104"/>
      <c r="I25" s="104">
        <v>2601.4255331625004</v>
      </c>
      <c r="J25" s="104">
        <v>2601.4255331625004</v>
      </c>
    </row>
    <row r="26" spans="2:11">
      <c r="C26" t="s">
        <v>603</v>
      </c>
      <c r="D26" s="104"/>
      <c r="E26" s="104"/>
      <c r="F26" s="104"/>
      <c r="G26" s="104"/>
      <c r="H26" s="104">
        <v>5999.9997499200008</v>
      </c>
      <c r="I26" s="104"/>
      <c r="J26" s="104">
        <v>5999.9997499200008</v>
      </c>
    </row>
    <row r="27" spans="2:11">
      <c r="C27" t="s">
        <v>610</v>
      </c>
      <c r="D27" s="104"/>
      <c r="E27" s="104"/>
      <c r="F27" s="104"/>
      <c r="G27" s="104"/>
      <c r="H27" s="104"/>
      <c r="I27" s="104">
        <v>20583.334546133334</v>
      </c>
      <c r="J27" s="104">
        <v>20583.334546133334</v>
      </c>
      <c r="K27" s="256"/>
    </row>
    <row r="28" spans="2:11">
      <c r="B28" t="s">
        <v>371</v>
      </c>
      <c r="D28" s="104">
        <v>18841.963805282416</v>
      </c>
      <c r="E28" s="104">
        <v>60325.229006647991</v>
      </c>
      <c r="F28" s="104">
        <v>20143.000000000004</v>
      </c>
      <c r="G28" s="104">
        <v>73183.226236999995</v>
      </c>
      <c r="H28" s="104">
        <v>15912.261068660002</v>
      </c>
      <c r="I28" s="104">
        <v>36861.746246970331</v>
      </c>
      <c r="J28" s="104">
        <v>225267.42636456076</v>
      </c>
      <c r="K28" s="260">
        <f>SUM(K12:K27)</f>
        <v>93638.721980532951</v>
      </c>
    </row>
    <row r="29" spans="2:11">
      <c r="B29" t="s">
        <v>275</v>
      </c>
      <c r="D29" s="104">
        <v>58684.049025032422</v>
      </c>
      <c r="E29" s="104">
        <v>60325.229006647991</v>
      </c>
      <c r="F29" s="104">
        <v>20143.000000000004</v>
      </c>
      <c r="G29" s="104">
        <v>109179.85230480001</v>
      </c>
      <c r="H29" s="104">
        <v>15912.261068660002</v>
      </c>
      <c r="I29" s="104">
        <v>95204.739155970339</v>
      </c>
      <c r="J29" s="104">
        <v>359449.13056111074</v>
      </c>
      <c r="K29" s="259">
        <f>K11+K28</f>
        <v>132426.85055503005</v>
      </c>
    </row>
    <row r="39" spans="2:6" ht="42">
      <c r="B39" s="255" t="s">
        <v>597</v>
      </c>
      <c r="D39" s="65" t="s">
        <v>598</v>
      </c>
    </row>
    <row r="40" spans="2:6">
      <c r="B40" s="65" t="s">
        <v>346</v>
      </c>
      <c r="C40" s="65" t="s">
        <v>369</v>
      </c>
      <c r="D40" t="s">
        <v>595</v>
      </c>
      <c r="E40" t="s">
        <v>584</v>
      </c>
      <c r="F40" s="2" t="s">
        <v>275</v>
      </c>
    </row>
    <row r="41" spans="2:6">
      <c r="B41" t="s">
        <v>357</v>
      </c>
      <c r="C41" t="s">
        <v>293</v>
      </c>
      <c r="D41" s="104"/>
      <c r="E41" s="104">
        <v>32847.938644647089</v>
      </c>
      <c r="F41" s="104">
        <v>32847.938644647089</v>
      </c>
    </row>
    <row r="42" spans="2:6">
      <c r="B42" t="s">
        <v>370</v>
      </c>
      <c r="D42" s="104"/>
      <c r="E42" s="104">
        <v>32847.938644647089</v>
      </c>
      <c r="F42" s="104">
        <v>32847.938644647089</v>
      </c>
    </row>
    <row r="43" spans="2:6">
      <c r="B43" t="s">
        <v>318</v>
      </c>
      <c r="C43" t="s">
        <v>313</v>
      </c>
      <c r="D43" s="104">
        <v>60293.925043639145</v>
      </c>
      <c r="E43" s="104"/>
      <c r="F43" s="104">
        <v>60293.925043639145</v>
      </c>
    </row>
    <row r="44" spans="2:6">
      <c r="C44" t="s">
        <v>310</v>
      </c>
      <c r="D44" s="104"/>
      <c r="E44" s="104">
        <v>1614.3421238938049</v>
      </c>
      <c r="F44" s="104">
        <v>1614.3421238938049</v>
      </c>
    </row>
    <row r="45" spans="2:6">
      <c r="C45" t="s">
        <v>423</v>
      </c>
      <c r="D45" s="104"/>
      <c r="E45" s="104">
        <v>20143.000000000004</v>
      </c>
      <c r="F45" s="104">
        <v>20143.000000000004</v>
      </c>
    </row>
    <row r="46" spans="2:6">
      <c r="B46" t="s">
        <v>371</v>
      </c>
      <c r="D46" s="104">
        <v>60293.925043639145</v>
      </c>
      <c r="E46" s="104">
        <v>21757.34212389381</v>
      </c>
      <c r="F46" s="104">
        <v>82051.267167532947</v>
      </c>
    </row>
    <row r="47" spans="2:6">
      <c r="B47" t="s">
        <v>275</v>
      </c>
      <c r="D47" s="104">
        <v>60293.925043639145</v>
      </c>
      <c r="E47" s="104">
        <v>54605.280768540892</v>
      </c>
      <c r="F47" s="104">
        <v>114899.20581218004</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BBCC61-FD2E-4FC1-9192-52E8346C3F33}">
  <sheetPr>
    <tabColor rgb="FFFFFF00"/>
  </sheetPr>
  <dimension ref="A1:AS159"/>
  <sheetViews>
    <sheetView zoomScale="57" zoomScaleNormal="57" workbookViewId="0">
      <pane xSplit="18" ySplit="4" topLeftCell="AC35" activePane="bottomRight" state="frozen"/>
      <selection activeCell="G58" sqref="G58"/>
      <selection pane="topRight" activeCell="G58" sqref="G58"/>
      <selection pane="bottomLeft" activeCell="G58" sqref="G58"/>
      <selection pane="bottomRight" activeCell="AL57" sqref="AL57"/>
    </sheetView>
  </sheetViews>
  <sheetFormatPr defaultRowHeight="14" outlineLevelCol="1"/>
  <cols>
    <col min="1" max="1" width="13.6328125" hidden="1" customWidth="1" outlineLevel="1"/>
    <col min="2" max="3" width="12.453125" hidden="1" customWidth="1" outlineLevel="1"/>
    <col min="4" max="4" width="8.6328125" collapsed="1"/>
    <col min="5" max="5" width="17.08984375" customWidth="1"/>
    <col min="6" max="6" width="14.36328125" style="2" customWidth="1"/>
    <col min="7" max="8" width="7.36328125" customWidth="1"/>
    <col min="9" max="9" width="8.26953125" customWidth="1"/>
    <col min="11" max="12" width="9.453125" hidden="1" customWidth="1" outlineLevel="1"/>
    <col min="13" max="13" width="41.7265625" customWidth="1" collapsed="1"/>
    <col min="14" max="14" width="19.453125" hidden="1" customWidth="1" outlineLevel="1"/>
    <col min="15" max="15" width="8.6328125" collapsed="1"/>
    <col min="19" max="19" width="2.453125" customWidth="1"/>
    <col min="20" max="25" width="8.6328125" style="2"/>
    <col min="28" max="28" width="9.453125" customWidth="1"/>
    <col min="29" max="29" width="8.36328125" style="161" customWidth="1"/>
    <col min="30" max="30" width="9" style="161" customWidth="1"/>
    <col min="32" max="32" width="9.453125" customWidth="1"/>
    <col min="33" max="33" width="10.453125" style="3" customWidth="1"/>
    <col min="34" max="35" width="8.6328125" style="2"/>
    <col min="36" max="36" width="10" customWidth="1"/>
    <col min="42" max="42" width="9.453125" style="157" bestFit="1" customWidth="1"/>
    <col min="43" max="44" width="11.6328125" style="157" bestFit="1" customWidth="1"/>
    <col min="45" max="45" width="13.453125" customWidth="1"/>
  </cols>
  <sheetData>
    <row r="1" spans="1:45" s="381" customFormat="1" ht="52" customHeight="1">
      <c r="A1" s="384" t="s">
        <v>905</v>
      </c>
      <c r="B1" s="384" t="s">
        <v>905</v>
      </c>
      <c r="C1" s="384" t="s">
        <v>905</v>
      </c>
      <c r="D1" s="415"/>
      <c r="E1" s="416" t="s">
        <v>916</v>
      </c>
      <c r="F1" s="416" t="s">
        <v>914</v>
      </c>
      <c r="G1" s="384" t="s">
        <v>905</v>
      </c>
      <c r="H1" s="384" t="s">
        <v>905</v>
      </c>
      <c r="I1" s="384" t="s">
        <v>905</v>
      </c>
      <c r="J1" s="416" t="s">
        <v>914</v>
      </c>
      <c r="K1" s="384" t="s">
        <v>905</v>
      </c>
      <c r="L1" s="384" t="s">
        <v>905</v>
      </c>
      <c r="M1" s="384" t="s">
        <v>905</v>
      </c>
      <c r="N1" s="384" t="s">
        <v>905</v>
      </c>
      <c r="O1" s="384" t="s">
        <v>905</v>
      </c>
      <c r="P1" s="384" t="s">
        <v>905</v>
      </c>
      <c r="Q1" s="384" t="s">
        <v>905</v>
      </c>
      <c r="R1" s="384" t="s">
        <v>905</v>
      </c>
      <c r="T1" s="421" t="s">
        <v>913</v>
      </c>
      <c r="U1" s="421" t="s">
        <v>913</v>
      </c>
      <c r="V1" s="421" t="s">
        <v>913</v>
      </c>
      <c r="W1" s="421" t="s">
        <v>913</v>
      </c>
      <c r="X1" s="421" t="s">
        <v>913</v>
      </c>
      <c r="Y1" s="421" t="s">
        <v>913</v>
      </c>
      <c r="Z1" s="384" t="s">
        <v>905</v>
      </c>
      <c r="AA1" s="416" t="s">
        <v>914</v>
      </c>
      <c r="AB1" s="416" t="s">
        <v>916</v>
      </c>
      <c r="AC1" s="432" t="s">
        <v>905</v>
      </c>
      <c r="AD1" s="448" t="s">
        <v>915</v>
      </c>
      <c r="AE1" s="416" t="s">
        <v>916</v>
      </c>
      <c r="AF1" s="384" t="s">
        <v>905</v>
      </c>
      <c r="AG1" s="417" t="s">
        <v>905</v>
      </c>
      <c r="AH1" s="416" t="s">
        <v>915</v>
      </c>
      <c r="AI1" s="432" t="s">
        <v>905</v>
      </c>
      <c r="AJ1" s="384" t="s">
        <v>905</v>
      </c>
      <c r="AK1" s="384" t="s">
        <v>905</v>
      </c>
      <c r="AL1" s="384" t="s">
        <v>905</v>
      </c>
      <c r="AM1" s="384"/>
      <c r="AN1" s="384" t="s">
        <v>905</v>
      </c>
      <c r="AO1" s="384" t="s">
        <v>905</v>
      </c>
      <c r="AP1" s="418" t="s">
        <v>914</v>
      </c>
      <c r="AQ1" s="384" t="s">
        <v>905</v>
      </c>
      <c r="AR1" s="384" t="s">
        <v>905</v>
      </c>
      <c r="AS1" s="384" t="s">
        <v>905</v>
      </c>
    </row>
    <row r="2" spans="1:45" ht="22.5" customHeight="1">
      <c r="A2" s="376"/>
      <c r="B2" s="376"/>
      <c r="C2" s="376"/>
      <c r="D2" s="367"/>
      <c r="E2" s="412"/>
      <c r="F2" s="414"/>
      <c r="G2" s="376"/>
      <c r="H2" s="376"/>
      <c r="I2" s="376"/>
      <c r="J2" s="419"/>
      <c r="K2" s="376"/>
      <c r="L2" s="376"/>
      <c r="M2" s="376"/>
      <c r="N2" s="376"/>
      <c r="O2" s="376"/>
      <c r="P2" s="376"/>
      <c r="Q2" s="376"/>
      <c r="R2" s="376"/>
      <c r="S2" s="361"/>
      <c r="T2" s="422"/>
      <c r="U2" s="422"/>
      <c r="V2" s="422"/>
      <c r="W2" s="422"/>
      <c r="X2" s="422"/>
      <c r="Y2" s="422"/>
      <c r="Z2" s="376"/>
      <c r="AA2" s="410" t="s">
        <v>912</v>
      </c>
      <c r="AB2" s="410" t="s">
        <v>912</v>
      </c>
      <c r="AC2" s="453" t="s">
        <v>912</v>
      </c>
      <c r="AD2" s="449" t="s">
        <v>912</v>
      </c>
      <c r="AE2" s="410" t="s">
        <v>906</v>
      </c>
      <c r="AF2" s="1" t="s">
        <v>906</v>
      </c>
      <c r="AG2" s="143"/>
      <c r="AH2" s="410" t="s">
        <v>912</v>
      </c>
      <c r="AI2" s="437" t="s">
        <v>926</v>
      </c>
      <c r="AJ2" s="142"/>
      <c r="AK2" s="142"/>
      <c r="AL2" s="1" t="s">
        <v>920</v>
      </c>
      <c r="AM2" s="142"/>
      <c r="AN2" s="142"/>
      <c r="AO2" s="142"/>
      <c r="AP2" s="408"/>
      <c r="AQ2" s="148"/>
      <c r="AR2" s="148"/>
      <c r="AS2" s="142"/>
    </row>
    <row r="3" spans="1:45" ht="15">
      <c r="A3" s="142"/>
      <c r="B3" s="142"/>
      <c r="C3" s="142"/>
      <c r="D3" s="367"/>
      <c r="E3" s="412"/>
      <c r="F3" s="414"/>
      <c r="G3" s="367"/>
      <c r="H3" s="367"/>
      <c r="I3" s="367"/>
      <c r="J3" s="419"/>
      <c r="K3" s="368"/>
      <c r="L3" s="368"/>
      <c r="M3" s="377"/>
      <c r="N3" s="377"/>
      <c r="O3" s="378"/>
      <c r="P3" s="378"/>
      <c r="Q3" s="374" t="s">
        <v>776</v>
      </c>
      <c r="R3" s="374" t="s">
        <v>776</v>
      </c>
      <c r="S3" s="361"/>
      <c r="T3" s="476" t="s">
        <v>759</v>
      </c>
      <c r="U3" s="476"/>
      <c r="V3" s="476"/>
      <c r="W3" s="476" t="s">
        <v>760</v>
      </c>
      <c r="X3" s="476"/>
      <c r="Y3" s="476"/>
      <c r="Z3" s="399"/>
      <c r="AA3" s="406"/>
      <c r="AB3" s="410"/>
      <c r="AC3" s="433" t="s">
        <v>933</v>
      </c>
      <c r="AD3" s="450" t="s">
        <v>932</v>
      </c>
      <c r="AE3" s="410"/>
      <c r="AF3" s="375" t="s">
        <v>776</v>
      </c>
      <c r="AG3" s="143" t="s">
        <v>928</v>
      </c>
      <c r="AH3" s="410" t="s">
        <v>925</v>
      </c>
      <c r="AI3" s="433" t="s">
        <v>919</v>
      </c>
      <c r="AJ3" s="142" t="s">
        <v>928</v>
      </c>
      <c r="AK3" s="142"/>
      <c r="AL3" s="142"/>
      <c r="AM3" s="142"/>
      <c r="AN3" s="142"/>
      <c r="AO3" s="142"/>
      <c r="AP3" s="408"/>
      <c r="AQ3" s="148"/>
      <c r="AR3" s="148"/>
      <c r="AS3" s="142"/>
    </row>
    <row r="4" spans="1:45" s="381" customFormat="1" ht="45" customHeight="1">
      <c r="A4" s="398" t="s">
        <v>911</v>
      </c>
      <c r="B4" s="398" t="s">
        <v>910</v>
      </c>
      <c r="C4" s="398" t="s">
        <v>909</v>
      </c>
      <c r="D4" s="383" t="s">
        <v>842</v>
      </c>
      <c r="E4" s="413" t="s">
        <v>906</v>
      </c>
      <c r="F4" s="413" t="s">
        <v>825</v>
      </c>
      <c r="G4" s="383" t="s">
        <v>826</v>
      </c>
      <c r="H4" s="391" t="s">
        <v>899</v>
      </c>
      <c r="I4" s="391" t="s">
        <v>38</v>
      </c>
      <c r="J4" s="420" t="s">
        <v>827</v>
      </c>
      <c r="K4" s="384" t="s">
        <v>828</v>
      </c>
      <c r="L4" s="379" t="s">
        <v>758</v>
      </c>
      <c r="M4" s="385" t="s">
        <v>829</v>
      </c>
      <c r="N4" s="385" t="s">
        <v>830</v>
      </c>
      <c r="O4" s="386" t="s">
        <v>831</v>
      </c>
      <c r="P4" s="386" t="s">
        <v>821</v>
      </c>
      <c r="Q4" s="380" t="s">
        <v>822</v>
      </c>
      <c r="R4" s="380" t="s">
        <v>823</v>
      </c>
      <c r="S4" s="387"/>
      <c r="T4" s="400" t="s">
        <v>761</v>
      </c>
      <c r="U4" s="400" t="s">
        <v>762</v>
      </c>
      <c r="V4" s="400" t="s">
        <v>763</v>
      </c>
      <c r="W4" s="400" t="s">
        <v>761</v>
      </c>
      <c r="X4" s="400" t="s">
        <v>762</v>
      </c>
      <c r="Y4" s="400" t="s">
        <v>763</v>
      </c>
      <c r="Z4" s="382" t="s">
        <v>824</v>
      </c>
      <c r="AA4" s="407" t="s">
        <v>784</v>
      </c>
      <c r="AB4" s="411" t="s">
        <v>783</v>
      </c>
      <c r="AC4" s="451" t="s">
        <v>931</v>
      </c>
      <c r="AD4" s="452" t="s">
        <v>930</v>
      </c>
      <c r="AE4" s="411" t="s">
        <v>785</v>
      </c>
      <c r="AF4" s="401" t="s">
        <v>782</v>
      </c>
      <c r="AG4" s="405" t="s">
        <v>764</v>
      </c>
      <c r="AH4" s="407" t="s">
        <v>765</v>
      </c>
      <c r="AI4" s="434" t="s">
        <v>927</v>
      </c>
      <c r="AJ4" s="402" t="s">
        <v>766</v>
      </c>
      <c r="AK4" s="402" t="s">
        <v>767</v>
      </c>
      <c r="AL4" s="402" t="s">
        <v>768</v>
      </c>
      <c r="AM4" s="402" t="s">
        <v>769</v>
      </c>
      <c r="AN4" s="402" t="s">
        <v>770</v>
      </c>
      <c r="AO4" s="402" t="s">
        <v>771</v>
      </c>
      <c r="AP4" s="409" t="s">
        <v>772</v>
      </c>
      <c r="AQ4" s="404" t="s">
        <v>773</v>
      </c>
      <c r="AR4" s="404" t="s">
        <v>774</v>
      </c>
      <c r="AS4" s="403" t="s">
        <v>775</v>
      </c>
    </row>
    <row r="5" spans="1:45">
      <c r="A5" t="str">
        <f t="shared" ref="A5:A50" si="0">F5&amp;J5</f>
        <v>Sam's2169-00</v>
      </c>
      <c r="D5" s="2" t="s">
        <v>843</v>
      </c>
      <c r="E5" s="2"/>
      <c r="F5" s="2" t="s">
        <v>832</v>
      </c>
      <c r="G5" t="e">
        <f>VLOOKUP($J5,'mapping-Y26'!#REF!,2,0)</f>
        <v>#REF!</v>
      </c>
      <c r="I5">
        <f>VLOOKUP($J5,'mapping-Y26'!$F:$L,5,0)</f>
        <v>14018125</v>
      </c>
      <c r="J5" t="s">
        <v>680</v>
      </c>
      <c r="K5" t="str">
        <f>VLOOKUP($J5,'mapping-Y26'!$F:$L,4,0)</f>
        <v>216900舒洁®北海道牛乳系列乳霜纸面巾80抽6包装</v>
      </c>
      <c r="L5" t="e">
        <f>VLOOKUP($J5,'mapping-Y26'!#REF!,4,0)</f>
        <v>#REF!</v>
      </c>
      <c r="M5" t="str">
        <f>VLOOKUP($J5,'mapping-Y26'!$H:$L,2,0)</f>
        <v>216900舒洁®北海道牛乳系列乳霜纸面巾80抽6包装</v>
      </c>
      <c r="N5" t="e">
        <f>VLOOKUP($J5,'mapping-Y26'!$M:$N,3,0)</f>
        <v>#N/A</v>
      </c>
      <c r="O5" s="2" t="e">
        <f>VLOOKUP($J5,'mapping-Y26'!$M:$N,5,0)</f>
        <v>#N/A</v>
      </c>
      <c r="P5" s="2" t="e">
        <f>VLOOKUP($J5,'mapping-Y26'!$M:$N,6,0)</f>
        <v>#N/A</v>
      </c>
      <c r="Q5" s="272" t="e">
        <f>VLOOKUP($J5,'mapping-Y26'!$M:$Q,7,0)</f>
        <v>#N/A</v>
      </c>
      <c r="R5" s="31" t="e">
        <f>Q5/O5</f>
        <v>#N/A</v>
      </c>
      <c r="U5" s="2">
        <v>45.9</v>
      </c>
      <c r="X5" s="423">
        <v>1</v>
      </c>
      <c r="Z5" s="397">
        <f t="shared" ref="Z5:Z50" si="1">T5*W5+U5*X5+V5*Y5</f>
        <v>45.9</v>
      </c>
      <c r="AA5" s="3">
        <v>0.13139999999999999</v>
      </c>
      <c r="AB5" s="161">
        <v>0</v>
      </c>
      <c r="AC5" s="161">
        <f t="shared" ref="AC5:AC41" si="2">Z5*(1-AA5-AB5)/1.13</f>
        <v>35.282070796460182</v>
      </c>
      <c r="AD5" s="161" t="e">
        <f>208.51245936/O5</f>
        <v>#N/A</v>
      </c>
      <c r="AG5" s="3" t="e">
        <f t="shared" ref="AG5:AG36" si="3">(R5-AD5)/R5</f>
        <v>#N/A</v>
      </c>
      <c r="AH5" s="396">
        <v>3.04E-2</v>
      </c>
      <c r="AJ5" s="66" t="e">
        <f t="shared" ref="AJ5:AJ36" si="4">(AH5+AI5)*AD5/R5+AG5</f>
        <v>#N/A</v>
      </c>
      <c r="AK5" s="31" t="e">
        <f t="shared" ref="AK5:AK36" si="5">R5*(1-AJ5)</f>
        <v>#N/A</v>
      </c>
      <c r="AL5" s="66" t="e">
        <f>VLOOKUP($J5,#REF!,12,0)</f>
        <v>#REF!</v>
      </c>
      <c r="AM5" s="68">
        <v>2.7E-2</v>
      </c>
      <c r="AN5" s="31" t="e">
        <f t="shared" ref="AN5:AN36" si="6">AK5-R5*(AL5+AM5)</f>
        <v>#N/A</v>
      </c>
      <c r="AO5" s="3" t="e">
        <f t="shared" ref="AO5:AO50" si="7">AN5/AK5</f>
        <v>#N/A</v>
      </c>
      <c r="AQ5" s="157" t="e">
        <f t="shared" ref="AQ5:AQ36" si="8">O5*AK5*AP5</f>
        <v>#N/A</v>
      </c>
      <c r="AR5" s="157" t="e">
        <f t="shared" ref="AR5:AR36" si="9">AP5*AN5*O5</f>
        <v>#N/A</v>
      </c>
      <c r="AS5" s="31" t="e">
        <f t="shared" ref="AS5:AS36" si="10">AP5*Q5</f>
        <v>#N/A</v>
      </c>
    </row>
    <row r="6" spans="1:45">
      <c r="A6" t="str">
        <f t="shared" si="0"/>
        <v>Sam's2609-00</v>
      </c>
      <c r="D6" s="2" t="s">
        <v>843</v>
      </c>
      <c r="E6" s="2"/>
      <c r="F6" s="2" t="s">
        <v>832</v>
      </c>
      <c r="G6" t="e">
        <f>VLOOKUP($J6,'mapping-Y26'!#REF!,2,0)</f>
        <v>#REF!</v>
      </c>
      <c r="H6" t="str">
        <f>VLOOKUP($J6,'mapping-Y26'!$F:$L,6,0)</f>
        <v>8P-65gsm-山姆</v>
      </c>
      <c r="I6">
        <f>VLOOKUP($J6,'mapping-Y26'!$F:$L,5,0)</f>
        <v>14018377</v>
      </c>
      <c r="J6" t="s">
        <v>862</v>
      </c>
      <c r="K6" t="str">
        <f>VLOOKUP($J6,'mapping-Y26'!$F:$L,4,0)</f>
        <v xml:space="preserve">260900舒洁湿厕纸(65gsm)8片x48包 </v>
      </c>
      <c r="L6" t="e">
        <f>VLOOKUP($J6,'mapping-Y26'!#REF!,4,0)</f>
        <v>#REF!</v>
      </c>
      <c r="M6" t="str">
        <f>VLOOKUP($J6,'mapping-Y26'!$H:$L,2,0)</f>
        <v xml:space="preserve">260900舒洁湿厕纸(65gsm)8片x48包 </v>
      </c>
      <c r="N6" t="e">
        <f>VLOOKUP($J6,'mapping-Y26'!M:N,3,0)</f>
        <v>#N/A</v>
      </c>
      <c r="O6" s="2" t="e">
        <f>VLOOKUP($J6,'mapping-Y26'!$M:$N,5,0)</f>
        <v>#N/A</v>
      </c>
      <c r="P6" s="2" t="e">
        <f>VLOOKUP($J6,'mapping-Y26'!$M:$N,6,0)</f>
        <v>#N/A</v>
      </c>
      <c r="Q6" s="272" t="e">
        <f>VLOOKUP($J6,'mapping-Y26'!$M:$Q,7,0)</f>
        <v>#N/A</v>
      </c>
      <c r="R6" s="31" t="e">
        <f t="shared" ref="R6:R68" si="11">Q6/O6</f>
        <v>#N/A</v>
      </c>
      <c r="U6" s="2">
        <v>49.9</v>
      </c>
      <c r="X6" s="423">
        <v>1</v>
      </c>
      <c r="Z6" s="397">
        <f t="shared" si="1"/>
        <v>49.9</v>
      </c>
      <c r="AA6" s="3">
        <v>0.13</v>
      </c>
      <c r="AB6" s="161">
        <v>0</v>
      </c>
      <c r="AC6" s="161">
        <f t="shared" si="2"/>
        <v>38.418584070796463</v>
      </c>
      <c r="AD6" s="161">
        <v>37.843700000000005</v>
      </c>
      <c r="AG6" s="3" t="e">
        <f t="shared" si="3"/>
        <v>#N/A</v>
      </c>
      <c r="AH6" s="396">
        <v>3.04E-2</v>
      </c>
      <c r="AJ6" s="66" t="e">
        <f t="shared" si="4"/>
        <v>#N/A</v>
      </c>
      <c r="AK6" s="31" t="e">
        <f t="shared" si="5"/>
        <v>#N/A</v>
      </c>
      <c r="AL6" s="66" t="e">
        <f>VLOOKUP($J6,#REF!,12,0)</f>
        <v>#REF!</v>
      </c>
      <c r="AM6" s="68">
        <v>2.7E-2</v>
      </c>
      <c r="AN6" s="31" t="e">
        <f t="shared" si="6"/>
        <v>#N/A</v>
      </c>
      <c r="AO6" s="3" t="e">
        <f t="shared" si="7"/>
        <v>#N/A</v>
      </c>
      <c r="AQ6" s="157" t="e">
        <f t="shared" si="8"/>
        <v>#N/A</v>
      </c>
      <c r="AR6" s="157" t="e">
        <f t="shared" si="9"/>
        <v>#N/A</v>
      </c>
      <c r="AS6" s="31" t="e">
        <f t="shared" si="10"/>
        <v>#N/A</v>
      </c>
    </row>
    <row r="7" spans="1:45">
      <c r="A7" t="str">
        <f t="shared" si="0"/>
        <v>Walmart2155-03</v>
      </c>
      <c r="D7" s="2" t="s">
        <v>843</v>
      </c>
      <c r="E7" s="2"/>
      <c r="F7" s="2" t="s">
        <v>833</v>
      </c>
      <c r="G7" t="e">
        <f>VLOOKUP($J7,'mapping-Y26'!#REF!,2,0)</f>
        <v>#REF!</v>
      </c>
      <c r="I7">
        <f>VLOOKUP($J7,'mapping-Y26'!$F:$L,5,0)</f>
        <v>14016306</v>
      </c>
      <c r="J7" t="s">
        <v>136</v>
      </c>
      <c r="K7" t="str">
        <f>VLOOKUP($J7,'mapping-Y26'!$F:$L,4,0)</f>
        <v>215503舒洁®北海道轻牛乳系列乳霜纸面巾40抽3包装</v>
      </c>
      <c r="L7" t="e">
        <f>VLOOKUP($J7,'mapping-Y26'!#REF!,4,0)</f>
        <v>#REF!</v>
      </c>
      <c r="M7" t="str">
        <f>VLOOKUP($J7,'mapping-Y26'!$H:$L,2,0)</f>
        <v>215503舒洁®北海道轻牛乳系列乳霜纸面巾40抽3包装</v>
      </c>
      <c r="N7" t="e">
        <f>VLOOKUP($J7,'mapping-Y26'!M:N,3,0)</f>
        <v>#N/A</v>
      </c>
      <c r="O7" s="2" t="e">
        <f>VLOOKUP($J7,'mapping-Y26'!$M:$N,5,0)</f>
        <v>#N/A</v>
      </c>
      <c r="P7" s="2" t="e">
        <f>VLOOKUP($J7,'mapping-Y26'!$M:$N,6,0)</f>
        <v>#N/A</v>
      </c>
      <c r="Q7" s="272" t="e">
        <f>VLOOKUP($J7,'mapping-Y26'!$M:$Q,7,0)</f>
        <v>#N/A</v>
      </c>
      <c r="R7" s="31" t="e">
        <f t="shared" si="11"/>
        <v>#N/A</v>
      </c>
      <c r="U7" s="2">
        <v>9.9</v>
      </c>
      <c r="V7" s="2">
        <v>7.9</v>
      </c>
      <c r="X7" s="423">
        <v>0.6</v>
      </c>
      <c r="Y7" s="423">
        <v>0.4</v>
      </c>
      <c r="Z7" s="397">
        <f t="shared" si="1"/>
        <v>9.1000000000000014</v>
      </c>
      <c r="AA7" s="3">
        <v>0.2</v>
      </c>
      <c r="AB7" s="161">
        <v>0</v>
      </c>
      <c r="AC7" s="161">
        <f t="shared" si="2"/>
        <v>6.4424778761061967</v>
      </c>
      <c r="AG7" s="3" t="e">
        <f t="shared" si="3"/>
        <v>#N/A</v>
      </c>
      <c r="AJ7" s="66" t="e">
        <f t="shared" si="4"/>
        <v>#N/A</v>
      </c>
      <c r="AK7" s="31" t="e">
        <f t="shared" si="5"/>
        <v>#N/A</v>
      </c>
      <c r="AL7" s="66" t="e">
        <f>VLOOKUP($J7,#REF!,12,0)</f>
        <v>#REF!</v>
      </c>
      <c r="AM7" s="68">
        <v>2.7E-2</v>
      </c>
      <c r="AN7" s="31" t="e">
        <f t="shared" si="6"/>
        <v>#N/A</v>
      </c>
      <c r="AO7" s="3" t="e">
        <f t="shared" si="7"/>
        <v>#N/A</v>
      </c>
      <c r="AQ7" s="157" t="e">
        <f t="shared" si="8"/>
        <v>#N/A</v>
      </c>
      <c r="AR7" s="157" t="e">
        <f t="shared" si="9"/>
        <v>#N/A</v>
      </c>
      <c r="AS7" s="31" t="e">
        <f t="shared" si="10"/>
        <v>#N/A</v>
      </c>
    </row>
    <row r="8" spans="1:45">
      <c r="A8" t="str">
        <f t="shared" si="0"/>
        <v>Watsons2660-10</v>
      </c>
      <c r="D8" s="2" t="s">
        <v>843</v>
      </c>
      <c r="E8" s="2"/>
      <c r="F8" s="2" t="s">
        <v>834</v>
      </c>
      <c r="G8" t="e">
        <f>VLOOKUP($J8,'mapping-Y26'!#REF!,2,0)</f>
        <v>#REF!</v>
      </c>
      <c r="H8" t="str">
        <f>VLOOKUP($J8,'mapping-Y26'!$F:$L,6,0)</f>
        <v>80P</v>
      </c>
      <c r="I8">
        <f>VLOOKUP($J8,'mapping-Y26'!$F:$L,5,0)</f>
        <v>14017865</v>
      </c>
      <c r="J8" t="s">
        <v>555</v>
      </c>
      <c r="K8" t="str">
        <f>VLOOKUP($J8,'mapping-Y26'!$F:$L,4,0)</f>
        <v xml:space="preserve">266010舒洁湿厕纸80片 </v>
      </c>
      <c r="L8" t="e">
        <f>VLOOKUP($J8,'mapping-Y26'!#REF!,4,0)</f>
        <v>#REF!</v>
      </c>
      <c r="M8" t="str">
        <f>VLOOKUP($J8,'mapping-Y26'!$H:$L,2,0)</f>
        <v xml:space="preserve">266010舒洁湿厕纸80片 </v>
      </c>
      <c r="N8" t="e">
        <f>VLOOKUP($J8,'mapping-Y26'!M:N,3,0)</f>
        <v>#N/A</v>
      </c>
      <c r="O8" s="2" t="e">
        <f>VLOOKUP($J8,'mapping-Y26'!$M:$N,5,0)</f>
        <v>#N/A</v>
      </c>
      <c r="P8" s="2" t="e">
        <f>VLOOKUP($J8,'mapping-Y26'!$M:$N,6,0)</f>
        <v>#N/A</v>
      </c>
      <c r="Q8" s="272" t="e">
        <f>VLOOKUP($J8,'mapping-Y26'!$M:$Q,7,0)</f>
        <v>#N/A</v>
      </c>
      <c r="R8" s="31" t="e">
        <f t="shared" si="11"/>
        <v>#N/A</v>
      </c>
      <c r="U8" s="2">
        <v>10</v>
      </c>
      <c r="V8" s="454">
        <f>25/3</f>
        <v>8.3333333333333339</v>
      </c>
      <c r="X8" s="423">
        <v>0.6</v>
      </c>
      <c r="Y8" s="423">
        <v>0.4</v>
      </c>
      <c r="Z8" s="397">
        <f>T8*W8+U8*X8+V8*Y8</f>
        <v>9.3333333333333339</v>
      </c>
      <c r="AA8" s="3">
        <v>0.25</v>
      </c>
      <c r="AB8" s="161">
        <v>0</v>
      </c>
      <c r="AC8" s="161">
        <f>Z8*(1-AA8-AB8)/1.13</f>
        <v>6.1946902654867264</v>
      </c>
      <c r="AD8" s="161">
        <v>11.414893617021292</v>
      </c>
      <c r="AG8" s="3" t="e">
        <f t="shared" si="3"/>
        <v>#N/A</v>
      </c>
      <c r="AH8" s="396" t="e">
        <f>25%*AC8/R8</f>
        <v>#N/A</v>
      </c>
      <c r="AI8" s="395">
        <f>(AD8-AC8)/AD8</f>
        <v>0.45731511187721202</v>
      </c>
      <c r="AJ8" s="66" t="e">
        <f t="shared" si="4"/>
        <v>#N/A</v>
      </c>
      <c r="AK8" s="31" t="e">
        <f t="shared" si="5"/>
        <v>#N/A</v>
      </c>
      <c r="AL8" s="66" t="e">
        <f>VLOOKUP($J8,#REF!,12,0)</f>
        <v>#REF!</v>
      </c>
      <c r="AM8" s="68">
        <v>2.7E-2</v>
      </c>
      <c r="AN8" s="31" t="e">
        <f t="shared" si="6"/>
        <v>#N/A</v>
      </c>
      <c r="AO8" s="3" t="e">
        <f>AN8/AK8</f>
        <v>#N/A</v>
      </c>
      <c r="AQ8" s="157" t="e">
        <f t="shared" si="8"/>
        <v>#N/A</v>
      </c>
      <c r="AR8" s="157" t="e">
        <f t="shared" si="9"/>
        <v>#N/A</v>
      </c>
      <c r="AS8" s="31" t="e">
        <f t="shared" si="10"/>
        <v>#N/A</v>
      </c>
    </row>
    <row r="9" spans="1:45">
      <c r="A9" t="str">
        <f t="shared" si="0"/>
        <v>Watsons2694-50</v>
      </c>
      <c r="D9" s="2" t="s">
        <v>843</v>
      </c>
      <c r="E9" s="2"/>
      <c r="F9" s="2" t="s">
        <v>834</v>
      </c>
      <c r="G9" t="e">
        <f>VLOOKUP($J9,'mapping-Y26'!#REF!,2,0)</f>
        <v>#REF!</v>
      </c>
      <c r="H9" t="str">
        <f>VLOOKUP($J9,'mapping-Y26'!$F:$L,6,0)</f>
        <v>40P-55gsm</v>
      </c>
      <c r="I9">
        <f>VLOOKUP($J9,'mapping-Y26'!$F:$L,5,0)</f>
        <v>14017864</v>
      </c>
      <c r="J9" t="s">
        <v>559</v>
      </c>
      <c r="K9" t="str">
        <f>VLOOKUP($J9,'mapping-Y26'!$F:$L,4,0)</f>
        <v xml:space="preserve">D269450舒洁湿厕纸家庭装40抽 </v>
      </c>
      <c r="L9" t="e">
        <f>VLOOKUP($J9,'mapping-Y26'!#REF!,4,0)</f>
        <v>#REF!</v>
      </c>
      <c r="M9" t="str">
        <f>VLOOKUP($J9,'mapping-Y26'!$H:$L,2,0)</f>
        <v xml:space="preserve">D269450舒洁湿厕纸家庭装40抽 </v>
      </c>
      <c r="N9" t="e">
        <f>VLOOKUP($J9,'mapping-Y26'!M:N,3,0)</f>
        <v>#N/A</v>
      </c>
      <c r="O9" s="2" t="e">
        <f>VLOOKUP($J9,'mapping-Y26'!$M:$N,5,0)</f>
        <v>#N/A</v>
      </c>
      <c r="P9" s="2" t="e">
        <f>VLOOKUP($J9,'mapping-Y26'!$M:$N,6,0)</f>
        <v>#N/A</v>
      </c>
      <c r="Q9" s="272" t="e">
        <f>VLOOKUP($J9,'mapping-Y26'!$M:$Q,7,0)</f>
        <v>#N/A</v>
      </c>
      <c r="R9" s="31" t="e">
        <f t="shared" si="11"/>
        <v>#N/A</v>
      </c>
      <c r="U9" s="2">
        <v>7.5</v>
      </c>
      <c r="V9" s="2">
        <v>6</v>
      </c>
      <c r="X9" s="423">
        <v>0.5</v>
      </c>
      <c r="Y9" s="423">
        <v>0.5</v>
      </c>
      <c r="Z9" s="397">
        <f t="shared" si="1"/>
        <v>6.75</v>
      </c>
      <c r="AA9" s="3">
        <v>0.25</v>
      </c>
      <c r="AB9" s="161">
        <v>0</v>
      </c>
      <c r="AC9" s="161">
        <f t="shared" si="2"/>
        <v>4.480088495575222</v>
      </c>
      <c r="AD9" s="161">
        <v>9.1879999999999988</v>
      </c>
      <c r="AG9" s="3" t="e">
        <f t="shared" si="3"/>
        <v>#N/A</v>
      </c>
      <c r="AH9" s="396" t="e">
        <f t="shared" ref="AH9:AH11" si="12">25%*AC9/R9</f>
        <v>#N/A</v>
      </c>
      <c r="AI9" s="395">
        <f>(AD9-AC9)/AD9</f>
        <v>0.51239785638058089</v>
      </c>
      <c r="AJ9" s="66" t="e">
        <f t="shared" si="4"/>
        <v>#N/A</v>
      </c>
      <c r="AK9" s="31" t="e">
        <f t="shared" si="5"/>
        <v>#N/A</v>
      </c>
      <c r="AL9" s="66" t="e">
        <f>VLOOKUP($J9,#REF!,12,0)</f>
        <v>#REF!</v>
      </c>
      <c r="AM9" s="68">
        <v>2.7E-2</v>
      </c>
      <c r="AN9" s="31" t="e">
        <f t="shared" si="6"/>
        <v>#N/A</v>
      </c>
      <c r="AO9" s="3" t="e">
        <f>AN9/AK9</f>
        <v>#N/A</v>
      </c>
      <c r="AQ9" s="157" t="e">
        <f t="shared" si="8"/>
        <v>#N/A</v>
      </c>
      <c r="AR9" s="157" t="e">
        <f t="shared" si="9"/>
        <v>#N/A</v>
      </c>
      <c r="AS9" s="31" t="e">
        <f t="shared" si="10"/>
        <v>#N/A</v>
      </c>
    </row>
    <row r="10" spans="1:45">
      <c r="A10" t="str">
        <f t="shared" si="0"/>
        <v>Watsons2673-00</v>
      </c>
      <c r="D10" s="2" t="s">
        <v>843</v>
      </c>
      <c r="E10" s="2"/>
      <c r="F10" s="2" t="s">
        <v>834</v>
      </c>
      <c r="G10" t="e">
        <f>VLOOKUP($J10,'mapping-Y26'!#REF!,2,0)</f>
        <v>#REF!</v>
      </c>
      <c r="H10" t="str">
        <f>VLOOKUP($J10,'mapping-Y26'!$F:$L,6,0)</f>
        <v>60P</v>
      </c>
      <c r="I10">
        <f>VLOOKUP($J10,'mapping-Y26'!$F:$L,5,0)</f>
        <v>14016683</v>
      </c>
      <c r="J10" t="s">
        <v>929</v>
      </c>
      <c r="K10" t="str">
        <f>VLOOKUP($J10,'mapping-Y26'!$F:$L,4,0)</f>
        <v xml:space="preserve">267300舒洁®山茶花系列湿巾（湿厕纸）60片 </v>
      </c>
      <c r="L10" t="e">
        <f>VLOOKUP($J10,'mapping-Y26'!#REF!,4,0)</f>
        <v>#REF!</v>
      </c>
      <c r="M10" t="str">
        <f>VLOOKUP($J10,'mapping-Y26'!$H:$L,2,0)</f>
        <v xml:space="preserve">267300舒洁®山茶花系列湿巾（湿厕纸）60片 </v>
      </c>
      <c r="N10" t="e">
        <f>VLOOKUP($J10,'mapping-Y26'!M:N,3,0)</f>
        <v>#N/A</v>
      </c>
      <c r="O10" s="2" t="e">
        <f>VLOOKUP($J10,'mapping-Y26'!$M:$N,5,0)</f>
        <v>#N/A</v>
      </c>
      <c r="P10" s="2" t="e">
        <f>VLOOKUP($J10,'mapping-Y26'!$M:$N,6,0)</f>
        <v>#N/A</v>
      </c>
      <c r="Q10" s="272" t="e">
        <f>VLOOKUP($J10,'mapping-Y26'!$M:$Q,7,0)</f>
        <v>#N/A</v>
      </c>
      <c r="R10" s="31" t="e">
        <f t="shared" si="11"/>
        <v>#N/A</v>
      </c>
      <c r="U10" s="2">
        <v>10</v>
      </c>
      <c r="V10" s="454">
        <f>25/3</f>
        <v>8.3333333333333339</v>
      </c>
      <c r="X10" s="423">
        <v>0.6</v>
      </c>
      <c r="Y10" s="423">
        <v>0.4</v>
      </c>
      <c r="Z10" s="397">
        <f t="shared" si="1"/>
        <v>9.3333333333333339</v>
      </c>
      <c r="AA10" s="3">
        <v>0.25</v>
      </c>
      <c r="AB10" s="161">
        <v>0</v>
      </c>
      <c r="AC10" s="161">
        <f t="shared" si="2"/>
        <v>6.1946902654867264</v>
      </c>
      <c r="AD10" s="161">
        <f>40.8/4</f>
        <v>10.199999999999999</v>
      </c>
      <c r="AG10" s="3" t="e">
        <f t="shared" si="3"/>
        <v>#N/A</v>
      </c>
      <c r="AH10" s="396" t="e">
        <f t="shared" si="12"/>
        <v>#N/A</v>
      </c>
      <c r="AI10" s="395">
        <f>(AD10-AC10)/AD10</f>
        <v>0.3926774249522817</v>
      </c>
      <c r="AJ10" s="66" t="e">
        <f t="shared" si="4"/>
        <v>#N/A</v>
      </c>
      <c r="AK10" s="31" t="e">
        <f t="shared" si="5"/>
        <v>#N/A</v>
      </c>
      <c r="AL10" s="66" t="e">
        <f>VLOOKUP($J10,#REF!,12,0)</f>
        <v>#REF!</v>
      </c>
      <c r="AM10" s="68">
        <v>2.7E-2</v>
      </c>
      <c r="AN10" s="31" t="e">
        <f t="shared" si="6"/>
        <v>#N/A</v>
      </c>
      <c r="AO10" s="3" t="e">
        <f t="shared" si="7"/>
        <v>#N/A</v>
      </c>
      <c r="AQ10" s="157" t="e">
        <f t="shared" si="8"/>
        <v>#N/A</v>
      </c>
      <c r="AR10" s="157" t="e">
        <f t="shared" si="9"/>
        <v>#N/A</v>
      </c>
      <c r="AS10" s="31" t="e">
        <f t="shared" si="10"/>
        <v>#N/A</v>
      </c>
    </row>
    <row r="11" spans="1:45">
      <c r="A11" t="str">
        <f t="shared" si="0"/>
        <v>Watsons2155-03</v>
      </c>
      <c r="D11" s="2" t="s">
        <v>843</v>
      </c>
      <c r="E11" s="2"/>
      <c r="F11" s="2" t="s">
        <v>834</v>
      </c>
      <c r="G11" t="e">
        <f>VLOOKUP($J11,'mapping-Y26'!#REF!,2,0)</f>
        <v>#REF!</v>
      </c>
      <c r="I11">
        <f>VLOOKUP($J11,'mapping-Y26'!$F:$L,5,0)</f>
        <v>14016306</v>
      </c>
      <c r="J11" t="s">
        <v>136</v>
      </c>
      <c r="K11" t="str">
        <f>VLOOKUP($J11,'mapping-Y26'!$F:$L,4,0)</f>
        <v>215503舒洁®北海道轻牛乳系列乳霜纸面巾40抽3包装</v>
      </c>
      <c r="L11" t="e">
        <f>VLOOKUP($J11,'mapping-Y26'!#REF!,4,0)</f>
        <v>#REF!</v>
      </c>
      <c r="M11" t="str">
        <f>VLOOKUP($J11,'mapping-Y26'!$H:$L,2,0)</f>
        <v>215503舒洁®北海道轻牛乳系列乳霜纸面巾40抽3包装</v>
      </c>
      <c r="N11" t="e">
        <f>VLOOKUP($J11,'mapping-Y26'!M:N,3,0)</f>
        <v>#N/A</v>
      </c>
      <c r="O11" s="2" t="e">
        <f>VLOOKUP($J11,'mapping-Y26'!$M:$N,5,0)</f>
        <v>#N/A</v>
      </c>
      <c r="P11" s="2" t="e">
        <f>VLOOKUP($J11,'mapping-Y26'!$M:$N,6,0)</f>
        <v>#N/A</v>
      </c>
      <c r="Q11" s="272" t="e">
        <f>VLOOKUP($J11,'mapping-Y26'!$M:$Q,7,0)</f>
        <v>#N/A</v>
      </c>
      <c r="R11" s="31" t="e">
        <f t="shared" si="11"/>
        <v>#N/A</v>
      </c>
      <c r="U11" s="454">
        <v>12.5</v>
      </c>
      <c r="V11" s="2">
        <v>9.9</v>
      </c>
      <c r="W11" s="455"/>
      <c r="X11" s="423">
        <v>0.5</v>
      </c>
      <c r="Y11" s="423">
        <v>0.5</v>
      </c>
      <c r="Z11" s="397">
        <f t="shared" si="1"/>
        <v>11.2</v>
      </c>
      <c r="AA11" s="3">
        <v>0.25</v>
      </c>
      <c r="AB11" s="161">
        <v>0</v>
      </c>
      <c r="AC11" s="161">
        <f>Z11*(1-AA11-AB11)/1.13</f>
        <v>7.4336283185840699</v>
      </c>
      <c r="AD11" s="161" t="e">
        <f>R11</f>
        <v>#N/A</v>
      </c>
      <c r="AG11" s="3" t="e">
        <f t="shared" si="3"/>
        <v>#N/A</v>
      </c>
      <c r="AH11" s="396" t="e">
        <f t="shared" si="12"/>
        <v>#N/A</v>
      </c>
      <c r="AI11" s="395" t="e">
        <f>(AD11-AC11)/AD11</f>
        <v>#N/A</v>
      </c>
      <c r="AJ11" s="66" t="e">
        <f t="shared" si="4"/>
        <v>#N/A</v>
      </c>
      <c r="AK11" s="31" t="e">
        <f t="shared" si="5"/>
        <v>#N/A</v>
      </c>
      <c r="AL11" s="66" t="e">
        <f>VLOOKUP($J11,#REF!,12,0)</f>
        <v>#REF!</v>
      </c>
      <c r="AM11" s="68">
        <v>2.7E-2</v>
      </c>
      <c r="AN11" s="31" t="e">
        <f t="shared" si="6"/>
        <v>#N/A</v>
      </c>
      <c r="AO11" s="3" t="e">
        <f t="shared" si="7"/>
        <v>#N/A</v>
      </c>
      <c r="AQ11" s="157" t="e">
        <f t="shared" si="8"/>
        <v>#N/A</v>
      </c>
      <c r="AR11" s="157" t="e">
        <f t="shared" si="9"/>
        <v>#N/A</v>
      </c>
      <c r="AS11" s="31" t="e">
        <f t="shared" si="10"/>
        <v>#N/A</v>
      </c>
    </row>
    <row r="12" spans="1:45">
      <c r="A12" t="str">
        <f t="shared" si="0"/>
        <v>Watsons2653-00</v>
      </c>
      <c r="D12" s="2" t="s">
        <v>843</v>
      </c>
      <c r="E12" s="2"/>
      <c r="F12" s="2" t="s">
        <v>834</v>
      </c>
      <c r="G12" t="e">
        <f>VLOOKUP($J12,'mapping-Y26'!#REF!,2,0)</f>
        <v>#REF!</v>
      </c>
      <c r="H12" s="47" t="str">
        <f>VLOOKUP($J12,'mapping-Y26'!$F:$L,6,0)</f>
        <v>40P-小熊</v>
      </c>
      <c r="I12">
        <f>VLOOKUP($J12,'mapping-Y26'!$F:$L,5,0)</f>
        <v>14018677</v>
      </c>
      <c r="J12" t="s">
        <v>875</v>
      </c>
      <c r="K12" t="str">
        <f>VLOOKUP($J12,'mapping-Y26'!$F:$L,4,0)</f>
        <v>2653-00舒洁小熊湿厕纸40片</v>
      </c>
      <c r="L12" t="e">
        <f>VLOOKUP($J12,'mapping-Y26'!#REF!,4,0)</f>
        <v>#REF!</v>
      </c>
      <c r="M12" t="str">
        <f>VLOOKUP($J12,'mapping-Y26'!$H:$L,2,0)</f>
        <v>2653-00舒洁小熊湿厕纸40片</v>
      </c>
      <c r="N12" t="e">
        <f>VLOOKUP($J12,'mapping-Y26'!M:N,3,0)</f>
        <v>#N/A</v>
      </c>
      <c r="O12" s="2" t="e">
        <f>VLOOKUP($J12,'mapping-Y26'!$M:$N,5,0)</f>
        <v>#N/A</v>
      </c>
      <c r="P12" s="2" t="e">
        <f>VLOOKUP($J12,'mapping-Y26'!$M:$N,6,0)</f>
        <v>#N/A</v>
      </c>
      <c r="Q12" s="272" t="e">
        <f>VLOOKUP($J12,'mapping-Y26'!$M:$Q,7,0)</f>
        <v>#N/A</v>
      </c>
      <c r="R12" s="31" t="e">
        <f t="shared" si="11"/>
        <v>#N/A</v>
      </c>
      <c r="Z12" s="397">
        <f t="shared" si="1"/>
        <v>0</v>
      </c>
      <c r="AA12" s="3">
        <v>0.25</v>
      </c>
      <c r="AB12" s="161">
        <v>0</v>
      </c>
      <c r="AC12" s="161">
        <f t="shared" si="2"/>
        <v>0</v>
      </c>
      <c r="AG12" s="3" t="e">
        <f t="shared" si="3"/>
        <v>#N/A</v>
      </c>
      <c r="AJ12" s="66" t="e">
        <f t="shared" si="4"/>
        <v>#N/A</v>
      </c>
      <c r="AK12" s="31" t="e">
        <f t="shared" si="5"/>
        <v>#N/A</v>
      </c>
      <c r="AL12" s="66" t="e">
        <f>VLOOKUP($J12,#REF!,12,0)</f>
        <v>#REF!</v>
      </c>
      <c r="AM12" s="68">
        <v>2.7E-2</v>
      </c>
      <c r="AN12" s="31" t="e">
        <f t="shared" si="6"/>
        <v>#N/A</v>
      </c>
      <c r="AO12" s="3" t="e">
        <f t="shared" si="7"/>
        <v>#N/A</v>
      </c>
      <c r="AQ12" s="157" t="e">
        <f t="shared" si="8"/>
        <v>#N/A</v>
      </c>
      <c r="AR12" s="157" t="e">
        <f t="shared" si="9"/>
        <v>#N/A</v>
      </c>
      <c r="AS12" s="31" t="e">
        <f t="shared" si="10"/>
        <v>#N/A</v>
      </c>
    </row>
    <row r="13" spans="1:45">
      <c r="A13" t="str">
        <f t="shared" si="0"/>
        <v>Watsons2657-00</v>
      </c>
      <c r="D13" s="2" t="s">
        <v>843</v>
      </c>
      <c r="E13" s="2"/>
      <c r="F13" s="2" t="s">
        <v>834</v>
      </c>
      <c r="G13" t="e">
        <f>VLOOKUP($J13,'mapping-Y26'!#REF!,2,0)</f>
        <v>#REF!</v>
      </c>
      <c r="H13" s="47" t="str">
        <f>VLOOKUP($J13,'mapping-Y26'!$F:$L,6,0)</f>
        <v>80P-小熊</v>
      </c>
      <c r="I13">
        <f>VLOOKUP($J13,'mapping-Y26'!$F:$L,5,0)</f>
        <v>14018689</v>
      </c>
      <c r="J13" t="s">
        <v>877</v>
      </c>
      <c r="K13" t="str">
        <f>VLOOKUP($J13,'mapping-Y26'!$F:$L,4,0)</f>
        <v>2657-00舒洁小熊湿厕纸80片</v>
      </c>
      <c r="L13" t="e">
        <f>VLOOKUP($J13,'mapping-Y26'!#REF!,4,0)</f>
        <v>#REF!</v>
      </c>
      <c r="M13" t="str">
        <f>VLOOKUP($J13,'mapping-Y26'!$H:$L,2,0)</f>
        <v>2657-00舒洁小熊湿厕纸80片</v>
      </c>
      <c r="N13" t="e">
        <f>VLOOKUP($J13,'mapping-Y26'!M:N,3,0)</f>
        <v>#N/A</v>
      </c>
      <c r="O13" s="2" t="e">
        <f>VLOOKUP($J13,'mapping-Y26'!$M:$N,5,0)</f>
        <v>#N/A</v>
      </c>
      <c r="P13" s="2" t="e">
        <f>VLOOKUP($J13,'mapping-Y26'!$M:$N,6,0)</f>
        <v>#N/A</v>
      </c>
      <c r="Q13" s="272" t="e">
        <f>VLOOKUP($J13,'mapping-Y26'!$M:$Q,7,0)</f>
        <v>#N/A</v>
      </c>
      <c r="R13" s="31" t="e">
        <f t="shared" ref="R13" si="13">Q13/O13</f>
        <v>#N/A</v>
      </c>
      <c r="Z13" s="397">
        <f t="shared" si="1"/>
        <v>0</v>
      </c>
      <c r="AA13" s="3">
        <v>0.25</v>
      </c>
      <c r="AB13" s="161">
        <v>0</v>
      </c>
      <c r="AC13" s="161">
        <f t="shared" si="2"/>
        <v>0</v>
      </c>
      <c r="AG13" s="3" t="e">
        <f t="shared" si="3"/>
        <v>#N/A</v>
      </c>
      <c r="AJ13" s="66" t="e">
        <f t="shared" si="4"/>
        <v>#N/A</v>
      </c>
      <c r="AK13" s="31" t="e">
        <f t="shared" si="5"/>
        <v>#N/A</v>
      </c>
      <c r="AL13" s="66" t="e">
        <f>VLOOKUP($J13,#REF!,12,0)</f>
        <v>#REF!</v>
      </c>
      <c r="AM13" s="68"/>
      <c r="AN13" s="31" t="e">
        <f t="shared" si="6"/>
        <v>#N/A</v>
      </c>
      <c r="AO13" s="3" t="e">
        <f t="shared" si="7"/>
        <v>#N/A</v>
      </c>
      <c r="AQ13" s="157" t="e">
        <f t="shared" si="8"/>
        <v>#N/A</v>
      </c>
      <c r="AR13" s="157" t="e">
        <f t="shared" si="9"/>
        <v>#N/A</v>
      </c>
      <c r="AS13" s="31" t="e">
        <f t="shared" si="10"/>
        <v>#N/A</v>
      </c>
    </row>
    <row r="14" spans="1:45">
      <c r="A14" t="str">
        <f t="shared" si="0"/>
        <v>Metro2662-10</v>
      </c>
      <c r="D14" s="2" t="s">
        <v>843</v>
      </c>
      <c r="E14" s="2"/>
      <c r="F14" s="2" t="s">
        <v>835</v>
      </c>
      <c r="G14" t="e">
        <f>VLOOKUP($J14,'mapping-Y26'!#REF!,2,0)</f>
        <v>#REF!</v>
      </c>
      <c r="H14" t="str">
        <f>VLOOKUP($J14,'mapping-Y26'!$F:$L,6,0)</f>
        <v>80P</v>
      </c>
      <c r="I14">
        <f>VLOOKUP($J14,'mapping-Y26'!$F:$L,5,0)</f>
        <v>14017868</v>
      </c>
      <c r="J14" t="s">
        <v>563</v>
      </c>
      <c r="K14" t="str">
        <f>VLOOKUP($J14,'mapping-Y26'!$F:$L,4,0)</f>
        <v xml:space="preserve">266210舒洁湿厕纸80片x6包 </v>
      </c>
      <c r="L14" t="e">
        <f>VLOOKUP($J14,'mapping-Y26'!#REF!,4,0)</f>
        <v>#REF!</v>
      </c>
      <c r="M14" t="str">
        <f>VLOOKUP($J14,'mapping-Y26'!$H:$L,2,0)</f>
        <v xml:space="preserve">266210舒洁湿厕纸80片x6包 </v>
      </c>
      <c r="N14" t="e">
        <f>VLOOKUP($J14,'mapping-Y26'!M:N,3,0)</f>
        <v>#N/A</v>
      </c>
      <c r="O14" s="2" t="e">
        <f>VLOOKUP($J14,'mapping-Y26'!$M:$N,5,0)</f>
        <v>#N/A</v>
      </c>
      <c r="P14" s="2" t="e">
        <f>VLOOKUP($J14,'mapping-Y26'!$M:$N,6,0)</f>
        <v>#N/A</v>
      </c>
      <c r="Q14" s="272" t="e">
        <f>VLOOKUP($J14,'mapping-Y26'!$M:$Q,7,0)</f>
        <v>#N/A</v>
      </c>
      <c r="R14" s="31" t="e">
        <f t="shared" si="11"/>
        <v>#N/A</v>
      </c>
      <c r="U14" s="2">
        <v>44.9</v>
      </c>
      <c r="X14" s="423">
        <v>1</v>
      </c>
      <c r="Z14" s="397">
        <f t="shared" si="1"/>
        <v>44.9</v>
      </c>
      <c r="AA14" s="3">
        <v>0.17499999999999999</v>
      </c>
      <c r="AB14" s="161">
        <v>0</v>
      </c>
      <c r="AC14" s="161">
        <f>Z14*(1-AA14-AB14)/1.13</f>
        <v>32.780973451327434</v>
      </c>
      <c r="AD14" s="161">
        <f>37/1.13</f>
        <v>32.743362831858413</v>
      </c>
      <c r="AG14" s="3" t="e">
        <f t="shared" si="3"/>
        <v>#N/A</v>
      </c>
      <c r="AH14" s="396">
        <f>11.87%*0.25+16.5%*0.75</f>
        <v>0.15342500000000001</v>
      </c>
      <c r="AI14" s="395"/>
      <c r="AJ14" s="66" t="e">
        <f>(AH14+AI14)*AD14/R14+AG14</f>
        <v>#N/A</v>
      </c>
      <c r="AK14" s="31" t="e">
        <f>R14*(1-AJ14)</f>
        <v>#N/A</v>
      </c>
      <c r="AL14" s="66" t="e">
        <f>VLOOKUP($J14,#REF!,12,0)</f>
        <v>#REF!</v>
      </c>
      <c r="AM14" s="68">
        <v>2.7E-2</v>
      </c>
      <c r="AN14" s="31" t="e">
        <f t="shared" si="6"/>
        <v>#N/A</v>
      </c>
      <c r="AO14" s="3" t="e">
        <f>AN14/AK14</f>
        <v>#N/A</v>
      </c>
      <c r="AQ14" s="157" t="e">
        <f t="shared" si="8"/>
        <v>#N/A</v>
      </c>
      <c r="AR14" s="157" t="e">
        <f t="shared" si="9"/>
        <v>#N/A</v>
      </c>
      <c r="AS14" s="31" t="e">
        <f t="shared" si="10"/>
        <v>#N/A</v>
      </c>
    </row>
    <row r="15" spans="1:45">
      <c r="A15" t="str">
        <f t="shared" si="0"/>
        <v>大润发东区2660-10</v>
      </c>
      <c r="D15" s="2" t="s">
        <v>843</v>
      </c>
      <c r="E15" s="2"/>
      <c r="F15" s="2" t="s">
        <v>836</v>
      </c>
      <c r="G15" t="e">
        <f>VLOOKUP($J15,'mapping-Y26'!#REF!,2,0)</f>
        <v>#REF!</v>
      </c>
      <c r="H15" t="str">
        <f>VLOOKUP($J15,'mapping-Y26'!$F:$L,6,0)</f>
        <v>80P</v>
      </c>
      <c r="I15">
        <f>VLOOKUP($J15,'mapping-Y26'!$F:$L,5,0)</f>
        <v>14017865</v>
      </c>
      <c r="J15" t="s">
        <v>555</v>
      </c>
      <c r="K15" t="str">
        <f>VLOOKUP($J15,'mapping-Y26'!$F:$L,4,0)</f>
        <v xml:space="preserve">266010舒洁湿厕纸80片 </v>
      </c>
      <c r="L15" t="e">
        <f>VLOOKUP($J15,'mapping-Y26'!#REF!,4,0)</f>
        <v>#REF!</v>
      </c>
      <c r="M15" t="str">
        <f>VLOOKUP($J15,'mapping-Y26'!$H:$L,2,0)</f>
        <v xml:space="preserve">266010舒洁湿厕纸80片 </v>
      </c>
      <c r="N15" t="e">
        <f>VLOOKUP($J15,'mapping-Y26'!M:N,3,0)</f>
        <v>#N/A</v>
      </c>
      <c r="O15" s="2" t="e">
        <f>VLOOKUP($J15,'mapping-Y26'!$M:$N,5,0)</f>
        <v>#N/A</v>
      </c>
      <c r="P15" s="2" t="e">
        <f>VLOOKUP($J15,'mapping-Y26'!$M:$N,6,0)</f>
        <v>#N/A</v>
      </c>
      <c r="Q15" s="272" t="e">
        <f>VLOOKUP($J15,'mapping-Y26'!$M:$Q,7,0)</f>
        <v>#N/A</v>
      </c>
      <c r="R15" s="31" t="e">
        <f t="shared" si="11"/>
        <v>#N/A</v>
      </c>
      <c r="U15" s="2">
        <v>9.9</v>
      </c>
      <c r="X15" s="423">
        <v>1</v>
      </c>
      <c r="Z15" s="397">
        <f t="shared" si="1"/>
        <v>9.9</v>
      </c>
      <c r="AA15" s="3">
        <v>0.1</v>
      </c>
      <c r="AB15" s="161">
        <v>0</v>
      </c>
      <c r="AC15" s="161">
        <f t="shared" si="2"/>
        <v>7.8849557522123899</v>
      </c>
      <c r="AG15" s="3" t="e">
        <f t="shared" si="3"/>
        <v>#N/A</v>
      </c>
      <c r="AJ15" s="66" t="e">
        <f t="shared" si="4"/>
        <v>#N/A</v>
      </c>
      <c r="AK15" s="31" t="e">
        <f t="shared" si="5"/>
        <v>#N/A</v>
      </c>
      <c r="AL15" s="66" t="e">
        <f>VLOOKUP($J15,#REF!,12,0)</f>
        <v>#REF!</v>
      </c>
      <c r="AM15" s="68">
        <v>2.7E-2</v>
      </c>
      <c r="AN15" s="31" t="e">
        <f t="shared" si="6"/>
        <v>#N/A</v>
      </c>
      <c r="AO15" s="3" t="e">
        <f t="shared" si="7"/>
        <v>#N/A</v>
      </c>
      <c r="AQ15" s="157" t="e">
        <f t="shared" si="8"/>
        <v>#N/A</v>
      </c>
      <c r="AR15" s="157" t="e">
        <f t="shared" si="9"/>
        <v>#N/A</v>
      </c>
      <c r="AS15" s="31" t="e">
        <f t="shared" si="10"/>
        <v>#N/A</v>
      </c>
    </row>
    <row r="16" spans="1:45">
      <c r="A16" t="str">
        <f t="shared" si="0"/>
        <v>大润发东区2694-50</v>
      </c>
      <c r="D16" s="2" t="s">
        <v>843</v>
      </c>
      <c r="E16" s="2"/>
      <c r="F16" s="2" t="s">
        <v>836</v>
      </c>
      <c r="G16" t="e">
        <f>VLOOKUP($J16,'mapping-Y26'!#REF!,2,0)</f>
        <v>#REF!</v>
      </c>
      <c r="H16" t="str">
        <f>VLOOKUP($J16,'mapping-Y26'!$F:$L,6,0)</f>
        <v>40P-55gsm</v>
      </c>
      <c r="I16">
        <f>VLOOKUP($J16,'mapping-Y26'!$F:$L,5,0)</f>
        <v>14017864</v>
      </c>
      <c r="J16" t="s">
        <v>559</v>
      </c>
      <c r="K16" t="str">
        <f>VLOOKUP($J16,'mapping-Y26'!$F:$L,4,0)</f>
        <v xml:space="preserve">D269450舒洁湿厕纸家庭装40抽 </v>
      </c>
      <c r="L16" t="e">
        <f>VLOOKUP($J16,'mapping-Y26'!#REF!,4,0)</f>
        <v>#REF!</v>
      </c>
      <c r="M16" t="str">
        <f>VLOOKUP($J16,'mapping-Y26'!$H:$L,2,0)</f>
        <v xml:space="preserve">D269450舒洁湿厕纸家庭装40抽 </v>
      </c>
      <c r="N16" t="e">
        <f>VLOOKUP($J16,'mapping-Y26'!M:N,3,0)</f>
        <v>#N/A</v>
      </c>
      <c r="O16" s="2" t="e">
        <f>VLOOKUP($J16,'mapping-Y26'!$M:$N,5,0)</f>
        <v>#N/A</v>
      </c>
      <c r="P16" s="2" t="e">
        <f>VLOOKUP($J16,'mapping-Y26'!$M:$N,6,0)</f>
        <v>#N/A</v>
      </c>
      <c r="Q16" s="272" t="e">
        <f>VLOOKUP($J16,'mapping-Y26'!$M:$Q,7,0)</f>
        <v>#N/A</v>
      </c>
      <c r="R16" s="31" t="e">
        <f t="shared" si="11"/>
        <v>#N/A</v>
      </c>
      <c r="U16" s="2">
        <v>6.9</v>
      </c>
      <c r="X16" s="423">
        <v>1</v>
      </c>
      <c r="Z16" s="397">
        <f t="shared" si="1"/>
        <v>6.9</v>
      </c>
      <c r="AA16" s="3">
        <v>0.1</v>
      </c>
      <c r="AB16" s="161">
        <v>0</v>
      </c>
      <c r="AC16" s="161">
        <f t="shared" si="2"/>
        <v>5.4955752212389397</v>
      </c>
      <c r="AG16" s="3" t="e">
        <f t="shared" si="3"/>
        <v>#N/A</v>
      </c>
      <c r="AJ16" s="66" t="e">
        <f t="shared" si="4"/>
        <v>#N/A</v>
      </c>
      <c r="AK16" s="31" t="e">
        <f t="shared" si="5"/>
        <v>#N/A</v>
      </c>
      <c r="AL16" s="66" t="e">
        <f>VLOOKUP($J16,#REF!,12,0)</f>
        <v>#REF!</v>
      </c>
      <c r="AM16" s="68">
        <v>2.7E-2</v>
      </c>
      <c r="AN16" s="31" t="e">
        <f t="shared" si="6"/>
        <v>#N/A</v>
      </c>
      <c r="AO16" s="3" t="e">
        <f t="shared" si="7"/>
        <v>#N/A</v>
      </c>
      <c r="AQ16" s="157" t="e">
        <f t="shared" si="8"/>
        <v>#N/A</v>
      </c>
      <c r="AR16" s="157" t="e">
        <f t="shared" si="9"/>
        <v>#N/A</v>
      </c>
      <c r="AS16" s="31" t="e">
        <f t="shared" si="10"/>
        <v>#N/A</v>
      </c>
    </row>
    <row r="17" spans="1:45">
      <c r="A17" t="str">
        <f t="shared" si="0"/>
        <v>大润发东区2291-60</v>
      </c>
      <c r="D17" s="2" t="s">
        <v>843</v>
      </c>
      <c r="E17" s="2"/>
      <c r="F17" s="2" t="s">
        <v>836</v>
      </c>
      <c r="G17" t="e">
        <f>VLOOKUP($J17,'mapping-Y26'!#REF!,2,0)</f>
        <v>#REF!</v>
      </c>
      <c r="I17">
        <f>VLOOKUP($J17,'mapping-Y26'!$F:$L,5,0)</f>
        <v>14014479</v>
      </c>
      <c r="J17" t="s">
        <v>219</v>
      </c>
      <c r="K17" t="str">
        <f>VLOOKUP($J17,'mapping-Y26'!$F:$L,4,0)</f>
        <v xml:space="preserve">229160舒洁绿茶洋甘菊印花清香卷纸10粒 </v>
      </c>
      <c r="L17" t="e">
        <f>VLOOKUP($J17,'mapping-Y26'!#REF!,4,0)</f>
        <v>#REF!</v>
      </c>
      <c r="M17" t="str">
        <f>VLOOKUP($J17,'mapping-Y26'!$H:$L,2,0)</f>
        <v xml:space="preserve">229160舒洁绿茶洋甘菊印花清香卷纸10粒 </v>
      </c>
      <c r="N17" t="e">
        <f>VLOOKUP($J17,'mapping-Y26'!M:N,3,0)</f>
        <v>#N/A</v>
      </c>
      <c r="O17" s="2" t="e">
        <f>VLOOKUP($J17,'mapping-Y26'!$M:$N,5,0)</f>
        <v>#N/A</v>
      </c>
      <c r="P17" s="2" t="e">
        <f>VLOOKUP($J17,'mapping-Y26'!$M:$N,6,0)</f>
        <v>#N/A</v>
      </c>
      <c r="Q17" s="272" t="e">
        <f>VLOOKUP($J17,'mapping-Y26'!$M:$Q,7,0)</f>
        <v>#N/A</v>
      </c>
      <c r="R17" s="31" t="e">
        <f t="shared" si="11"/>
        <v>#N/A</v>
      </c>
      <c r="U17" s="2">
        <v>32.9</v>
      </c>
      <c r="X17" s="423">
        <v>1</v>
      </c>
      <c r="Z17" s="397">
        <f t="shared" si="1"/>
        <v>32.9</v>
      </c>
      <c r="AA17" s="3">
        <v>0.1</v>
      </c>
      <c r="AB17" s="161">
        <v>0</v>
      </c>
      <c r="AC17" s="161">
        <f t="shared" si="2"/>
        <v>26.203539823008853</v>
      </c>
      <c r="AG17" s="3" t="e">
        <f t="shared" si="3"/>
        <v>#N/A</v>
      </c>
      <c r="AJ17" s="66" t="e">
        <f t="shared" si="4"/>
        <v>#N/A</v>
      </c>
      <c r="AK17" s="31" t="e">
        <f t="shared" si="5"/>
        <v>#N/A</v>
      </c>
      <c r="AL17" s="66" t="e">
        <f>VLOOKUP($J17,#REF!,12,0)</f>
        <v>#REF!</v>
      </c>
      <c r="AM17" s="68">
        <v>2.7E-2</v>
      </c>
      <c r="AN17" s="31" t="e">
        <f t="shared" si="6"/>
        <v>#N/A</v>
      </c>
      <c r="AO17" s="3" t="e">
        <f t="shared" si="7"/>
        <v>#N/A</v>
      </c>
      <c r="AQ17" s="157" t="e">
        <f t="shared" si="8"/>
        <v>#N/A</v>
      </c>
      <c r="AR17" s="157" t="e">
        <f t="shared" si="9"/>
        <v>#N/A</v>
      </c>
      <c r="AS17" s="31" t="e">
        <f t="shared" si="10"/>
        <v>#N/A</v>
      </c>
    </row>
    <row r="18" spans="1:45">
      <c r="A18" t="str">
        <f t="shared" si="0"/>
        <v>大润发南区2660-10</v>
      </c>
      <c r="D18" s="2" t="s">
        <v>843</v>
      </c>
      <c r="E18" s="2"/>
      <c r="F18" s="2" t="s">
        <v>837</v>
      </c>
      <c r="G18" t="e">
        <f>VLOOKUP($J18,'mapping-Y26'!#REF!,2,0)</f>
        <v>#REF!</v>
      </c>
      <c r="H18" t="str">
        <f>VLOOKUP($J18,'mapping-Y26'!$F:$L,6,0)</f>
        <v>80P</v>
      </c>
      <c r="I18">
        <f>VLOOKUP($J18,'mapping-Y26'!$F:$L,5,0)</f>
        <v>14017865</v>
      </c>
      <c r="J18" t="s">
        <v>555</v>
      </c>
      <c r="K18" t="str">
        <f>VLOOKUP($J18,'mapping-Y26'!$F:$L,4,0)</f>
        <v xml:space="preserve">266010舒洁湿厕纸80片 </v>
      </c>
      <c r="L18" t="e">
        <f>VLOOKUP($J18,'mapping-Y26'!#REF!,4,0)</f>
        <v>#REF!</v>
      </c>
      <c r="M18" t="str">
        <f>VLOOKUP($J18,'mapping-Y26'!$H:$L,2,0)</f>
        <v xml:space="preserve">266010舒洁湿厕纸80片 </v>
      </c>
      <c r="N18" t="e">
        <f>VLOOKUP($J18,'mapping-Y26'!M:N,3,0)</f>
        <v>#N/A</v>
      </c>
      <c r="O18" s="2" t="e">
        <f>VLOOKUP($J18,'mapping-Y26'!$M:$N,5,0)</f>
        <v>#N/A</v>
      </c>
      <c r="P18" s="2" t="e">
        <f>VLOOKUP($J18,'mapping-Y26'!$M:$N,6,0)</f>
        <v>#N/A</v>
      </c>
      <c r="Q18" s="272" t="e">
        <f>VLOOKUP($J18,'mapping-Y26'!$M:$Q,7,0)</f>
        <v>#N/A</v>
      </c>
      <c r="R18" s="31" t="e">
        <f t="shared" si="11"/>
        <v>#N/A</v>
      </c>
      <c r="U18" s="2">
        <v>19.899999999999999</v>
      </c>
      <c r="X18" s="423">
        <v>1</v>
      </c>
      <c r="Z18" s="397">
        <f t="shared" si="1"/>
        <v>19.899999999999999</v>
      </c>
      <c r="AA18" s="3">
        <v>0.1</v>
      </c>
      <c r="AB18" s="161">
        <v>0</v>
      </c>
      <c r="AC18" s="161">
        <f t="shared" si="2"/>
        <v>15.849557522123895</v>
      </c>
      <c r="AG18" s="3" t="e">
        <f t="shared" si="3"/>
        <v>#N/A</v>
      </c>
      <c r="AJ18" s="66" t="e">
        <f t="shared" si="4"/>
        <v>#N/A</v>
      </c>
      <c r="AK18" s="31" t="e">
        <f t="shared" si="5"/>
        <v>#N/A</v>
      </c>
      <c r="AL18" s="66" t="e">
        <f>VLOOKUP($J18,#REF!,12,0)</f>
        <v>#REF!</v>
      </c>
      <c r="AM18" s="68">
        <v>2.7E-2</v>
      </c>
      <c r="AN18" s="31" t="e">
        <f t="shared" si="6"/>
        <v>#N/A</v>
      </c>
      <c r="AO18" s="3" t="e">
        <f t="shared" si="7"/>
        <v>#N/A</v>
      </c>
      <c r="AQ18" s="157" t="e">
        <f t="shared" si="8"/>
        <v>#N/A</v>
      </c>
      <c r="AR18" s="157" t="e">
        <f t="shared" si="9"/>
        <v>#N/A</v>
      </c>
      <c r="AS18" s="31" t="e">
        <f t="shared" si="10"/>
        <v>#N/A</v>
      </c>
    </row>
    <row r="19" spans="1:45">
      <c r="A19" t="str">
        <f t="shared" si="0"/>
        <v>大润发南区2694-50</v>
      </c>
      <c r="D19" s="2" t="s">
        <v>843</v>
      </c>
      <c r="E19" s="2"/>
      <c r="F19" s="2" t="s">
        <v>837</v>
      </c>
      <c r="G19" t="e">
        <f>VLOOKUP($J19,'mapping-Y26'!#REF!,2,0)</f>
        <v>#REF!</v>
      </c>
      <c r="H19" t="str">
        <f>VLOOKUP($J19,'mapping-Y26'!$F:$L,6,0)</f>
        <v>40P-55gsm</v>
      </c>
      <c r="I19">
        <f>VLOOKUP($J19,'mapping-Y26'!$F:$L,5,0)</f>
        <v>14017864</v>
      </c>
      <c r="J19" t="s">
        <v>559</v>
      </c>
      <c r="K19" t="str">
        <f>VLOOKUP($J19,'mapping-Y26'!$F:$L,4,0)</f>
        <v xml:space="preserve">D269450舒洁湿厕纸家庭装40抽 </v>
      </c>
      <c r="L19" t="e">
        <f>VLOOKUP($J19,'mapping-Y26'!#REF!,4,0)</f>
        <v>#REF!</v>
      </c>
      <c r="M19" t="str">
        <f>VLOOKUP($J19,'mapping-Y26'!$H:$L,2,0)</f>
        <v xml:space="preserve">D269450舒洁湿厕纸家庭装40抽 </v>
      </c>
      <c r="N19" t="e">
        <f>VLOOKUP($J19,'mapping-Y26'!M:N,3,0)</f>
        <v>#N/A</v>
      </c>
      <c r="O19" s="2" t="e">
        <f>VLOOKUP($J19,'mapping-Y26'!$M:$N,5,0)</f>
        <v>#N/A</v>
      </c>
      <c r="P19" s="2" t="e">
        <f>VLOOKUP($J19,'mapping-Y26'!$M:$N,6,0)</f>
        <v>#N/A</v>
      </c>
      <c r="Q19" s="272" t="e">
        <f>VLOOKUP($J19,'mapping-Y26'!$M:$Q,7,0)</f>
        <v>#N/A</v>
      </c>
      <c r="R19" s="31" t="e">
        <f t="shared" si="11"/>
        <v>#N/A</v>
      </c>
      <c r="U19" s="2">
        <v>6.9</v>
      </c>
      <c r="X19" s="423">
        <v>1</v>
      </c>
      <c r="Z19" s="397">
        <f t="shared" si="1"/>
        <v>6.9</v>
      </c>
      <c r="AA19" s="3">
        <v>0.1</v>
      </c>
      <c r="AB19" s="161">
        <v>0</v>
      </c>
      <c r="AC19" s="161">
        <f t="shared" si="2"/>
        <v>5.4955752212389397</v>
      </c>
      <c r="AG19" s="3" t="e">
        <f t="shared" si="3"/>
        <v>#N/A</v>
      </c>
      <c r="AJ19" s="66" t="e">
        <f t="shared" si="4"/>
        <v>#N/A</v>
      </c>
      <c r="AK19" s="31" t="e">
        <f t="shared" si="5"/>
        <v>#N/A</v>
      </c>
      <c r="AL19" s="66" t="e">
        <f>VLOOKUP($J19,#REF!,12,0)</f>
        <v>#REF!</v>
      </c>
      <c r="AM19" s="68">
        <v>2.7E-2</v>
      </c>
      <c r="AN19" s="31" t="e">
        <f t="shared" si="6"/>
        <v>#N/A</v>
      </c>
      <c r="AO19" s="3" t="e">
        <f t="shared" si="7"/>
        <v>#N/A</v>
      </c>
      <c r="AQ19" s="157" t="e">
        <f t="shared" si="8"/>
        <v>#N/A</v>
      </c>
      <c r="AR19" s="157" t="e">
        <f t="shared" si="9"/>
        <v>#N/A</v>
      </c>
      <c r="AS19" s="31" t="e">
        <f t="shared" si="10"/>
        <v>#N/A</v>
      </c>
    </row>
    <row r="20" spans="1:45">
      <c r="A20" t="str">
        <f t="shared" si="0"/>
        <v>大润发南区2661-10</v>
      </c>
      <c r="D20" s="2" t="s">
        <v>843</v>
      </c>
      <c r="E20" s="2"/>
      <c r="F20" s="2" t="s">
        <v>837</v>
      </c>
      <c r="G20" t="e">
        <f>VLOOKUP($J20,'mapping-Y26'!#REF!,2,0)</f>
        <v>#REF!</v>
      </c>
      <c r="H20" t="str">
        <f>VLOOKUP($J20,'mapping-Y26'!$F:$L,6,0)</f>
        <v>80P-55gsm</v>
      </c>
      <c r="I20">
        <f>VLOOKUP($J20,'mapping-Y26'!$F:$L,5,0)</f>
        <v>14017866</v>
      </c>
      <c r="J20" t="s">
        <v>571</v>
      </c>
      <c r="K20" t="str">
        <f>VLOOKUP($J20,'mapping-Y26'!$F:$L,4,0)</f>
        <v xml:space="preserve">266110舒洁湿厕纸80片x3包 </v>
      </c>
      <c r="L20" t="e">
        <f>VLOOKUP($J20,'mapping-Y26'!#REF!,4,0)</f>
        <v>#REF!</v>
      </c>
      <c r="M20" t="str">
        <f>VLOOKUP($J20,'mapping-Y26'!$H:$L,2,0)</f>
        <v xml:space="preserve">266110舒洁湿厕纸80片x3包 </v>
      </c>
      <c r="N20" t="e">
        <f>VLOOKUP($J20,'mapping-Y26'!M:N,3,0)</f>
        <v>#N/A</v>
      </c>
      <c r="O20" s="2" t="e">
        <f>VLOOKUP($J20,'mapping-Y26'!$M:$N,5,0)</f>
        <v>#N/A</v>
      </c>
      <c r="P20" s="2" t="e">
        <f>VLOOKUP($J20,'mapping-Y26'!$M:$N,6,0)</f>
        <v>#N/A</v>
      </c>
      <c r="Q20" s="272" t="e">
        <f>VLOOKUP($J20,'mapping-Y26'!$M:$Q,7,0)</f>
        <v>#N/A</v>
      </c>
      <c r="R20" s="31" t="e">
        <f t="shared" si="11"/>
        <v>#N/A</v>
      </c>
      <c r="U20" s="2">
        <v>29.9</v>
      </c>
      <c r="X20" s="423">
        <v>1</v>
      </c>
      <c r="Z20" s="397">
        <f t="shared" si="1"/>
        <v>29.9</v>
      </c>
      <c r="AA20" s="3">
        <v>0.1</v>
      </c>
      <c r="AB20" s="161">
        <v>0</v>
      </c>
      <c r="AC20" s="161">
        <f t="shared" si="2"/>
        <v>23.814159292035402</v>
      </c>
      <c r="AG20" s="3" t="e">
        <f t="shared" si="3"/>
        <v>#N/A</v>
      </c>
      <c r="AJ20" s="66" t="e">
        <f t="shared" si="4"/>
        <v>#N/A</v>
      </c>
      <c r="AK20" s="31" t="e">
        <f t="shared" si="5"/>
        <v>#N/A</v>
      </c>
      <c r="AL20" s="66" t="e">
        <f>VLOOKUP($J20,#REF!,12,0)</f>
        <v>#REF!</v>
      </c>
      <c r="AM20" s="68">
        <v>2.7E-2</v>
      </c>
      <c r="AN20" s="31" t="e">
        <f t="shared" si="6"/>
        <v>#N/A</v>
      </c>
      <c r="AO20" s="3" t="e">
        <f t="shared" si="7"/>
        <v>#N/A</v>
      </c>
      <c r="AQ20" s="157" t="e">
        <f t="shared" si="8"/>
        <v>#N/A</v>
      </c>
      <c r="AR20" s="157" t="e">
        <f t="shared" si="9"/>
        <v>#N/A</v>
      </c>
      <c r="AS20" s="31" t="e">
        <f t="shared" si="10"/>
        <v>#N/A</v>
      </c>
    </row>
    <row r="21" spans="1:45">
      <c r="A21" t="str">
        <f t="shared" si="0"/>
        <v>大润发南区2162-08</v>
      </c>
      <c r="D21" s="2" t="s">
        <v>843</v>
      </c>
      <c r="E21" s="2"/>
      <c r="F21" s="2" t="s">
        <v>837</v>
      </c>
      <c r="G21" t="e">
        <f>VLOOKUP($J21,'mapping-Y26'!#REF!,2,0)</f>
        <v>#REF!</v>
      </c>
      <c r="I21">
        <f>VLOOKUP($J21,'mapping-Y26'!$F:$L,5,0)</f>
        <v>14015110</v>
      </c>
      <c r="J21" t="s">
        <v>150</v>
      </c>
      <c r="K21" t="str">
        <f>VLOOKUP($J21,'mapping-Y26'!$F:$L,4,0)</f>
        <v>216208舒洁®北海道牛乳系列乳霜纸面巾20抽8包装</v>
      </c>
      <c r="L21" t="e">
        <f>VLOOKUP($J21,'mapping-Y26'!#REF!,4,0)</f>
        <v>#REF!</v>
      </c>
      <c r="M21" t="str">
        <f>VLOOKUP($J21,'mapping-Y26'!$H:$L,2,0)</f>
        <v>216208舒洁®北海道牛乳系列乳霜纸面巾20抽8包装</v>
      </c>
      <c r="N21" t="e">
        <f>VLOOKUP($J21,'mapping-Y26'!M:N,3,0)</f>
        <v>#N/A</v>
      </c>
      <c r="O21" s="2" t="e">
        <f>VLOOKUP($J21,'mapping-Y26'!$M:$N,5,0)</f>
        <v>#N/A</v>
      </c>
      <c r="P21" s="2" t="e">
        <f>VLOOKUP($J21,'mapping-Y26'!$M:$N,6,0)</f>
        <v>#N/A</v>
      </c>
      <c r="Q21" s="272" t="e">
        <f>VLOOKUP($J21,'mapping-Y26'!$M:$Q,7,0)</f>
        <v>#N/A</v>
      </c>
      <c r="R21" s="31" t="e">
        <f t="shared" si="11"/>
        <v>#N/A</v>
      </c>
      <c r="U21" s="2">
        <v>21.9</v>
      </c>
      <c r="X21" s="423">
        <v>1</v>
      </c>
      <c r="Z21" s="397">
        <f t="shared" si="1"/>
        <v>21.9</v>
      </c>
      <c r="AA21" s="3">
        <v>0.1</v>
      </c>
      <c r="AB21" s="161">
        <v>0</v>
      </c>
      <c r="AC21" s="161">
        <f t="shared" si="2"/>
        <v>17.442477876106196</v>
      </c>
      <c r="AG21" s="3" t="e">
        <f t="shared" si="3"/>
        <v>#N/A</v>
      </c>
      <c r="AJ21" s="66" t="e">
        <f t="shared" si="4"/>
        <v>#N/A</v>
      </c>
      <c r="AK21" s="31" t="e">
        <f t="shared" si="5"/>
        <v>#N/A</v>
      </c>
      <c r="AL21" s="66" t="e">
        <f>VLOOKUP($J21,#REF!,12,0)</f>
        <v>#REF!</v>
      </c>
      <c r="AM21" s="68">
        <v>2.7E-2</v>
      </c>
      <c r="AN21" s="31" t="e">
        <f t="shared" si="6"/>
        <v>#N/A</v>
      </c>
      <c r="AO21" s="3" t="e">
        <f t="shared" si="7"/>
        <v>#N/A</v>
      </c>
      <c r="AQ21" s="157" t="e">
        <f t="shared" si="8"/>
        <v>#N/A</v>
      </c>
      <c r="AR21" s="157" t="e">
        <f t="shared" si="9"/>
        <v>#N/A</v>
      </c>
      <c r="AS21" s="31" t="e">
        <f t="shared" si="10"/>
        <v>#N/A</v>
      </c>
    </row>
    <row r="22" spans="1:45">
      <c r="A22" t="str">
        <f t="shared" si="0"/>
        <v>大润发南区2103-90</v>
      </c>
      <c r="D22" s="2" t="s">
        <v>843</v>
      </c>
      <c r="E22" s="2"/>
      <c r="F22" s="2" t="s">
        <v>837</v>
      </c>
      <c r="G22" t="e">
        <f>VLOOKUP($J22,'mapping-Y26'!#REF!,2,0)</f>
        <v>#REF!</v>
      </c>
      <c r="I22">
        <f>VLOOKUP($J22,'mapping-Y26'!$F:$L,5,0)</f>
        <v>14016868</v>
      </c>
      <c r="J22" t="s">
        <v>172</v>
      </c>
      <c r="K22" t="str">
        <f>VLOOKUP($J22,'mapping-Y26'!$F:$L,4,0)</f>
        <v>210390舒洁小熊印花抽纸3层80抽4包FSC mix70%</v>
      </c>
      <c r="L22" t="e">
        <f>VLOOKUP($J22,'mapping-Y26'!#REF!,4,0)</f>
        <v>#REF!</v>
      </c>
      <c r="M22" t="str">
        <f>VLOOKUP($J22,'mapping-Y26'!$H:$L,2,0)</f>
        <v>210390舒洁小熊印花抽纸3层80抽4包FSC mix70%</v>
      </c>
      <c r="N22" t="e">
        <f>VLOOKUP($J22,'mapping-Y26'!M:N,3,0)</f>
        <v>#N/A</v>
      </c>
      <c r="O22" s="2" t="e">
        <f>VLOOKUP($J22,'mapping-Y26'!$M:$N,5,0)</f>
        <v>#N/A</v>
      </c>
      <c r="P22" s="2" t="e">
        <f>VLOOKUP($J22,'mapping-Y26'!$M:$N,6,0)</f>
        <v>#N/A</v>
      </c>
      <c r="Q22" s="272" t="e">
        <f>VLOOKUP($J22,'mapping-Y26'!$M:$Q,7,0)</f>
        <v>#N/A</v>
      </c>
      <c r="R22" s="31" t="e">
        <f t="shared" si="11"/>
        <v>#N/A</v>
      </c>
      <c r="U22" s="2">
        <v>15.5</v>
      </c>
      <c r="X22" s="423">
        <v>1</v>
      </c>
      <c r="Z22" s="397">
        <f t="shared" si="1"/>
        <v>15.5</v>
      </c>
      <c r="AA22" s="3">
        <v>0.1</v>
      </c>
      <c r="AB22" s="161">
        <v>0</v>
      </c>
      <c r="AC22" s="161">
        <f t="shared" si="2"/>
        <v>12.345132743362834</v>
      </c>
      <c r="AG22" s="3" t="e">
        <f t="shared" si="3"/>
        <v>#N/A</v>
      </c>
      <c r="AJ22" s="66" t="e">
        <f t="shared" si="4"/>
        <v>#N/A</v>
      </c>
      <c r="AK22" s="31" t="e">
        <f t="shared" si="5"/>
        <v>#N/A</v>
      </c>
      <c r="AL22" s="66" t="e">
        <f>VLOOKUP($J22,#REF!,12,0)</f>
        <v>#REF!</v>
      </c>
      <c r="AM22" s="68">
        <v>2.7E-2</v>
      </c>
      <c r="AN22" s="31" t="e">
        <f t="shared" si="6"/>
        <v>#N/A</v>
      </c>
      <c r="AO22" s="3" t="e">
        <f t="shared" si="7"/>
        <v>#N/A</v>
      </c>
      <c r="AQ22" s="157" t="e">
        <f t="shared" si="8"/>
        <v>#N/A</v>
      </c>
      <c r="AR22" s="157" t="e">
        <f t="shared" si="9"/>
        <v>#N/A</v>
      </c>
      <c r="AS22" s="31" t="e">
        <f t="shared" si="10"/>
        <v>#N/A</v>
      </c>
    </row>
    <row r="23" spans="1:45">
      <c r="A23" t="str">
        <f t="shared" si="0"/>
        <v>大润发南区2107-61</v>
      </c>
      <c r="D23" s="2" t="s">
        <v>843</v>
      </c>
      <c r="E23" s="2"/>
      <c r="F23" s="2" t="s">
        <v>837</v>
      </c>
      <c r="G23" t="e">
        <f>VLOOKUP($J23,'mapping-Y26'!#REF!,2,0)</f>
        <v>#REF!</v>
      </c>
      <c r="I23">
        <f>VLOOKUP($J23,'mapping-Y26'!$F:$L,5,0)</f>
        <v>14014470</v>
      </c>
      <c r="J23" t="s">
        <v>187</v>
      </c>
      <c r="K23" t="str">
        <f>VLOOKUP($J23,'mapping-Y26'!$F:$L,4,0)</f>
        <v>210761舒洁卡通系列抽纸200抽3包 FSC mix70%</v>
      </c>
      <c r="L23" t="e">
        <f>VLOOKUP($J23,'mapping-Y26'!#REF!,4,0)</f>
        <v>#REF!</v>
      </c>
      <c r="M23" t="str">
        <f>VLOOKUP($J23,'mapping-Y26'!$H:$L,2,0)</f>
        <v>210761舒洁卡通系列抽纸200抽3包 FSC mix70%</v>
      </c>
      <c r="N23" t="e">
        <f>VLOOKUP($J23,'mapping-Y26'!M:N,3,0)</f>
        <v>#N/A</v>
      </c>
      <c r="O23" s="2" t="e">
        <f>VLOOKUP($J23,'mapping-Y26'!$M:$N,5,0)</f>
        <v>#N/A</v>
      </c>
      <c r="P23" s="2" t="e">
        <f>VLOOKUP($J23,'mapping-Y26'!$M:$N,6,0)</f>
        <v>#N/A</v>
      </c>
      <c r="Q23" s="272" t="e">
        <f>VLOOKUP($J23,'mapping-Y26'!$M:$Q,7,0)</f>
        <v>#N/A</v>
      </c>
      <c r="R23" s="31" t="e">
        <f t="shared" si="11"/>
        <v>#N/A</v>
      </c>
      <c r="U23" s="2">
        <v>20.9</v>
      </c>
      <c r="X23" s="423">
        <v>1</v>
      </c>
      <c r="Z23" s="397">
        <f t="shared" si="1"/>
        <v>20.9</v>
      </c>
      <c r="AA23" s="3">
        <v>0.1</v>
      </c>
      <c r="AB23" s="161">
        <v>0</v>
      </c>
      <c r="AC23" s="161">
        <f t="shared" si="2"/>
        <v>16.646017699115045</v>
      </c>
      <c r="AG23" s="3" t="e">
        <f t="shared" si="3"/>
        <v>#N/A</v>
      </c>
      <c r="AJ23" s="66" t="e">
        <f t="shared" si="4"/>
        <v>#N/A</v>
      </c>
      <c r="AK23" s="31" t="e">
        <f t="shared" si="5"/>
        <v>#N/A</v>
      </c>
      <c r="AL23" s="66" t="e">
        <f>VLOOKUP($J23,#REF!,12,0)</f>
        <v>#REF!</v>
      </c>
      <c r="AM23" s="68">
        <v>2.7E-2</v>
      </c>
      <c r="AN23" s="31" t="e">
        <f t="shared" si="6"/>
        <v>#N/A</v>
      </c>
      <c r="AO23" s="3" t="e">
        <f t="shared" si="7"/>
        <v>#N/A</v>
      </c>
      <c r="AQ23" s="157" t="e">
        <f t="shared" si="8"/>
        <v>#N/A</v>
      </c>
      <c r="AR23" s="157" t="e">
        <f t="shared" si="9"/>
        <v>#N/A</v>
      </c>
      <c r="AS23" s="31" t="e">
        <f t="shared" si="10"/>
        <v>#N/A</v>
      </c>
    </row>
    <row r="24" spans="1:45">
      <c r="A24" t="str">
        <f t="shared" si="0"/>
        <v>大润发南区2312-16</v>
      </c>
      <c r="D24" s="2" t="s">
        <v>843</v>
      </c>
      <c r="E24" s="2"/>
      <c r="F24" s="2" t="s">
        <v>837</v>
      </c>
      <c r="G24" t="e">
        <f>VLOOKUP($J24,'mapping-Y26'!#REF!,2,0)</f>
        <v>#REF!</v>
      </c>
      <c r="I24">
        <f>VLOOKUP($J24,'mapping-Y26'!$F:$L,5,0)</f>
        <v>14014482</v>
      </c>
      <c r="J24" t="s">
        <v>195</v>
      </c>
      <c r="K24" t="str">
        <f>VLOOKUP($J24,'mapping-Y26'!$F:$L,4,0)</f>
        <v>231216 舒洁马蹄莲盒面纸200抽3盒 FSC mix70%</v>
      </c>
      <c r="L24" t="e">
        <f>VLOOKUP($J24,'mapping-Y26'!#REF!,4,0)</f>
        <v>#REF!</v>
      </c>
      <c r="M24" t="str">
        <f>VLOOKUP($J24,'mapping-Y26'!$H:$L,2,0)</f>
        <v>231216 舒洁马蹄莲盒面纸200抽3盒 FSC mix70%</v>
      </c>
      <c r="N24" t="e">
        <f>VLOOKUP($J24,'mapping-Y26'!M:N,3,0)</f>
        <v>#N/A</v>
      </c>
      <c r="O24" s="2" t="e">
        <f>VLOOKUP($J24,'mapping-Y26'!$M:$N,5,0)</f>
        <v>#N/A</v>
      </c>
      <c r="P24" s="2" t="e">
        <f>VLOOKUP($J24,'mapping-Y26'!$M:$N,6,0)</f>
        <v>#N/A</v>
      </c>
      <c r="Q24" s="272" t="e">
        <f>VLOOKUP($J24,'mapping-Y26'!$M:$Q,7,0)</f>
        <v>#N/A</v>
      </c>
      <c r="R24" s="31" t="e">
        <f t="shared" si="11"/>
        <v>#N/A</v>
      </c>
      <c r="U24" s="2">
        <v>29.7</v>
      </c>
      <c r="X24" s="423">
        <v>1</v>
      </c>
      <c r="Z24" s="397">
        <f t="shared" si="1"/>
        <v>29.7</v>
      </c>
      <c r="AA24" s="3">
        <v>0.1</v>
      </c>
      <c r="AB24" s="161">
        <v>0</v>
      </c>
      <c r="AC24" s="161">
        <f t="shared" si="2"/>
        <v>23.654867256637171</v>
      </c>
      <c r="AG24" s="3" t="e">
        <f t="shared" si="3"/>
        <v>#N/A</v>
      </c>
      <c r="AJ24" s="66" t="e">
        <f t="shared" si="4"/>
        <v>#N/A</v>
      </c>
      <c r="AK24" s="31" t="e">
        <f t="shared" si="5"/>
        <v>#N/A</v>
      </c>
      <c r="AL24" s="66" t="e">
        <f>VLOOKUP($J24,#REF!,12,0)</f>
        <v>#REF!</v>
      </c>
      <c r="AM24" s="68">
        <v>2.7E-2</v>
      </c>
      <c r="AN24" s="31" t="e">
        <f t="shared" si="6"/>
        <v>#N/A</v>
      </c>
      <c r="AO24" s="3" t="e">
        <f t="shared" si="7"/>
        <v>#N/A</v>
      </c>
      <c r="AQ24" s="157" t="e">
        <f t="shared" si="8"/>
        <v>#N/A</v>
      </c>
      <c r="AR24" s="157" t="e">
        <f t="shared" si="9"/>
        <v>#N/A</v>
      </c>
      <c r="AS24" s="31" t="e">
        <f t="shared" si="10"/>
        <v>#N/A</v>
      </c>
    </row>
    <row r="25" spans="1:45">
      <c r="A25" t="str">
        <f t="shared" si="0"/>
        <v>大润发南区2701-90</v>
      </c>
      <c r="D25" s="2" t="s">
        <v>843</v>
      </c>
      <c r="E25" s="2"/>
      <c r="F25" s="2" t="s">
        <v>837</v>
      </c>
      <c r="G25" t="e">
        <f>VLOOKUP($J25,'mapping-Y26'!#REF!,2,0)</f>
        <v>#REF!</v>
      </c>
      <c r="I25">
        <f>VLOOKUP($J25,'mapping-Y26'!$F:$L,5,0)</f>
        <v>14016871</v>
      </c>
      <c r="J25" t="s">
        <v>227</v>
      </c>
      <c r="K25" t="str">
        <f>VLOOKUP($J25,'mapping-Y26'!$F:$L,4,0)</f>
        <v>270190舒洁小熊印花手帕纸3层10包FSC mix70%</v>
      </c>
      <c r="L25" t="e">
        <f>VLOOKUP($J25,'mapping-Y26'!#REF!,4,0)</f>
        <v>#REF!</v>
      </c>
      <c r="M25" t="str">
        <f>VLOOKUP($J25,'mapping-Y26'!$H:$L,2,0)</f>
        <v>270190舒洁小熊印花手帕纸3层10包FSC mix70%</v>
      </c>
      <c r="N25" t="e">
        <f>VLOOKUP($J25,'mapping-Y26'!M:N,3,0)</f>
        <v>#N/A</v>
      </c>
      <c r="O25" s="2" t="e">
        <f>VLOOKUP($J25,'mapping-Y26'!$M:$N,5,0)</f>
        <v>#N/A</v>
      </c>
      <c r="P25" s="2" t="e">
        <f>VLOOKUP($J25,'mapping-Y26'!$M:$N,6,0)</f>
        <v>#N/A</v>
      </c>
      <c r="Q25" s="272" t="e">
        <f>VLOOKUP($J25,'mapping-Y26'!$M:$Q,7,0)</f>
        <v>#N/A</v>
      </c>
      <c r="R25" s="31" t="e">
        <f t="shared" si="11"/>
        <v>#N/A</v>
      </c>
      <c r="U25" s="2">
        <v>7.3</v>
      </c>
      <c r="X25" s="423">
        <v>1</v>
      </c>
      <c r="Z25" s="397">
        <f t="shared" si="1"/>
        <v>7.3</v>
      </c>
      <c r="AA25" s="3">
        <v>0.1</v>
      </c>
      <c r="AB25" s="161">
        <v>0</v>
      </c>
      <c r="AC25" s="161">
        <f t="shared" si="2"/>
        <v>5.8141592920353986</v>
      </c>
      <c r="AG25" s="3" t="e">
        <f t="shared" si="3"/>
        <v>#N/A</v>
      </c>
      <c r="AJ25" s="66" t="e">
        <f t="shared" si="4"/>
        <v>#N/A</v>
      </c>
      <c r="AK25" s="31" t="e">
        <f t="shared" si="5"/>
        <v>#N/A</v>
      </c>
      <c r="AL25" s="66" t="e">
        <f>VLOOKUP($J25,#REF!,12,0)</f>
        <v>#REF!</v>
      </c>
      <c r="AM25" s="68">
        <v>2.7E-2</v>
      </c>
      <c r="AN25" s="31" t="e">
        <f t="shared" si="6"/>
        <v>#N/A</v>
      </c>
      <c r="AO25" s="3" t="e">
        <f t="shared" si="7"/>
        <v>#N/A</v>
      </c>
      <c r="AQ25" s="157" t="e">
        <f t="shared" si="8"/>
        <v>#N/A</v>
      </c>
      <c r="AR25" s="157" t="e">
        <f t="shared" si="9"/>
        <v>#N/A</v>
      </c>
      <c r="AS25" s="31" t="e">
        <f t="shared" si="10"/>
        <v>#N/A</v>
      </c>
    </row>
    <row r="26" spans="1:45">
      <c r="A26" t="str">
        <f t="shared" si="0"/>
        <v>大润发南区2613-00</v>
      </c>
      <c r="D26" s="2" t="s">
        <v>843</v>
      </c>
      <c r="E26" s="2"/>
      <c r="F26" s="2" t="s">
        <v>837</v>
      </c>
      <c r="G26" t="e">
        <f>VLOOKUP($J26,'mapping-Y26'!#REF!,2,0)</f>
        <v>#REF!</v>
      </c>
      <c r="I26">
        <f>VLOOKUP($J26,'mapping-Y26'!$F:$L,5,0)</f>
        <v>14004626</v>
      </c>
      <c r="J26" t="s">
        <v>244</v>
      </c>
      <c r="K26" t="str">
        <f>VLOOKUP($J26,'mapping-Y26'!$F:$L,4,0)</f>
        <v xml:space="preserve">261300舒洁无香湿巾单包装 </v>
      </c>
      <c r="L26" t="e">
        <f>VLOOKUP($J26,'mapping-Y26'!#REF!,4,0)</f>
        <v>#REF!</v>
      </c>
      <c r="M26" t="str">
        <f>VLOOKUP($J26,'mapping-Y26'!$H:$L,2,0)</f>
        <v xml:space="preserve">261300舒洁无香湿巾单包装 </v>
      </c>
      <c r="N26" t="e">
        <f>VLOOKUP($J26,'mapping-Y26'!M:N,3,0)</f>
        <v>#N/A</v>
      </c>
      <c r="O26" s="2" t="e">
        <f>VLOOKUP($J26,'mapping-Y26'!$M:$N,5,0)</f>
        <v>#N/A</v>
      </c>
      <c r="P26" s="2" t="e">
        <f>VLOOKUP($J26,'mapping-Y26'!$M:$N,6,0)</f>
        <v>#N/A</v>
      </c>
      <c r="Q26" s="272" t="e">
        <f>VLOOKUP($J26,'mapping-Y26'!$M:$Q,7,0)</f>
        <v>#N/A</v>
      </c>
      <c r="R26" s="31" t="e">
        <f t="shared" si="11"/>
        <v>#N/A</v>
      </c>
      <c r="U26" s="2">
        <v>3.7</v>
      </c>
      <c r="X26" s="423">
        <v>1</v>
      </c>
      <c r="Z26" s="397">
        <f t="shared" si="1"/>
        <v>3.7</v>
      </c>
      <c r="AA26" s="3">
        <v>0.1</v>
      </c>
      <c r="AB26" s="161">
        <v>0</v>
      </c>
      <c r="AC26" s="161">
        <f t="shared" si="2"/>
        <v>2.946902654867257</v>
      </c>
      <c r="AG26" s="3" t="e">
        <f t="shared" si="3"/>
        <v>#N/A</v>
      </c>
      <c r="AJ26" s="66" t="e">
        <f t="shared" si="4"/>
        <v>#N/A</v>
      </c>
      <c r="AK26" s="31" t="e">
        <f t="shared" si="5"/>
        <v>#N/A</v>
      </c>
      <c r="AL26" s="66" t="e">
        <f>VLOOKUP($J26,#REF!,12,0)</f>
        <v>#REF!</v>
      </c>
      <c r="AM26" s="68">
        <v>2.7E-2</v>
      </c>
      <c r="AN26" s="31" t="e">
        <f t="shared" si="6"/>
        <v>#N/A</v>
      </c>
      <c r="AO26" s="3" t="e">
        <f t="shared" si="7"/>
        <v>#N/A</v>
      </c>
      <c r="AQ26" s="157" t="e">
        <f t="shared" si="8"/>
        <v>#N/A</v>
      </c>
      <c r="AR26" s="157" t="e">
        <f t="shared" si="9"/>
        <v>#N/A</v>
      </c>
      <c r="AS26" s="31" t="e">
        <f t="shared" si="10"/>
        <v>#N/A</v>
      </c>
    </row>
    <row r="27" spans="1:45">
      <c r="A27" t="str">
        <f t="shared" si="0"/>
        <v>大润发东北区2694-50</v>
      </c>
      <c r="D27" s="2" t="s">
        <v>843</v>
      </c>
      <c r="E27" s="2"/>
      <c r="F27" s="2" t="s">
        <v>838</v>
      </c>
      <c r="G27" t="e">
        <f>VLOOKUP($J27,'mapping-Y26'!#REF!,2,0)</f>
        <v>#REF!</v>
      </c>
      <c r="H27" t="str">
        <f>VLOOKUP($J27,'mapping-Y26'!$F:$L,6,0)</f>
        <v>40P-55gsm</v>
      </c>
      <c r="I27">
        <f>VLOOKUP($J27,'mapping-Y26'!$F:$L,5,0)</f>
        <v>14017864</v>
      </c>
      <c r="J27" t="s">
        <v>559</v>
      </c>
      <c r="K27" t="str">
        <f>VLOOKUP($J27,'mapping-Y26'!$F:$L,4,0)</f>
        <v xml:space="preserve">D269450舒洁湿厕纸家庭装40抽 </v>
      </c>
      <c r="L27" t="e">
        <f>VLOOKUP($J27,'mapping-Y26'!#REF!,4,0)</f>
        <v>#REF!</v>
      </c>
      <c r="M27" t="str">
        <f>VLOOKUP($J27,'mapping-Y26'!$H:$L,2,0)</f>
        <v xml:space="preserve">D269450舒洁湿厕纸家庭装40抽 </v>
      </c>
      <c r="N27" t="e">
        <f>VLOOKUP($J27,'mapping-Y26'!M:N,3,0)</f>
        <v>#N/A</v>
      </c>
      <c r="O27" s="2" t="e">
        <f>VLOOKUP($J27,'mapping-Y26'!$M:$N,5,0)</f>
        <v>#N/A</v>
      </c>
      <c r="P27" s="2" t="e">
        <f>VLOOKUP($J27,'mapping-Y26'!$M:$N,6,0)</f>
        <v>#N/A</v>
      </c>
      <c r="Q27" s="272" t="e">
        <f>VLOOKUP($J27,'mapping-Y26'!$M:$Q,7,0)</f>
        <v>#N/A</v>
      </c>
      <c r="R27" s="31" t="e">
        <f t="shared" si="11"/>
        <v>#N/A</v>
      </c>
      <c r="U27" s="2">
        <v>6.9</v>
      </c>
      <c r="X27" s="423">
        <v>1</v>
      </c>
      <c r="Z27" s="397">
        <f t="shared" si="1"/>
        <v>6.9</v>
      </c>
      <c r="AA27" s="3">
        <v>0.1</v>
      </c>
      <c r="AB27" s="161">
        <v>0</v>
      </c>
      <c r="AC27" s="161">
        <f t="shared" si="2"/>
        <v>5.4955752212389397</v>
      </c>
      <c r="AG27" s="3" t="e">
        <f t="shared" si="3"/>
        <v>#N/A</v>
      </c>
      <c r="AJ27" s="66" t="e">
        <f t="shared" si="4"/>
        <v>#N/A</v>
      </c>
      <c r="AK27" s="31" t="e">
        <f t="shared" si="5"/>
        <v>#N/A</v>
      </c>
      <c r="AL27" s="66" t="e">
        <f>VLOOKUP($J27,#REF!,12,0)</f>
        <v>#REF!</v>
      </c>
      <c r="AM27" s="68">
        <v>2.7E-2</v>
      </c>
      <c r="AN27" s="31" t="e">
        <f t="shared" si="6"/>
        <v>#N/A</v>
      </c>
      <c r="AO27" s="3" t="e">
        <f t="shared" si="7"/>
        <v>#N/A</v>
      </c>
      <c r="AQ27" s="157" t="e">
        <f t="shared" si="8"/>
        <v>#N/A</v>
      </c>
      <c r="AR27" s="157" t="e">
        <f t="shared" si="9"/>
        <v>#N/A</v>
      </c>
      <c r="AS27" s="31" t="e">
        <f t="shared" si="10"/>
        <v>#N/A</v>
      </c>
    </row>
    <row r="28" spans="1:45">
      <c r="A28" t="str">
        <f t="shared" si="0"/>
        <v>大润发东北区2673-00</v>
      </c>
      <c r="D28" s="2" t="s">
        <v>843</v>
      </c>
      <c r="E28" s="2"/>
      <c r="F28" s="2" t="s">
        <v>838</v>
      </c>
      <c r="G28" t="e">
        <f>VLOOKUP($J28,'mapping-Y26'!#REF!,2,0)</f>
        <v>#REF!</v>
      </c>
      <c r="H28" t="str">
        <f>VLOOKUP($J28,'mapping-Y26'!$F:$L,6,0)</f>
        <v>60P</v>
      </c>
      <c r="I28">
        <f>VLOOKUP($J28,'mapping-Y26'!$F:$L,5,0)</f>
        <v>14016683</v>
      </c>
      <c r="J28" t="s">
        <v>104</v>
      </c>
      <c r="K28" t="str">
        <f>VLOOKUP($J28,'mapping-Y26'!$F:$L,4,0)</f>
        <v xml:space="preserve">267300舒洁®山茶花系列湿巾（湿厕纸）60片 </v>
      </c>
      <c r="L28" t="e">
        <f>VLOOKUP($J28,'mapping-Y26'!#REF!,4,0)</f>
        <v>#REF!</v>
      </c>
      <c r="M28" t="str">
        <f>VLOOKUP($J28,'mapping-Y26'!$H:$L,2,0)</f>
        <v xml:space="preserve">267300舒洁®山茶花系列湿巾（湿厕纸）60片 </v>
      </c>
      <c r="N28" t="e">
        <f>VLOOKUP($J28,'mapping-Y26'!M:N,3,0)</f>
        <v>#N/A</v>
      </c>
      <c r="O28" s="2" t="e">
        <f>VLOOKUP($J28,'mapping-Y26'!$M:$N,5,0)</f>
        <v>#N/A</v>
      </c>
      <c r="P28" s="2" t="e">
        <f>VLOOKUP($J28,'mapping-Y26'!$M:$N,6,0)</f>
        <v>#N/A</v>
      </c>
      <c r="Q28" s="272" t="e">
        <f>VLOOKUP($J28,'mapping-Y26'!$M:$Q,7,0)</f>
        <v>#N/A</v>
      </c>
      <c r="R28" s="31" t="e">
        <f t="shared" si="11"/>
        <v>#N/A</v>
      </c>
      <c r="U28" s="2">
        <v>8.9</v>
      </c>
      <c r="X28" s="423">
        <v>1</v>
      </c>
      <c r="Z28" s="397">
        <f t="shared" si="1"/>
        <v>8.9</v>
      </c>
      <c r="AA28" s="3">
        <v>0.1</v>
      </c>
      <c r="AB28" s="161">
        <v>0</v>
      </c>
      <c r="AC28" s="161">
        <f t="shared" si="2"/>
        <v>7.0884955752212395</v>
      </c>
      <c r="AG28" s="3" t="e">
        <f t="shared" si="3"/>
        <v>#N/A</v>
      </c>
      <c r="AJ28" s="66" t="e">
        <f t="shared" si="4"/>
        <v>#N/A</v>
      </c>
      <c r="AK28" s="31" t="e">
        <f t="shared" si="5"/>
        <v>#N/A</v>
      </c>
      <c r="AL28" s="66" t="e">
        <f>VLOOKUP($J28,#REF!,12,0)</f>
        <v>#REF!</v>
      </c>
      <c r="AM28" s="68">
        <v>2.7E-2</v>
      </c>
      <c r="AN28" s="31" t="e">
        <f t="shared" si="6"/>
        <v>#N/A</v>
      </c>
      <c r="AO28" s="3" t="e">
        <f t="shared" si="7"/>
        <v>#N/A</v>
      </c>
      <c r="AQ28" s="157" t="e">
        <f t="shared" si="8"/>
        <v>#N/A</v>
      </c>
      <c r="AR28" s="157" t="e">
        <f t="shared" si="9"/>
        <v>#N/A</v>
      </c>
      <c r="AS28" s="31" t="e">
        <f t="shared" si="10"/>
        <v>#N/A</v>
      </c>
    </row>
    <row r="29" spans="1:45">
      <c r="A29" t="str">
        <f t="shared" si="0"/>
        <v>大润发东北区2103-90</v>
      </c>
      <c r="D29" s="2" t="s">
        <v>843</v>
      </c>
      <c r="E29" s="2"/>
      <c r="F29" s="2" t="s">
        <v>838</v>
      </c>
      <c r="G29" t="e">
        <f>VLOOKUP($J29,'mapping-Y26'!#REF!,2,0)</f>
        <v>#REF!</v>
      </c>
      <c r="I29">
        <f>VLOOKUP($J29,'mapping-Y26'!$F:$L,5,0)</f>
        <v>14016868</v>
      </c>
      <c r="J29" t="s">
        <v>172</v>
      </c>
      <c r="K29" t="str">
        <f>VLOOKUP($J29,'mapping-Y26'!$F:$L,4,0)</f>
        <v>210390舒洁小熊印花抽纸3层80抽4包FSC mix70%</v>
      </c>
      <c r="L29" t="e">
        <f>VLOOKUP($J29,'mapping-Y26'!#REF!,4,0)</f>
        <v>#REF!</v>
      </c>
      <c r="M29" t="str">
        <f>VLOOKUP($J29,'mapping-Y26'!$H:$L,2,0)</f>
        <v>210390舒洁小熊印花抽纸3层80抽4包FSC mix70%</v>
      </c>
      <c r="N29" t="e">
        <f>VLOOKUP($J29,'mapping-Y26'!M:N,3,0)</f>
        <v>#N/A</v>
      </c>
      <c r="O29" s="2" t="e">
        <f>VLOOKUP($J29,'mapping-Y26'!$M:$N,5,0)</f>
        <v>#N/A</v>
      </c>
      <c r="P29" s="2" t="e">
        <f>VLOOKUP($J29,'mapping-Y26'!$M:$N,6,0)</f>
        <v>#N/A</v>
      </c>
      <c r="Q29" s="272" t="e">
        <f>VLOOKUP($J29,'mapping-Y26'!$M:$Q,7,0)</f>
        <v>#N/A</v>
      </c>
      <c r="R29" s="31" t="e">
        <f t="shared" si="11"/>
        <v>#N/A</v>
      </c>
      <c r="U29" s="2">
        <v>12.8</v>
      </c>
      <c r="X29" s="423">
        <v>1</v>
      </c>
      <c r="Z29" s="397">
        <f t="shared" si="1"/>
        <v>12.8</v>
      </c>
      <c r="AA29" s="3">
        <v>0.1</v>
      </c>
      <c r="AB29" s="161">
        <v>0</v>
      </c>
      <c r="AC29" s="161">
        <f t="shared" si="2"/>
        <v>10.194690265486727</v>
      </c>
      <c r="AG29" s="3" t="e">
        <f t="shared" si="3"/>
        <v>#N/A</v>
      </c>
      <c r="AJ29" s="66" t="e">
        <f t="shared" si="4"/>
        <v>#N/A</v>
      </c>
      <c r="AK29" s="31" t="e">
        <f t="shared" si="5"/>
        <v>#N/A</v>
      </c>
      <c r="AL29" s="66" t="e">
        <f>VLOOKUP($J29,#REF!,12,0)</f>
        <v>#REF!</v>
      </c>
      <c r="AM29" s="68">
        <v>2.7E-2</v>
      </c>
      <c r="AN29" s="31" t="e">
        <f t="shared" si="6"/>
        <v>#N/A</v>
      </c>
      <c r="AO29" s="3" t="e">
        <f t="shared" si="7"/>
        <v>#N/A</v>
      </c>
      <c r="AQ29" s="157" t="e">
        <f t="shared" si="8"/>
        <v>#N/A</v>
      </c>
      <c r="AR29" s="157" t="e">
        <f t="shared" si="9"/>
        <v>#N/A</v>
      </c>
      <c r="AS29" s="31" t="e">
        <f t="shared" si="10"/>
        <v>#N/A</v>
      </c>
    </row>
    <row r="30" spans="1:45">
      <c r="A30" t="str">
        <f t="shared" si="0"/>
        <v>大润发东北区2701-90</v>
      </c>
      <c r="D30" s="2" t="s">
        <v>843</v>
      </c>
      <c r="E30" s="2"/>
      <c r="F30" s="2" t="s">
        <v>838</v>
      </c>
      <c r="G30" t="e">
        <f>VLOOKUP($J30,'mapping-Y26'!#REF!,2,0)</f>
        <v>#REF!</v>
      </c>
      <c r="I30">
        <f>VLOOKUP($J30,'mapping-Y26'!$F:$L,5,0)</f>
        <v>14016871</v>
      </c>
      <c r="J30" t="s">
        <v>227</v>
      </c>
      <c r="K30" t="str">
        <f>VLOOKUP($J30,'mapping-Y26'!$F:$L,4,0)</f>
        <v>270190舒洁小熊印花手帕纸3层10包FSC mix70%</v>
      </c>
      <c r="L30" t="e">
        <f>VLOOKUP($J30,'mapping-Y26'!#REF!,4,0)</f>
        <v>#REF!</v>
      </c>
      <c r="M30" t="str">
        <f>VLOOKUP($J30,'mapping-Y26'!$H:$L,2,0)</f>
        <v>270190舒洁小熊印花手帕纸3层10包FSC mix70%</v>
      </c>
      <c r="N30" t="e">
        <f>VLOOKUP($J30,'mapping-Y26'!M:N,3,0)</f>
        <v>#N/A</v>
      </c>
      <c r="O30" s="2" t="e">
        <f>VLOOKUP($J30,'mapping-Y26'!$M:$N,5,0)</f>
        <v>#N/A</v>
      </c>
      <c r="P30" s="2" t="e">
        <f>VLOOKUP($J30,'mapping-Y26'!$M:$N,6,0)</f>
        <v>#N/A</v>
      </c>
      <c r="Q30" s="272" t="e">
        <f>VLOOKUP($J30,'mapping-Y26'!$M:$Q,7,0)</f>
        <v>#N/A</v>
      </c>
      <c r="R30" s="31" t="e">
        <f t="shared" si="11"/>
        <v>#N/A</v>
      </c>
      <c r="U30" s="2">
        <v>6.6</v>
      </c>
      <c r="X30" s="423">
        <v>1</v>
      </c>
      <c r="Z30" s="397">
        <f t="shared" si="1"/>
        <v>6.6</v>
      </c>
      <c r="AA30" s="3">
        <v>0.1</v>
      </c>
      <c r="AB30" s="161">
        <v>0</v>
      </c>
      <c r="AC30" s="161">
        <f t="shared" si="2"/>
        <v>5.2566371681415927</v>
      </c>
      <c r="AG30" s="3" t="e">
        <f t="shared" si="3"/>
        <v>#N/A</v>
      </c>
      <c r="AJ30" s="66" t="e">
        <f t="shared" si="4"/>
        <v>#N/A</v>
      </c>
      <c r="AK30" s="31" t="e">
        <f t="shared" si="5"/>
        <v>#N/A</v>
      </c>
      <c r="AL30" s="66" t="e">
        <f>VLOOKUP($J30,#REF!,12,0)</f>
        <v>#REF!</v>
      </c>
      <c r="AM30" s="68">
        <v>2.7E-2</v>
      </c>
      <c r="AN30" s="31" t="e">
        <f t="shared" si="6"/>
        <v>#N/A</v>
      </c>
      <c r="AO30" s="3" t="e">
        <f t="shared" si="7"/>
        <v>#N/A</v>
      </c>
      <c r="AQ30" s="157" t="e">
        <f t="shared" si="8"/>
        <v>#N/A</v>
      </c>
      <c r="AR30" s="157" t="e">
        <f t="shared" si="9"/>
        <v>#N/A</v>
      </c>
      <c r="AS30" s="31" t="e">
        <f t="shared" si="10"/>
        <v>#N/A</v>
      </c>
    </row>
    <row r="31" spans="1:45">
      <c r="A31" t="str">
        <f t="shared" si="0"/>
        <v>大润发华北区2660-10</v>
      </c>
      <c r="D31" s="2" t="s">
        <v>843</v>
      </c>
      <c r="E31" s="2"/>
      <c r="F31" s="2" t="s">
        <v>839</v>
      </c>
      <c r="G31" t="e">
        <f>VLOOKUP($J31,'mapping-Y26'!#REF!,2,0)</f>
        <v>#REF!</v>
      </c>
      <c r="H31" t="str">
        <f>VLOOKUP($J31,'mapping-Y26'!$F:$L,6,0)</f>
        <v>80P</v>
      </c>
      <c r="I31">
        <f>VLOOKUP($J31,'mapping-Y26'!$F:$L,5,0)</f>
        <v>14017865</v>
      </c>
      <c r="J31" t="s">
        <v>555</v>
      </c>
      <c r="K31" t="str">
        <f>VLOOKUP($J31,'mapping-Y26'!$F:$L,4,0)</f>
        <v xml:space="preserve">266010舒洁湿厕纸80片 </v>
      </c>
      <c r="L31" t="e">
        <f>VLOOKUP($J31,'mapping-Y26'!#REF!,4,0)</f>
        <v>#REF!</v>
      </c>
      <c r="M31" t="str">
        <f>VLOOKUP($J31,'mapping-Y26'!$H:$L,2,0)</f>
        <v xml:space="preserve">266010舒洁湿厕纸80片 </v>
      </c>
      <c r="N31" t="e">
        <f>VLOOKUP($J31,'mapping-Y26'!M:N,3,0)</f>
        <v>#N/A</v>
      </c>
      <c r="O31" s="2" t="e">
        <f>VLOOKUP($J31,'mapping-Y26'!$M:$N,5,0)</f>
        <v>#N/A</v>
      </c>
      <c r="P31" s="2" t="e">
        <f>VLOOKUP($J31,'mapping-Y26'!$M:$N,6,0)</f>
        <v>#N/A</v>
      </c>
      <c r="Q31" s="272" t="e">
        <f>VLOOKUP($J31,'mapping-Y26'!$M:$Q,7,0)</f>
        <v>#N/A</v>
      </c>
      <c r="R31" s="31" t="e">
        <f t="shared" si="11"/>
        <v>#N/A</v>
      </c>
      <c r="U31" s="2">
        <v>10.9</v>
      </c>
      <c r="X31" s="423">
        <v>1</v>
      </c>
      <c r="Z31" s="397">
        <f t="shared" si="1"/>
        <v>10.9</v>
      </c>
      <c r="AA31" s="3">
        <v>0.1</v>
      </c>
      <c r="AB31" s="161">
        <v>0</v>
      </c>
      <c r="AC31" s="161">
        <f t="shared" si="2"/>
        <v>8.6814159292035402</v>
      </c>
      <c r="AG31" s="3" t="e">
        <f t="shared" si="3"/>
        <v>#N/A</v>
      </c>
      <c r="AJ31" s="66" t="e">
        <f t="shared" si="4"/>
        <v>#N/A</v>
      </c>
      <c r="AK31" s="31" t="e">
        <f t="shared" si="5"/>
        <v>#N/A</v>
      </c>
      <c r="AL31" s="66" t="e">
        <f>VLOOKUP($J31,#REF!,12,0)</f>
        <v>#REF!</v>
      </c>
      <c r="AM31" s="68">
        <v>2.7E-2</v>
      </c>
      <c r="AN31" s="31" t="e">
        <f t="shared" si="6"/>
        <v>#N/A</v>
      </c>
      <c r="AO31" s="3" t="e">
        <f t="shared" si="7"/>
        <v>#N/A</v>
      </c>
      <c r="AQ31" s="157" t="e">
        <f t="shared" si="8"/>
        <v>#N/A</v>
      </c>
      <c r="AR31" s="157" t="e">
        <f t="shared" si="9"/>
        <v>#N/A</v>
      </c>
      <c r="AS31" s="31" t="e">
        <f t="shared" si="10"/>
        <v>#N/A</v>
      </c>
    </row>
    <row r="32" spans="1:45">
      <c r="A32" t="str">
        <f t="shared" si="0"/>
        <v>大润发华北区2666-00</v>
      </c>
      <c r="D32" s="2" t="s">
        <v>843</v>
      </c>
      <c r="E32" s="2"/>
      <c r="F32" s="2" t="s">
        <v>839</v>
      </c>
      <c r="G32" t="e">
        <f>VLOOKUP($J32,'mapping-Y26'!#REF!,2,0)</f>
        <v>#REF!</v>
      </c>
      <c r="I32">
        <f>VLOOKUP($J32,'mapping-Y26'!$F:$L,5,0)</f>
        <v>14016486</v>
      </c>
      <c r="J32" t="s">
        <v>70</v>
      </c>
      <c r="K32" t="str">
        <f>VLOOKUP($J32,'mapping-Y26'!$F:$L,4,0)</f>
        <v xml:space="preserve">266600舒洁湿厕纸100片x6包 </v>
      </c>
      <c r="L32" t="e">
        <f>VLOOKUP($J32,'mapping-Y26'!#REF!,4,0)</f>
        <v>#REF!</v>
      </c>
      <c r="M32" t="str">
        <f>VLOOKUP($J32,'mapping-Y26'!$H:$L,2,0)</f>
        <v xml:space="preserve">266600舒洁湿厕纸100片x6包 </v>
      </c>
      <c r="N32" t="e">
        <f>VLOOKUP($J32,'mapping-Y26'!M:N,3,0)</f>
        <v>#N/A</v>
      </c>
      <c r="O32" s="2" t="e">
        <f>VLOOKUP($J32,'mapping-Y26'!$M:$N,5,0)</f>
        <v>#N/A</v>
      </c>
      <c r="P32" s="2" t="e">
        <f>VLOOKUP($J32,'mapping-Y26'!$M:$N,6,0)</f>
        <v>#N/A</v>
      </c>
      <c r="Q32" s="272" t="e">
        <f>VLOOKUP($J32,'mapping-Y26'!$M:$Q,7,0)</f>
        <v>#N/A</v>
      </c>
      <c r="R32" s="31" t="e">
        <f t="shared" si="11"/>
        <v>#N/A</v>
      </c>
      <c r="U32" s="2">
        <v>14.9</v>
      </c>
      <c r="X32" s="423">
        <v>1</v>
      </c>
      <c r="Z32" s="397">
        <f t="shared" si="1"/>
        <v>14.9</v>
      </c>
      <c r="AA32" s="3">
        <v>0.1</v>
      </c>
      <c r="AB32" s="161">
        <v>0</v>
      </c>
      <c r="AC32" s="161">
        <f t="shared" si="2"/>
        <v>11.867256637168143</v>
      </c>
      <c r="AG32" s="3" t="e">
        <f t="shared" si="3"/>
        <v>#N/A</v>
      </c>
      <c r="AJ32" s="66" t="e">
        <f t="shared" si="4"/>
        <v>#N/A</v>
      </c>
      <c r="AK32" s="31" t="e">
        <f t="shared" si="5"/>
        <v>#N/A</v>
      </c>
      <c r="AL32" s="66" t="e">
        <f>VLOOKUP($J32,#REF!,12,0)</f>
        <v>#REF!</v>
      </c>
      <c r="AM32" s="68">
        <v>2.7E-2</v>
      </c>
      <c r="AN32" s="31" t="e">
        <f t="shared" si="6"/>
        <v>#N/A</v>
      </c>
      <c r="AO32" s="3" t="e">
        <f t="shared" si="7"/>
        <v>#N/A</v>
      </c>
      <c r="AQ32" s="157" t="e">
        <f t="shared" si="8"/>
        <v>#N/A</v>
      </c>
      <c r="AR32" s="157" t="e">
        <f t="shared" si="9"/>
        <v>#N/A</v>
      </c>
      <c r="AS32" s="31" t="e">
        <f t="shared" si="10"/>
        <v>#N/A</v>
      </c>
    </row>
    <row r="33" spans="1:45">
      <c r="A33" t="str">
        <f t="shared" si="0"/>
        <v>大润发华北区2155-03</v>
      </c>
      <c r="D33" s="2" t="s">
        <v>843</v>
      </c>
      <c r="E33" s="2"/>
      <c r="F33" s="2" t="s">
        <v>839</v>
      </c>
      <c r="G33" t="e">
        <f>VLOOKUP($J33,'mapping-Y26'!#REF!,2,0)</f>
        <v>#REF!</v>
      </c>
      <c r="I33">
        <f>VLOOKUP($J33,'mapping-Y26'!$F:$L,5,0)</f>
        <v>14016306</v>
      </c>
      <c r="J33" t="s">
        <v>136</v>
      </c>
      <c r="K33" t="str">
        <f>VLOOKUP($J33,'mapping-Y26'!$F:$L,4,0)</f>
        <v>215503舒洁®北海道轻牛乳系列乳霜纸面巾40抽3包装</v>
      </c>
      <c r="L33" t="e">
        <f>VLOOKUP($J33,'mapping-Y26'!#REF!,4,0)</f>
        <v>#REF!</v>
      </c>
      <c r="M33" t="str">
        <f>VLOOKUP($J33,'mapping-Y26'!$H:$L,2,0)</f>
        <v>215503舒洁®北海道轻牛乳系列乳霜纸面巾40抽3包装</v>
      </c>
      <c r="N33" t="e">
        <f>VLOOKUP($J33,'mapping-Y26'!M:N,3,0)</f>
        <v>#N/A</v>
      </c>
      <c r="O33" s="2" t="e">
        <f>VLOOKUP($J33,'mapping-Y26'!$M:$N,5,0)</f>
        <v>#N/A</v>
      </c>
      <c r="P33" s="2" t="e">
        <f>VLOOKUP($J33,'mapping-Y26'!$M:$N,6,0)</f>
        <v>#N/A</v>
      </c>
      <c r="Q33" s="272" t="e">
        <f>VLOOKUP($J33,'mapping-Y26'!$M:$Q,7,0)</f>
        <v>#N/A</v>
      </c>
      <c r="R33" s="31" t="e">
        <f t="shared" si="11"/>
        <v>#N/A</v>
      </c>
      <c r="Z33" s="397">
        <f t="shared" si="1"/>
        <v>0</v>
      </c>
      <c r="AA33" s="3">
        <v>0.1</v>
      </c>
      <c r="AB33" s="161">
        <v>0</v>
      </c>
      <c r="AC33" s="161">
        <f t="shared" si="2"/>
        <v>0</v>
      </c>
      <c r="AG33" s="3" t="e">
        <f t="shared" si="3"/>
        <v>#N/A</v>
      </c>
      <c r="AJ33" s="66" t="e">
        <f t="shared" si="4"/>
        <v>#N/A</v>
      </c>
      <c r="AK33" s="31" t="e">
        <f t="shared" si="5"/>
        <v>#N/A</v>
      </c>
      <c r="AL33" s="66" t="e">
        <f>VLOOKUP($J33,#REF!,12,0)</f>
        <v>#REF!</v>
      </c>
      <c r="AM33" s="68">
        <v>2.7E-2</v>
      </c>
      <c r="AN33" s="31" t="e">
        <f t="shared" si="6"/>
        <v>#N/A</v>
      </c>
      <c r="AO33" s="3" t="e">
        <f t="shared" si="7"/>
        <v>#N/A</v>
      </c>
      <c r="AQ33" s="157" t="e">
        <f t="shared" si="8"/>
        <v>#N/A</v>
      </c>
      <c r="AR33" s="157" t="e">
        <f t="shared" si="9"/>
        <v>#N/A</v>
      </c>
      <c r="AS33" s="31" t="e">
        <f t="shared" si="10"/>
        <v>#N/A</v>
      </c>
    </row>
    <row r="34" spans="1:45">
      <c r="A34" t="str">
        <f t="shared" si="0"/>
        <v>大润发华北区2162-08</v>
      </c>
      <c r="D34" s="2" t="s">
        <v>843</v>
      </c>
      <c r="E34" s="2"/>
      <c r="F34" s="2" t="s">
        <v>839</v>
      </c>
      <c r="G34" t="e">
        <f>VLOOKUP($J34,'mapping-Y26'!#REF!,2,0)</f>
        <v>#REF!</v>
      </c>
      <c r="I34">
        <f>VLOOKUP($J34,'mapping-Y26'!$F:$L,5,0)</f>
        <v>14015110</v>
      </c>
      <c r="J34" t="s">
        <v>150</v>
      </c>
      <c r="K34" t="str">
        <f>VLOOKUP($J34,'mapping-Y26'!$F:$L,4,0)</f>
        <v>216208舒洁®北海道牛乳系列乳霜纸面巾20抽8包装</v>
      </c>
      <c r="L34" t="e">
        <f>VLOOKUP($J34,'mapping-Y26'!#REF!,4,0)</f>
        <v>#REF!</v>
      </c>
      <c r="M34" t="str">
        <f>VLOOKUP($J34,'mapping-Y26'!$H:$L,2,0)</f>
        <v>216208舒洁®北海道牛乳系列乳霜纸面巾20抽8包装</v>
      </c>
      <c r="N34" t="e">
        <f>VLOOKUP($J34,'mapping-Y26'!M:N,3,0)</f>
        <v>#N/A</v>
      </c>
      <c r="O34" s="2" t="e">
        <f>VLOOKUP($J34,'mapping-Y26'!$M:$N,5,0)</f>
        <v>#N/A</v>
      </c>
      <c r="P34" s="2" t="e">
        <f>VLOOKUP($J34,'mapping-Y26'!$M:$N,6,0)</f>
        <v>#N/A</v>
      </c>
      <c r="Q34" s="272" t="e">
        <f>VLOOKUP($J34,'mapping-Y26'!$M:$Q,7,0)</f>
        <v>#N/A</v>
      </c>
      <c r="R34" s="31" t="e">
        <f t="shared" si="11"/>
        <v>#N/A</v>
      </c>
      <c r="U34" s="2">
        <v>23.9</v>
      </c>
      <c r="X34" s="423">
        <v>1</v>
      </c>
      <c r="Z34" s="397">
        <f t="shared" si="1"/>
        <v>23.9</v>
      </c>
      <c r="AA34" s="3">
        <v>0.1</v>
      </c>
      <c r="AB34" s="161">
        <v>0</v>
      </c>
      <c r="AC34" s="161">
        <f t="shared" si="2"/>
        <v>19.035398230088497</v>
      </c>
      <c r="AG34" s="3" t="e">
        <f t="shared" si="3"/>
        <v>#N/A</v>
      </c>
      <c r="AJ34" s="66" t="e">
        <f t="shared" si="4"/>
        <v>#N/A</v>
      </c>
      <c r="AK34" s="31" t="e">
        <f t="shared" si="5"/>
        <v>#N/A</v>
      </c>
      <c r="AL34" s="66" t="e">
        <f>VLOOKUP($J34,#REF!,12,0)</f>
        <v>#REF!</v>
      </c>
      <c r="AM34" s="68">
        <v>2.7E-2</v>
      </c>
      <c r="AN34" s="31" t="e">
        <f t="shared" si="6"/>
        <v>#N/A</v>
      </c>
      <c r="AO34" s="3" t="e">
        <f t="shared" si="7"/>
        <v>#N/A</v>
      </c>
      <c r="AQ34" s="157" t="e">
        <f t="shared" si="8"/>
        <v>#N/A</v>
      </c>
      <c r="AR34" s="157" t="e">
        <f t="shared" si="9"/>
        <v>#N/A</v>
      </c>
      <c r="AS34" s="31" t="e">
        <f t="shared" si="10"/>
        <v>#N/A</v>
      </c>
    </row>
    <row r="35" spans="1:45">
      <c r="A35" t="str">
        <f t="shared" si="0"/>
        <v>大润发华北区2103-90</v>
      </c>
      <c r="D35" s="2" t="s">
        <v>843</v>
      </c>
      <c r="E35" s="2"/>
      <c r="F35" s="2" t="s">
        <v>839</v>
      </c>
      <c r="G35" t="e">
        <f>VLOOKUP($J35,'mapping-Y26'!#REF!,2,0)</f>
        <v>#REF!</v>
      </c>
      <c r="I35">
        <f>VLOOKUP($J35,'mapping-Y26'!$F:$L,5,0)</f>
        <v>14016868</v>
      </c>
      <c r="J35" t="s">
        <v>172</v>
      </c>
      <c r="K35" t="str">
        <f>VLOOKUP($J35,'mapping-Y26'!$F:$L,4,0)</f>
        <v>210390舒洁小熊印花抽纸3层80抽4包FSC mix70%</v>
      </c>
      <c r="L35" t="e">
        <f>VLOOKUP($J35,'mapping-Y26'!#REF!,4,0)</f>
        <v>#REF!</v>
      </c>
      <c r="M35" t="str">
        <f>VLOOKUP($J35,'mapping-Y26'!$H:$L,2,0)</f>
        <v>210390舒洁小熊印花抽纸3层80抽4包FSC mix70%</v>
      </c>
      <c r="N35" t="e">
        <f>VLOOKUP($J35,'mapping-Y26'!M:N,3,0)</f>
        <v>#N/A</v>
      </c>
      <c r="O35" s="2" t="e">
        <f>VLOOKUP($J35,'mapping-Y26'!$M:$N,5,0)</f>
        <v>#N/A</v>
      </c>
      <c r="P35" s="2" t="e">
        <f>VLOOKUP($J35,'mapping-Y26'!$M:$N,6,0)</f>
        <v>#N/A</v>
      </c>
      <c r="Q35" s="272" t="e">
        <f>VLOOKUP($J35,'mapping-Y26'!$M:$Q,7,0)</f>
        <v>#N/A</v>
      </c>
      <c r="R35" s="31" t="e">
        <f t="shared" si="11"/>
        <v>#N/A</v>
      </c>
      <c r="U35" s="2">
        <v>13.9</v>
      </c>
      <c r="X35" s="423">
        <v>1</v>
      </c>
      <c r="Z35" s="397">
        <f t="shared" si="1"/>
        <v>13.9</v>
      </c>
      <c r="AA35" s="3">
        <v>0.1</v>
      </c>
      <c r="AB35" s="161">
        <v>0</v>
      </c>
      <c r="AC35" s="161">
        <f t="shared" si="2"/>
        <v>11.070796460176991</v>
      </c>
      <c r="AG35" s="3" t="e">
        <f t="shared" si="3"/>
        <v>#N/A</v>
      </c>
      <c r="AJ35" s="66" t="e">
        <f t="shared" si="4"/>
        <v>#N/A</v>
      </c>
      <c r="AK35" s="31" t="e">
        <f t="shared" si="5"/>
        <v>#N/A</v>
      </c>
      <c r="AL35" s="66" t="e">
        <f>VLOOKUP($J35,#REF!,12,0)</f>
        <v>#REF!</v>
      </c>
      <c r="AM35" s="68">
        <v>2.7E-2</v>
      </c>
      <c r="AN35" s="31" t="e">
        <f t="shared" si="6"/>
        <v>#N/A</v>
      </c>
      <c r="AO35" s="3" t="e">
        <f t="shared" si="7"/>
        <v>#N/A</v>
      </c>
      <c r="AQ35" s="157" t="e">
        <f t="shared" si="8"/>
        <v>#N/A</v>
      </c>
      <c r="AR35" s="157" t="e">
        <f t="shared" si="9"/>
        <v>#N/A</v>
      </c>
      <c r="AS35" s="31" t="e">
        <f t="shared" si="10"/>
        <v>#N/A</v>
      </c>
    </row>
    <row r="36" spans="1:45">
      <c r="A36" t="str">
        <f t="shared" si="0"/>
        <v>大润发华北区2107-61</v>
      </c>
      <c r="D36" s="2" t="s">
        <v>843</v>
      </c>
      <c r="E36" s="2"/>
      <c r="F36" s="2" t="s">
        <v>839</v>
      </c>
      <c r="G36" t="e">
        <f>VLOOKUP($J36,'mapping-Y26'!#REF!,2,0)</f>
        <v>#REF!</v>
      </c>
      <c r="I36">
        <f>VLOOKUP($J36,'mapping-Y26'!$F:$L,5,0)</f>
        <v>14014470</v>
      </c>
      <c r="J36" t="s">
        <v>187</v>
      </c>
      <c r="K36" t="str">
        <f>VLOOKUP($J36,'mapping-Y26'!$F:$L,4,0)</f>
        <v>210761舒洁卡通系列抽纸200抽3包 FSC mix70%</v>
      </c>
      <c r="L36" t="e">
        <f>VLOOKUP($J36,'mapping-Y26'!#REF!,4,0)</f>
        <v>#REF!</v>
      </c>
      <c r="M36" t="str">
        <f>VLOOKUP($J36,'mapping-Y26'!$H:$L,2,0)</f>
        <v>210761舒洁卡通系列抽纸200抽3包 FSC mix70%</v>
      </c>
      <c r="N36" t="e">
        <f>VLOOKUP($J36,'mapping-Y26'!M:N,3,0)</f>
        <v>#N/A</v>
      </c>
      <c r="O36" s="2" t="e">
        <f>VLOOKUP($J36,'mapping-Y26'!$M:$N,5,0)</f>
        <v>#N/A</v>
      </c>
      <c r="P36" s="2" t="e">
        <f>VLOOKUP($J36,'mapping-Y26'!$M:$N,6,0)</f>
        <v>#N/A</v>
      </c>
      <c r="Q36" s="272" t="e">
        <f>VLOOKUP($J36,'mapping-Y26'!$M:$Q,7,0)</f>
        <v>#N/A</v>
      </c>
      <c r="R36" s="31" t="e">
        <f t="shared" si="11"/>
        <v>#N/A</v>
      </c>
      <c r="U36" s="2">
        <v>15.9</v>
      </c>
      <c r="X36" s="423">
        <v>1</v>
      </c>
      <c r="Z36" s="397">
        <f t="shared" si="1"/>
        <v>15.9</v>
      </c>
      <c r="AA36" s="3">
        <v>0.1</v>
      </c>
      <c r="AB36" s="161">
        <v>0</v>
      </c>
      <c r="AC36" s="161">
        <f t="shared" si="2"/>
        <v>12.663716814159294</v>
      </c>
      <c r="AG36" s="3" t="e">
        <f t="shared" si="3"/>
        <v>#N/A</v>
      </c>
      <c r="AJ36" s="66" t="e">
        <f t="shared" si="4"/>
        <v>#N/A</v>
      </c>
      <c r="AK36" s="31" t="e">
        <f t="shared" si="5"/>
        <v>#N/A</v>
      </c>
      <c r="AL36" s="66" t="e">
        <f>VLOOKUP($J36,#REF!,12,0)</f>
        <v>#REF!</v>
      </c>
      <c r="AM36" s="68">
        <v>2.7E-2</v>
      </c>
      <c r="AN36" s="31" t="e">
        <f t="shared" si="6"/>
        <v>#N/A</v>
      </c>
      <c r="AO36" s="3" t="e">
        <f t="shared" si="7"/>
        <v>#N/A</v>
      </c>
      <c r="AQ36" s="157" t="e">
        <f t="shared" si="8"/>
        <v>#N/A</v>
      </c>
      <c r="AR36" s="157" t="e">
        <f t="shared" si="9"/>
        <v>#N/A</v>
      </c>
      <c r="AS36" s="31" t="e">
        <f t="shared" si="10"/>
        <v>#N/A</v>
      </c>
    </row>
    <row r="37" spans="1:45">
      <c r="A37" t="str">
        <f t="shared" si="0"/>
        <v>大润发华北区2701-90</v>
      </c>
      <c r="D37" s="2" t="s">
        <v>843</v>
      </c>
      <c r="E37" s="2"/>
      <c r="F37" s="2" t="s">
        <v>839</v>
      </c>
      <c r="G37" t="e">
        <f>VLOOKUP($J37,'mapping-Y26'!#REF!,2,0)</f>
        <v>#REF!</v>
      </c>
      <c r="I37">
        <f>VLOOKUP($J37,'mapping-Y26'!$F:$L,5,0)</f>
        <v>14016871</v>
      </c>
      <c r="J37" t="s">
        <v>227</v>
      </c>
      <c r="K37" t="str">
        <f>VLOOKUP($J37,'mapping-Y26'!$F:$L,4,0)</f>
        <v>270190舒洁小熊印花手帕纸3层10包FSC mix70%</v>
      </c>
      <c r="L37" t="e">
        <f>VLOOKUP($J37,'mapping-Y26'!#REF!,4,0)</f>
        <v>#REF!</v>
      </c>
      <c r="M37" t="str">
        <f>VLOOKUP($J37,'mapping-Y26'!$H:$L,2,0)</f>
        <v>270190舒洁小熊印花手帕纸3层10包FSC mix70%</v>
      </c>
      <c r="N37" t="e">
        <f>VLOOKUP($J37,'mapping-Y26'!M:N,3,0)</f>
        <v>#N/A</v>
      </c>
      <c r="O37" s="2" t="e">
        <f>VLOOKUP($J37,'mapping-Y26'!$M:$N,5,0)</f>
        <v>#N/A</v>
      </c>
      <c r="P37" s="2" t="e">
        <f>VLOOKUP($J37,'mapping-Y26'!$M:$N,6,0)</f>
        <v>#N/A</v>
      </c>
      <c r="Q37" s="272" t="e">
        <f>VLOOKUP($J37,'mapping-Y26'!$M:$Q,7,0)</f>
        <v>#N/A</v>
      </c>
      <c r="R37" s="31" t="e">
        <f t="shared" si="11"/>
        <v>#N/A</v>
      </c>
      <c r="U37" s="2">
        <v>6.9</v>
      </c>
      <c r="X37" s="423">
        <v>1</v>
      </c>
      <c r="Z37" s="397">
        <f t="shared" si="1"/>
        <v>6.9</v>
      </c>
      <c r="AA37" s="3">
        <v>0.1</v>
      </c>
      <c r="AB37" s="161">
        <v>0</v>
      </c>
      <c r="AC37" s="161">
        <f t="shared" si="2"/>
        <v>5.4955752212389397</v>
      </c>
      <c r="AG37" s="3" t="e">
        <f t="shared" ref="AG37:AG42" si="14">(R37-AD37)/R37</f>
        <v>#N/A</v>
      </c>
      <c r="AJ37" s="66" t="e">
        <f t="shared" ref="AJ37:AJ50" si="15">(AH37+AI37)*AD37/R37+AG37</f>
        <v>#N/A</v>
      </c>
      <c r="AK37" s="31" t="e">
        <f t="shared" ref="AK37:AK64" si="16">R37*(1-AJ37)</f>
        <v>#N/A</v>
      </c>
      <c r="AL37" s="66" t="e">
        <f>VLOOKUP($J37,#REF!,12,0)</f>
        <v>#REF!</v>
      </c>
      <c r="AM37" s="68">
        <v>2.7E-2</v>
      </c>
      <c r="AN37" s="31" t="e">
        <f t="shared" ref="AN37:AN64" si="17">AK37-R37*(AL37+AM37)</f>
        <v>#N/A</v>
      </c>
      <c r="AO37" s="3" t="e">
        <f t="shared" si="7"/>
        <v>#N/A</v>
      </c>
      <c r="AQ37" s="157" t="e">
        <f t="shared" ref="AQ37:AQ64" si="18">O37*AK37*AP37</f>
        <v>#N/A</v>
      </c>
      <c r="AR37" s="157" t="e">
        <f t="shared" ref="AR37:AR64" si="19">AP37*AN37*O37</f>
        <v>#N/A</v>
      </c>
      <c r="AS37" s="31" t="e">
        <f t="shared" ref="AS37:AS64" si="20">AP37*Q37</f>
        <v>#N/A</v>
      </c>
    </row>
    <row r="38" spans="1:45">
      <c r="A38" t="str">
        <f t="shared" si="0"/>
        <v>Hema2660-10</v>
      </c>
      <c r="D38" s="2" t="s">
        <v>843</v>
      </c>
      <c r="E38" s="2"/>
      <c r="F38" s="2" t="s">
        <v>840</v>
      </c>
      <c r="G38" t="e">
        <f>VLOOKUP($J38,'mapping-Y26'!#REF!,2,0)</f>
        <v>#REF!</v>
      </c>
      <c r="H38" t="str">
        <f>VLOOKUP($J38,'mapping-Y26'!$F:$L,6,0)</f>
        <v>80P</v>
      </c>
      <c r="I38">
        <f>VLOOKUP($J38,'mapping-Y26'!$F:$L,5,0)</f>
        <v>14017865</v>
      </c>
      <c r="J38" t="s">
        <v>555</v>
      </c>
      <c r="K38" t="str">
        <f>VLOOKUP($J38,'mapping-Y26'!$F:$L,4,0)</f>
        <v xml:space="preserve">266010舒洁湿厕纸80片 </v>
      </c>
      <c r="L38" t="e">
        <f>VLOOKUP($J38,'mapping-Y26'!#REF!,4,0)</f>
        <v>#REF!</v>
      </c>
      <c r="M38" t="str">
        <f>VLOOKUP($J38,'mapping-Y26'!$H:$L,2,0)</f>
        <v xml:space="preserve">266010舒洁湿厕纸80片 </v>
      </c>
      <c r="N38" t="e">
        <f>VLOOKUP($J38,'mapping-Y26'!M:N,3,0)</f>
        <v>#N/A</v>
      </c>
      <c r="O38" s="2" t="e">
        <f>VLOOKUP($J38,'mapping-Y26'!$M:$N,5,0)</f>
        <v>#N/A</v>
      </c>
      <c r="P38" s="2" t="e">
        <f>VLOOKUP($J38,'mapping-Y26'!$M:$N,6,0)</f>
        <v>#N/A</v>
      </c>
      <c r="Q38" s="272" t="e">
        <f>VLOOKUP($J38,'mapping-Y26'!$M:$Q,7,0)</f>
        <v>#N/A</v>
      </c>
      <c r="R38" s="31" t="e">
        <f t="shared" si="11"/>
        <v>#N/A</v>
      </c>
      <c r="U38" s="2">
        <v>14.9</v>
      </c>
      <c r="X38" s="423">
        <v>1</v>
      </c>
      <c r="Z38" s="397">
        <f t="shared" si="1"/>
        <v>14.9</v>
      </c>
      <c r="AA38" s="3">
        <v>0.36845637583892621</v>
      </c>
      <c r="AB38" s="161">
        <v>0</v>
      </c>
      <c r="AC38" s="161">
        <f t="shared" si="2"/>
        <v>8.3274336283185857</v>
      </c>
      <c r="AG38" s="3" t="e">
        <f t="shared" si="14"/>
        <v>#N/A</v>
      </c>
      <c r="AJ38" s="66" t="e">
        <f t="shared" si="15"/>
        <v>#N/A</v>
      </c>
      <c r="AK38" s="31" t="e">
        <f t="shared" si="16"/>
        <v>#N/A</v>
      </c>
      <c r="AL38" s="66" t="e">
        <f>VLOOKUP($J38,#REF!,12,0)</f>
        <v>#REF!</v>
      </c>
      <c r="AM38" s="68">
        <v>2.7E-2</v>
      </c>
      <c r="AN38" s="31" t="e">
        <f t="shared" si="17"/>
        <v>#N/A</v>
      </c>
      <c r="AO38" s="3" t="e">
        <f t="shared" si="7"/>
        <v>#N/A</v>
      </c>
      <c r="AQ38" s="157" t="e">
        <f t="shared" si="18"/>
        <v>#N/A</v>
      </c>
      <c r="AR38" s="157" t="e">
        <f t="shared" si="19"/>
        <v>#N/A</v>
      </c>
      <c r="AS38" s="31" t="e">
        <f t="shared" si="20"/>
        <v>#N/A</v>
      </c>
    </row>
    <row r="39" spans="1:45">
      <c r="A39" t="str">
        <f t="shared" si="0"/>
        <v>Hema2661-10</v>
      </c>
      <c r="D39" s="2" t="s">
        <v>843</v>
      </c>
      <c r="E39" s="2"/>
      <c r="F39" s="2" t="s">
        <v>840</v>
      </c>
      <c r="G39" t="e">
        <f>VLOOKUP($J39,'mapping-Y26'!#REF!,2,0)</f>
        <v>#REF!</v>
      </c>
      <c r="H39" t="str">
        <f>VLOOKUP($J39,'mapping-Y26'!$F:$L,6,0)</f>
        <v>80P-55gsm</v>
      </c>
      <c r="I39">
        <f>VLOOKUP($J39,'mapping-Y26'!$F:$L,5,0)</f>
        <v>14017866</v>
      </c>
      <c r="J39" t="s">
        <v>571</v>
      </c>
      <c r="K39" t="str">
        <f>VLOOKUP($J39,'mapping-Y26'!$F:$L,4,0)</f>
        <v xml:space="preserve">266110舒洁湿厕纸80片x3包 </v>
      </c>
      <c r="L39" t="e">
        <f>VLOOKUP($J39,'mapping-Y26'!#REF!,4,0)</f>
        <v>#REF!</v>
      </c>
      <c r="M39" t="str">
        <f>VLOOKUP($J39,'mapping-Y26'!$H:$L,2,0)</f>
        <v xml:space="preserve">266110舒洁湿厕纸80片x3包 </v>
      </c>
      <c r="N39" t="e">
        <f>VLOOKUP($J39,'mapping-Y26'!M:N,3,0)</f>
        <v>#N/A</v>
      </c>
      <c r="O39" s="2" t="e">
        <f>VLOOKUP($J39,'mapping-Y26'!$M:$N,5,0)</f>
        <v>#N/A</v>
      </c>
      <c r="P39" s="2" t="e">
        <f>VLOOKUP($J39,'mapping-Y26'!$M:$N,6,0)</f>
        <v>#N/A</v>
      </c>
      <c r="Q39" s="272" t="e">
        <f>VLOOKUP($J39,'mapping-Y26'!$M:$Q,7,0)</f>
        <v>#N/A</v>
      </c>
      <c r="R39" s="31" t="e">
        <f t="shared" si="11"/>
        <v>#N/A</v>
      </c>
      <c r="U39" s="2">
        <v>33.9</v>
      </c>
      <c r="X39" s="423">
        <v>1</v>
      </c>
      <c r="Z39" s="397">
        <f t="shared" si="1"/>
        <v>33.9</v>
      </c>
      <c r="AA39" s="3">
        <v>0.25006143333333331</v>
      </c>
      <c r="AB39" s="161">
        <v>0</v>
      </c>
      <c r="AC39" s="161">
        <f t="shared" si="2"/>
        <v>22.498157000000003</v>
      </c>
      <c r="AG39" s="3" t="e">
        <f t="shared" si="14"/>
        <v>#N/A</v>
      </c>
      <c r="AJ39" s="66" t="e">
        <f t="shared" si="15"/>
        <v>#N/A</v>
      </c>
      <c r="AK39" s="31" t="e">
        <f t="shared" si="16"/>
        <v>#N/A</v>
      </c>
      <c r="AL39" s="66" t="e">
        <f>VLOOKUP($J39,#REF!,12,0)</f>
        <v>#REF!</v>
      </c>
      <c r="AM39" s="68">
        <v>2.7E-2</v>
      </c>
      <c r="AN39" s="31" t="e">
        <f t="shared" si="17"/>
        <v>#N/A</v>
      </c>
      <c r="AO39" s="3" t="e">
        <f t="shared" si="7"/>
        <v>#N/A</v>
      </c>
      <c r="AQ39" s="157" t="e">
        <f t="shared" si="18"/>
        <v>#N/A</v>
      </c>
      <c r="AR39" s="157" t="e">
        <f t="shared" si="19"/>
        <v>#N/A</v>
      </c>
      <c r="AS39" s="31" t="e">
        <f t="shared" si="20"/>
        <v>#N/A</v>
      </c>
    </row>
    <row r="40" spans="1:45">
      <c r="A40" t="str">
        <f t="shared" si="0"/>
        <v>Hema2670-40</v>
      </c>
      <c r="D40" s="2" t="s">
        <v>843</v>
      </c>
      <c r="E40" s="2"/>
      <c r="F40" s="2" t="s">
        <v>840</v>
      </c>
      <c r="G40" t="e">
        <f>VLOOKUP($J40,'mapping-Y26'!#REF!,2,0)</f>
        <v>#REF!</v>
      </c>
      <c r="H40" t="str">
        <f>VLOOKUP($J40,'mapping-Y26'!$F:$L,6,0)</f>
        <v>10P-55gsm</v>
      </c>
      <c r="I40">
        <f>VLOOKUP($J40,'mapping-Y26'!$F:$L,5,0)</f>
        <v>14017871</v>
      </c>
      <c r="J40" t="s">
        <v>551</v>
      </c>
      <c r="K40" t="str">
        <f>VLOOKUP($J40,'mapping-Y26'!$F:$L,4,0)</f>
        <v>D267040舒洁湿厕纸旅行装10包装</v>
      </c>
      <c r="L40" t="e">
        <f>VLOOKUP($J40,'mapping-Y26'!#REF!,4,0)</f>
        <v>#REF!</v>
      </c>
      <c r="M40" t="str">
        <f>VLOOKUP($J40,'mapping-Y26'!$H:$L,2,0)</f>
        <v>D267040舒洁湿厕纸旅行装10包装</v>
      </c>
      <c r="N40" t="e">
        <f>VLOOKUP($J40,'mapping-Y26'!M:N,3,0)</f>
        <v>#N/A</v>
      </c>
      <c r="O40" s="2" t="e">
        <f>VLOOKUP($J40,'mapping-Y26'!$M:$N,5,0)</f>
        <v>#N/A</v>
      </c>
      <c r="P40" s="2" t="e">
        <f>VLOOKUP($J40,'mapping-Y26'!$M:$N,6,0)</f>
        <v>#N/A</v>
      </c>
      <c r="Q40" s="272" t="e">
        <f>VLOOKUP($J40,'mapping-Y26'!$M:$Q,7,0)</f>
        <v>#N/A</v>
      </c>
      <c r="R40" s="31" t="e">
        <f t="shared" si="11"/>
        <v>#N/A</v>
      </c>
      <c r="U40" s="2">
        <v>21.9</v>
      </c>
      <c r="X40" s="423">
        <v>1</v>
      </c>
      <c r="Z40" s="397">
        <f t="shared" si="1"/>
        <v>21.9</v>
      </c>
      <c r="AA40" s="3">
        <v>0.18000000000000005</v>
      </c>
      <c r="AB40" s="161">
        <v>0</v>
      </c>
      <c r="AC40" s="161">
        <f t="shared" si="2"/>
        <v>15.892035398230089</v>
      </c>
      <c r="AG40" s="3" t="e">
        <f t="shared" si="14"/>
        <v>#N/A</v>
      </c>
      <c r="AJ40" s="66" t="e">
        <f t="shared" si="15"/>
        <v>#N/A</v>
      </c>
      <c r="AK40" s="31" t="e">
        <f t="shared" si="16"/>
        <v>#N/A</v>
      </c>
      <c r="AL40" s="66" t="e">
        <f>VLOOKUP($J40,#REF!,12,0)</f>
        <v>#REF!</v>
      </c>
      <c r="AM40" s="68">
        <v>2.7E-2</v>
      </c>
      <c r="AN40" s="31" t="e">
        <f t="shared" si="17"/>
        <v>#N/A</v>
      </c>
      <c r="AO40" s="3" t="e">
        <f t="shared" si="7"/>
        <v>#N/A</v>
      </c>
      <c r="AQ40" s="157" t="e">
        <f t="shared" si="18"/>
        <v>#N/A</v>
      </c>
      <c r="AR40" s="157" t="e">
        <f t="shared" si="19"/>
        <v>#N/A</v>
      </c>
      <c r="AS40" s="31" t="e">
        <f t="shared" si="20"/>
        <v>#N/A</v>
      </c>
    </row>
    <row r="41" spans="1:45">
      <c r="A41" t="str">
        <f t="shared" si="0"/>
        <v>Hema2156-10</v>
      </c>
      <c r="D41" s="2" t="s">
        <v>843</v>
      </c>
      <c r="E41" s="2"/>
      <c r="F41" s="2" t="s">
        <v>840</v>
      </c>
      <c r="G41" t="e">
        <f>VLOOKUP($J41,'mapping-Y26'!#REF!,2,0)</f>
        <v>#REF!</v>
      </c>
      <c r="I41">
        <f>VLOOKUP($J41,'mapping-Y26'!$F:$L,5,0)</f>
        <v>14016307</v>
      </c>
      <c r="J41" t="s">
        <v>143</v>
      </c>
      <c r="K41" t="str">
        <f>VLOOKUP($J41,'mapping-Y26'!$F:$L,4,0)</f>
        <v>215610舒洁®北海道轻牛乳系列乳霜纸面巾100抽3包装</v>
      </c>
      <c r="L41" t="e">
        <f>VLOOKUP($J41,'mapping-Y26'!#REF!,4,0)</f>
        <v>#REF!</v>
      </c>
      <c r="M41" t="str">
        <f>VLOOKUP($J41,'mapping-Y26'!$H:$L,2,0)</f>
        <v>215610舒洁®北海道轻牛乳系列乳霜纸面巾100抽3包装</v>
      </c>
      <c r="N41" t="e">
        <f>VLOOKUP($J41,'mapping-Y26'!M:N,3,0)</f>
        <v>#N/A</v>
      </c>
      <c r="O41" s="2" t="e">
        <f>VLOOKUP($J41,'mapping-Y26'!$M:$N,5,0)</f>
        <v>#N/A</v>
      </c>
      <c r="P41" s="2" t="e">
        <f>VLOOKUP($J41,'mapping-Y26'!$M:$N,6,0)</f>
        <v>#N/A</v>
      </c>
      <c r="Q41" s="272" t="e">
        <f>VLOOKUP($J41,'mapping-Y26'!$M:$Q,7,0)</f>
        <v>#N/A</v>
      </c>
      <c r="R41" s="31" t="e">
        <f t="shared" si="11"/>
        <v>#N/A</v>
      </c>
      <c r="U41" s="2">
        <v>29.9</v>
      </c>
      <c r="X41" s="423">
        <v>1</v>
      </c>
      <c r="Z41" s="397">
        <f t="shared" si="1"/>
        <v>29.9</v>
      </c>
      <c r="AA41" s="3">
        <v>0.14899999999999991</v>
      </c>
      <c r="AB41" s="161">
        <v>0</v>
      </c>
      <c r="AC41" s="161">
        <f t="shared" si="2"/>
        <v>22.517610619469028</v>
      </c>
      <c r="AG41" s="3" t="e">
        <f t="shared" si="14"/>
        <v>#N/A</v>
      </c>
      <c r="AJ41" s="66" t="e">
        <f t="shared" si="15"/>
        <v>#N/A</v>
      </c>
      <c r="AK41" s="31" t="e">
        <f t="shared" si="16"/>
        <v>#N/A</v>
      </c>
      <c r="AL41" s="66" t="e">
        <f>VLOOKUP($J41,#REF!,12,0)</f>
        <v>#REF!</v>
      </c>
      <c r="AM41" s="68">
        <v>2.7E-2</v>
      </c>
      <c r="AN41" s="31" t="e">
        <f t="shared" si="17"/>
        <v>#N/A</v>
      </c>
      <c r="AO41" s="3" t="e">
        <f t="shared" si="7"/>
        <v>#N/A</v>
      </c>
      <c r="AQ41" s="157" t="e">
        <f t="shared" si="18"/>
        <v>#N/A</v>
      </c>
      <c r="AR41" s="157" t="e">
        <f t="shared" si="19"/>
        <v>#N/A</v>
      </c>
      <c r="AS41" s="31" t="e">
        <f t="shared" si="20"/>
        <v>#N/A</v>
      </c>
    </row>
    <row r="42" spans="1:45" s="47" customFormat="1">
      <c r="D42" s="5" t="s">
        <v>843</v>
      </c>
      <c r="E42" s="5"/>
      <c r="F42" s="5" t="s">
        <v>840</v>
      </c>
      <c r="G42" s="47" t="e">
        <f>VLOOKUP($J42,'mapping-Y26'!#REF!,2,0)</f>
        <v>#REF!</v>
      </c>
      <c r="H42" s="47" t="str">
        <f>VLOOKUP($J42,'mapping-Y26'!$F:$L,6,0)</f>
        <v>80P-小熊</v>
      </c>
      <c r="I42" s="47">
        <f>VLOOKUP($J42,'mapping-Y26'!$F:$L,5,0)</f>
        <v>14018689</v>
      </c>
      <c r="J42" s="47" t="s">
        <v>877</v>
      </c>
      <c r="M42" s="47" t="str">
        <f>VLOOKUP($J42,'mapping-Y26'!$H:$L,2,0)</f>
        <v>2657-00舒洁小熊湿厕纸80片</v>
      </c>
      <c r="O42" s="5" t="e">
        <f>VLOOKUP($J42,'mapping-Y26'!$M:$N,5,0)</f>
        <v>#N/A</v>
      </c>
      <c r="P42" s="5" t="e">
        <f>VLOOKUP($J42,'mapping-Y26'!$M:$N,6,0)</f>
        <v>#N/A</v>
      </c>
      <c r="Q42" s="426" t="e">
        <f>VLOOKUP($J42,'mapping-Y26'!$M:$Q,7,0)</f>
        <v>#N/A</v>
      </c>
      <c r="R42" s="427" t="e">
        <f t="shared" ref="R42" si="21">Q42/O42</f>
        <v>#N/A</v>
      </c>
      <c r="T42" s="426">
        <f>9.9*0.9</f>
        <v>8.91</v>
      </c>
      <c r="U42" s="426">
        <f>9.9-1</f>
        <v>8.9</v>
      </c>
      <c r="V42" s="426">
        <f>9.9*0.85</f>
        <v>8.4150000000000009</v>
      </c>
      <c r="W42" s="435">
        <v>0.35</v>
      </c>
      <c r="X42" s="154">
        <v>0.3</v>
      </c>
      <c r="Y42" s="435">
        <v>0.35</v>
      </c>
      <c r="Z42" s="428">
        <f>T42*W42+U42*X42+V42*Y42</f>
        <v>8.7337500000000006</v>
      </c>
      <c r="AA42" s="429">
        <v>0.27</v>
      </c>
      <c r="AB42" s="425">
        <v>0</v>
      </c>
      <c r="AC42" s="425">
        <f>Z42*(1-AA42-AB42)/1.13</f>
        <v>5.6421570796460179</v>
      </c>
      <c r="AD42" s="425">
        <f>9.9*(1-AA42)/1.13</f>
        <v>6.3955752212389392</v>
      </c>
      <c r="AG42" s="429" t="e">
        <f t="shared" si="14"/>
        <v>#N/A</v>
      </c>
      <c r="AH42" s="435">
        <v>0.15</v>
      </c>
      <c r="AI42" s="436">
        <f>(AD42-AC42)/AD42</f>
        <v>0.11780303030303044</v>
      </c>
      <c r="AJ42" s="430" t="e">
        <f>(AH42+AI42)*AD42/R42+AG42</f>
        <v>#N/A</v>
      </c>
      <c r="AK42" s="427" t="e">
        <f t="shared" si="16"/>
        <v>#N/A</v>
      </c>
      <c r="AL42" s="430" t="e">
        <f>VLOOKUP($J42,#REF!,12,0)</f>
        <v>#REF!</v>
      </c>
      <c r="AM42" s="70">
        <v>2.7E-2</v>
      </c>
      <c r="AN42" s="427" t="e">
        <f t="shared" si="17"/>
        <v>#N/A</v>
      </c>
      <c r="AO42" s="429" t="e">
        <f>AN42/AK42</f>
        <v>#N/A</v>
      </c>
      <c r="AP42" s="431">
        <f>20000/24</f>
        <v>833.33333333333337</v>
      </c>
      <c r="AQ42" s="431" t="e">
        <f t="shared" si="18"/>
        <v>#N/A</v>
      </c>
      <c r="AR42" s="431" t="e">
        <f t="shared" si="19"/>
        <v>#N/A</v>
      </c>
      <c r="AS42" s="427" t="e">
        <f t="shared" si="20"/>
        <v>#N/A</v>
      </c>
    </row>
    <row r="43" spans="1:45">
      <c r="A43" t="str">
        <f t="shared" si="0"/>
        <v>Ole2694-50</v>
      </c>
      <c r="D43" s="2" t="s">
        <v>843</v>
      </c>
      <c r="E43" s="2"/>
      <c r="F43" s="2" t="s">
        <v>841</v>
      </c>
      <c r="G43" t="e">
        <f>VLOOKUP($J43,'mapping-Y26'!#REF!,2,0)</f>
        <v>#REF!</v>
      </c>
      <c r="H43" t="str">
        <f>VLOOKUP($J43,'mapping-Y26'!$F:$L,6,0)</f>
        <v>40P-55gsm</v>
      </c>
      <c r="I43">
        <f>VLOOKUP($J43,'mapping-Y26'!$F:$L,5,0)</f>
        <v>14017864</v>
      </c>
      <c r="J43" t="s">
        <v>559</v>
      </c>
      <c r="K43" t="str">
        <f>VLOOKUP($J43,'mapping-Y26'!$F:$L,4,0)</f>
        <v xml:space="preserve">D269450舒洁湿厕纸家庭装40抽 </v>
      </c>
      <c r="L43" t="e">
        <f>VLOOKUP($J43,'mapping-Y26'!#REF!,4,0)</f>
        <v>#REF!</v>
      </c>
      <c r="M43" t="str">
        <f>VLOOKUP($J43,'mapping-Y26'!$H:$L,2,0)</f>
        <v xml:space="preserve">D269450舒洁湿厕纸家庭装40抽 </v>
      </c>
      <c r="N43" t="e">
        <f>VLOOKUP($J43,'mapping-Y26'!M:N,3,0)</f>
        <v>#N/A</v>
      </c>
      <c r="O43" s="2" t="e">
        <f>VLOOKUP($J43,'mapping-Y26'!$M:$N,5,0)</f>
        <v>#N/A</v>
      </c>
      <c r="P43" s="2" t="e">
        <f>VLOOKUP($J43,'mapping-Y26'!$M:$N,6,0)</f>
        <v>#N/A</v>
      </c>
      <c r="Q43" s="272" t="e">
        <f>VLOOKUP($J43,'mapping-Y26'!$M:$Q,7,0)</f>
        <v>#N/A</v>
      </c>
      <c r="R43" s="31" t="e">
        <f t="shared" si="11"/>
        <v>#N/A</v>
      </c>
      <c r="Z43" s="397">
        <f t="shared" si="1"/>
        <v>0</v>
      </c>
      <c r="AB43" s="161">
        <v>0</v>
      </c>
      <c r="AC43" s="161">
        <f t="shared" ref="AC43:AC102" si="22">Z43*(1-AA43-AB43)/1.13</f>
        <v>0</v>
      </c>
      <c r="AG43" s="3" t="e">
        <f t="shared" ref="AG43:AG50" si="23">(R43-AF43)/R43</f>
        <v>#N/A</v>
      </c>
      <c r="AJ43" s="66" t="e">
        <f t="shared" si="15"/>
        <v>#N/A</v>
      </c>
      <c r="AK43" s="31" t="e">
        <f t="shared" si="16"/>
        <v>#N/A</v>
      </c>
      <c r="AL43" s="66" t="e">
        <f>VLOOKUP($J43,#REF!,12,0)</f>
        <v>#REF!</v>
      </c>
      <c r="AM43" s="68">
        <v>2.7E-2</v>
      </c>
      <c r="AN43" s="31" t="e">
        <f t="shared" si="17"/>
        <v>#N/A</v>
      </c>
      <c r="AO43" s="3" t="e">
        <f t="shared" si="7"/>
        <v>#N/A</v>
      </c>
      <c r="AQ43" s="157" t="e">
        <f t="shared" si="18"/>
        <v>#N/A</v>
      </c>
      <c r="AR43" s="157" t="e">
        <f t="shared" si="19"/>
        <v>#N/A</v>
      </c>
      <c r="AS43" s="31" t="e">
        <f t="shared" si="20"/>
        <v>#N/A</v>
      </c>
    </row>
    <row r="44" spans="1:45">
      <c r="A44" t="str">
        <f t="shared" si="0"/>
        <v>Ole2661-10</v>
      </c>
      <c r="D44" s="2" t="s">
        <v>843</v>
      </c>
      <c r="E44" s="2"/>
      <c r="F44" s="2" t="s">
        <v>841</v>
      </c>
      <c r="G44" t="e">
        <f>VLOOKUP($J44,'mapping-Y26'!#REF!,2,0)</f>
        <v>#REF!</v>
      </c>
      <c r="H44" t="str">
        <f>VLOOKUP($J44,'mapping-Y26'!$F:$L,6,0)</f>
        <v>80P-55gsm</v>
      </c>
      <c r="I44">
        <f>VLOOKUP($J44,'mapping-Y26'!$F:$L,5,0)</f>
        <v>14017866</v>
      </c>
      <c r="J44" t="s">
        <v>571</v>
      </c>
      <c r="K44" t="str">
        <f>VLOOKUP($J44,'mapping-Y26'!$F:$L,4,0)</f>
        <v xml:space="preserve">266110舒洁湿厕纸80片x3包 </v>
      </c>
      <c r="L44" t="e">
        <f>VLOOKUP($J44,'mapping-Y26'!#REF!,4,0)</f>
        <v>#REF!</v>
      </c>
      <c r="M44" t="str">
        <f>VLOOKUP($J44,'mapping-Y26'!$H:$L,2,0)</f>
        <v xml:space="preserve">266110舒洁湿厕纸80片x3包 </v>
      </c>
      <c r="N44" t="e">
        <f>VLOOKUP($J44,'mapping-Y26'!M:N,3,0)</f>
        <v>#N/A</v>
      </c>
      <c r="O44" s="2" t="e">
        <f>VLOOKUP($J44,'mapping-Y26'!$M:$N,5,0)</f>
        <v>#N/A</v>
      </c>
      <c r="P44" s="2" t="e">
        <f>VLOOKUP($J44,'mapping-Y26'!$M:$N,6,0)</f>
        <v>#N/A</v>
      </c>
      <c r="Q44" s="272" t="e">
        <f>VLOOKUP($J44,'mapping-Y26'!$M:$Q,7,0)</f>
        <v>#N/A</v>
      </c>
      <c r="R44" s="31" t="e">
        <f t="shared" si="11"/>
        <v>#N/A</v>
      </c>
      <c r="Z44" s="397">
        <f t="shared" si="1"/>
        <v>0</v>
      </c>
      <c r="AB44" s="161">
        <v>0</v>
      </c>
      <c r="AC44" s="161">
        <f t="shared" si="22"/>
        <v>0</v>
      </c>
      <c r="AG44" s="3" t="e">
        <f t="shared" si="23"/>
        <v>#N/A</v>
      </c>
      <c r="AJ44" s="66" t="e">
        <f t="shared" si="15"/>
        <v>#N/A</v>
      </c>
      <c r="AK44" s="31" t="e">
        <f t="shared" si="16"/>
        <v>#N/A</v>
      </c>
      <c r="AL44" s="66" t="e">
        <f>VLOOKUP($J44,#REF!,12,0)</f>
        <v>#REF!</v>
      </c>
      <c r="AM44" s="68">
        <v>2.7E-2</v>
      </c>
      <c r="AN44" s="31" t="e">
        <f t="shared" si="17"/>
        <v>#N/A</v>
      </c>
      <c r="AO44" s="3" t="e">
        <f t="shared" si="7"/>
        <v>#N/A</v>
      </c>
      <c r="AQ44" s="157" t="e">
        <f t="shared" si="18"/>
        <v>#N/A</v>
      </c>
      <c r="AR44" s="157" t="e">
        <f t="shared" si="19"/>
        <v>#N/A</v>
      </c>
      <c r="AS44" s="31" t="e">
        <f t="shared" si="20"/>
        <v>#N/A</v>
      </c>
    </row>
    <row r="45" spans="1:45">
      <c r="A45" t="str">
        <f t="shared" si="0"/>
        <v>Ole2655-10</v>
      </c>
      <c r="D45" s="2" t="s">
        <v>843</v>
      </c>
      <c r="E45" s="2"/>
      <c r="F45" s="2" t="s">
        <v>841</v>
      </c>
      <c r="G45" t="e">
        <f>VLOOKUP($J45,'mapping-Y26'!#REF!,2,0)</f>
        <v>#REF!</v>
      </c>
      <c r="H45" t="str">
        <f>VLOOKUP($J45,'mapping-Y26'!$F:$L,6,0)</f>
        <v>7P-55gsm</v>
      </c>
      <c r="I45">
        <f>VLOOKUP($J45,'mapping-Y26'!$F:$L,5,0)</f>
        <v>14017863</v>
      </c>
      <c r="J45" t="s">
        <v>681</v>
      </c>
      <c r="K45" t="str">
        <f>VLOOKUP($J45,'mapping-Y26'!$F:$L,4,0)</f>
        <v>265510舒洁湿厕纸7抽6包装</v>
      </c>
      <c r="L45" t="e">
        <f>VLOOKUP($J45,'mapping-Y26'!#REF!,4,0)</f>
        <v>#REF!</v>
      </c>
      <c r="M45" t="str">
        <f>VLOOKUP($J45,'mapping-Y26'!$H:$L,2,0)</f>
        <v>265510舒洁湿厕纸7抽6包装</v>
      </c>
      <c r="N45" t="e">
        <f>VLOOKUP($J45,'mapping-Y26'!M:N,3,0)</f>
        <v>#N/A</v>
      </c>
      <c r="O45" s="2" t="e">
        <f>VLOOKUP($J45,'mapping-Y26'!$M:$N,5,0)</f>
        <v>#N/A</v>
      </c>
      <c r="P45" s="2" t="e">
        <f>VLOOKUP($J45,'mapping-Y26'!$M:$N,6,0)</f>
        <v>#N/A</v>
      </c>
      <c r="Q45" s="272" t="e">
        <f>VLOOKUP($J45,'mapping-Y26'!$M:$Q,7,0)</f>
        <v>#N/A</v>
      </c>
      <c r="R45" s="31" t="e">
        <f t="shared" si="11"/>
        <v>#N/A</v>
      </c>
      <c r="Z45" s="397">
        <f t="shared" si="1"/>
        <v>0</v>
      </c>
      <c r="AB45" s="161">
        <v>0</v>
      </c>
      <c r="AC45" s="161">
        <f t="shared" si="22"/>
        <v>0</v>
      </c>
      <c r="AG45" s="3" t="e">
        <f t="shared" si="23"/>
        <v>#N/A</v>
      </c>
      <c r="AJ45" s="66" t="e">
        <f t="shared" si="15"/>
        <v>#N/A</v>
      </c>
      <c r="AK45" s="31" t="e">
        <f t="shared" si="16"/>
        <v>#N/A</v>
      </c>
      <c r="AL45" s="66" t="e">
        <f>VLOOKUP($J45,#REF!,12,0)</f>
        <v>#REF!</v>
      </c>
      <c r="AM45" s="68">
        <v>2.7E-2</v>
      </c>
      <c r="AN45" s="31" t="e">
        <f t="shared" si="17"/>
        <v>#N/A</v>
      </c>
      <c r="AO45" s="3" t="e">
        <f t="shared" si="7"/>
        <v>#N/A</v>
      </c>
      <c r="AQ45" s="157" t="e">
        <f t="shared" si="18"/>
        <v>#N/A</v>
      </c>
      <c r="AR45" s="157" t="e">
        <f t="shared" si="19"/>
        <v>#N/A</v>
      </c>
      <c r="AS45" s="31" t="e">
        <f t="shared" si="20"/>
        <v>#N/A</v>
      </c>
    </row>
    <row r="46" spans="1:45">
      <c r="A46" t="str">
        <f t="shared" si="0"/>
        <v>Ole2155-03</v>
      </c>
      <c r="D46" s="2" t="s">
        <v>843</v>
      </c>
      <c r="E46" s="2"/>
      <c r="F46" s="2" t="s">
        <v>841</v>
      </c>
      <c r="G46" t="e">
        <f>VLOOKUP($J46,'mapping-Y26'!#REF!,2,0)</f>
        <v>#REF!</v>
      </c>
      <c r="I46">
        <f>VLOOKUP($J46,'mapping-Y26'!$F:$L,5,0)</f>
        <v>14016306</v>
      </c>
      <c r="J46" t="s">
        <v>136</v>
      </c>
      <c r="K46" t="str">
        <f>VLOOKUP($J46,'mapping-Y26'!$F:$L,4,0)</f>
        <v>215503舒洁®北海道轻牛乳系列乳霜纸面巾40抽3包装</v>
      </c>
      <c r="L46" t="e">
        <f>VLOOKUP($J46,'mapping-Y26'!#REF!,4,0)</f>
        <v>#REF!</v>
      </c>
      <c r="M46" t="str">
        <f>VLOOKUP($J46,'mapping-Y26'!$H:$L,2,0)</f>
        <v>215503舒洁®北海道轻牛乳系列乳霜纸面巾40抽3包装</v>
      </c>
      <c r="N46" t="e">
        <f>VLOOKUP($J46,'mapping-Y26'!M:N,3,0)</f>
        <v>#N/A</v>
      </c>
      <c r="O46" s="2" t="e">
        <f>VLOOKUP($J46,'mapping-Y26'!$M:$N,5,0)</f>
        <v>#N/A</v>
      </c>
      <c r="P46" s="2" t="e">
        <f>VLOOKUP($J46,'mapping-Y26'!$M:$N,6,0)</f>
        <v>#N/A</v>
      </c>
      <c r="Q46" s="272" t="e">
        <f>VLOOKUP($J46,'mapping-Y26'!$M:$Q,7,0)</f>
        <v>#N/A</v>
      </c>
      <c r="R46" s="31" t="e">
        <f t="shared" si="11"/>
        <v>#N/A</v>
      </c>
      <c r="Z46" s="397">
        <f t="shared" si="1"/>
        <v>0</v>
      </c>
      <c r="AB46" s="161">
        <v>0</v>
      </c>
      <c r="AC46" s="161">
        <f t="shared" si="22"/>
        <v>0</v>
      </c>
      <c r="AG46" s="3" t="e">
        <f t="shared" si="23"/>
        <v>#N/A</v>
      </c>
      <c r="AJ46" s="66" t="e">
        <f t="shared" si="15"/>
        <v>#N/A</v>
      </c>
      <c r="AK46" s="31" t="e">
        <f t="shared" si="16"/>
        <v>#N/A</v>
      </c>
      <c r="AL46" s="66" t="e">
        <f>VLOOKUP($J46,#REF!,12,0)</f>
        <v>#REF!</v>
      </c>
      <c r="AM46" s="68">
        <v>2.7E-2</v>
      </c>
      <c r="AN46" s="31" t="e">
        <f t="shared" si="17"/>
        <v>#N/A</v>
      </c>
      <c r="AO46" s="3" t="e">
        <f t="shared" si="7"/>
        <v>#N/A</v>
      </c>
      <c r="AQ46" s="157" t="e">
        <f t="shared" si="18"/>
        <v>#N/A</v>
      </c>
      <c r="AR46" s="157" t="e">
        <f t="shared" si="19"/>
        <v>#N/A</v>
      </c>
      <c r="AS46" s="31" t="e">
        <f t="shared" si="20"/>
        <v>#N/A</v>
      </c>
    </row>
    <row r="47" spans="1:45">
      <c r="A47" t="str">
        <f t="shared" si="0"/>
        <v>Ole2156-10</v>
      </c>
      <c r="D47" s="2" t="s">
        <v>843</v>
      </c>
      <c r="E47" s="2"/>
      <c r="F47" s="2" t="s">
        <v>841</v>
      </c>
      <c r="G47" t="e">
        <f>VLOOKUP($J47,'mapping-Y26'!#REF!,2,0)</f>
        <v>#REF!</v>
      </c>
      <c r="I47">
        <f>VLOOKUP($J47,'mapping-Y26'!$F:$L,5,0)</f>
        <v>14016307</v>
      </c>
      <c r="J47" t="s">
        <v>143</v>
      </c>
      <c r="K47" t="str">
        <f>VLOOKUP($J47,'mapping-Y26'!$F:$L,4,0)</f>
        <v>215610舒洁®北海道轻牛乳系列乳霜纸面巾100抽3包装</v>
      </c>
      <c r="L47" t="e">
        <f>VLOOKUP($J47,'mapping-Y26'!#REF!,4,0)</f>
        <v>#REF!</v>
      </c>
      <c r="M47" t="str">
        <f>VLOOKUP($J47,'mapping-Y26'!$H:$L,2,0)</f>
        <v>215610舒洁®北海道轻牛乳系列乳霜纸面巾100抽3包装</v>
      </c>
      <c r="N47" t="e">
        <f>VLOOKUP($J47,'mapping-Y26'!M:N,3,0)</f>
        <v>#N/A</v>
      </c>
      <c r="O47" s="2" t="e">
        <f>VLOOKUP($J47,'mapping-Y26'!$M:$N,5,0)</f>
        <v>#N/A</v>
      </c>
      <c r="P47" s="2" t="e">
        <f>VLOOKUP($J47,'mapping-Y26'!$M:$N,6,0)</f>
        <v>#N/A</v>
      </c>
      <c r="Q47" s="272" t="e">
        <f>VLOOKUP($J47,'mapping-Y26'!$M:$Q,7,0)</f>
        <v>#N/A</v>
      </c>
      <c r="R47" s="31" t="e">
        <f t="shared" si="11"/>
        <v>#N/A</v>
      </c>
      <c r="Z47" s="397">
        <f t="shared" si="1"/>
        <v>0</v>
      </c>
      <c r="AB47" s="161">
        <v>0</v>
      </c>
      <c r="AC47" s="161">
        <f t="shared" si="22"/>
        <v>0</v>
      </c>
      <c r="AG47" s="3" t="e">
        <f t="shared" si="23"/>
        <v>#N/A</v>
      </c>
      <c r="AJ47" s="66" t="e">
        <f t="shared" si="15"/>
        <v>#N/A</v>
      </c>
      <c r="AK47" s="31" t="e">
        <f t="shared" si="16"/>
        <v>#N/A</v>
      </c>
      <c r="AL47" s="66" t="e">
        <f>VLOOKUP($J47,#REF!,12,0)</f>
        <v>#REF!</v>
      </c>
      <c r="AM47" s="68">
        <v>2.7E-2</v>
      </c>
      <c r="AN47" s="31" t="e">
        <f t="shared" si="17"/>
        <v>#N/A</v>
      </c>
      <c r="AO47" s="3" t="e">
        <f t="shared" si="7"/>
        <v>#N/A</v>
      </c>
      <c r="AQ47" s="157" t="e">
        <f t="shared" si="18"/>
        <v>#N/A</v>
      </c>
      <c r="AR47" s="157" t="e">
        <f t="shared" si="19"/>
        <v>#N/A</v>
      </c>
      <c r="AS47" s="31" t="e">
        <f t="shared" si="20"/>
        <v>#N/A</v>
      </c>
    </row>
    <row r="48" spans="1:45">
      <c r="A48" t="str">
        <f t="shared" si="0"/>
        <v>Ole2103-90</v>
      </c>
      <c r="D48" s="2" t="s">
        <v>843</v>
      </c>
      <c r="E48" s="2"/>
      <c r="F48" s="2" t="s">
        <v>841</v>
      </c>
      <c r="G48" t="e">
        <f>VLOOKUP($J48,'mapping-Y26'!#REF!,2,0)</f>
        <v>#REF!</v>
      </c>
      <c r="I48">
        <f>VLOOKUP($J48,'mapping-Y26'!$F:$L,5,0)</f>
        <v>14016868</v>
      </c>
      <c r="J48" t="s">
        <v>172</v>
      </c>
      <c r="K48" t="str">
        <f>VLOOKUP($J48,'mapping-Y26'!$F:$L,4,0)</f>
        <v>210390舒洁小熊印花抽纸3层80抽4包FSC mix70%</v>
      </c>
      <c r="L48" t="e">
        <f>VLOOKUP($J48,'mapping-Y26'!#REF!,4,0)</f>
        <v>#REF!</v>
      </c>
      <c r="M48" t="str">
        <f>VLOOKUP($J48,'mapping-Y26'!$H:$L,2,0)</f>
        <v>210390舒洁小熊印花抽纸3层80抽4包FSC mix70%</v>
      </c>
      <c r="N48" t="e">
        <f>VLOOKUP($J48,'mapping-Y26'!M:N,3,0)</f>
        <v>#N/A</v>
      </c>
      <c r="O48" s="2" t="e">
        <f>VLOOKUP($J48,'mapping-Y26'!$M:$N,5,0)</f>
        <v>#N/A</v>
      </c>
      <c r="P48" s="2" t="e">
        <f>VLOOKUP($J48,'mapping-Y26'!$M:$N,6,0)</f>
        <v>#N/A</v>
      </c>
      <c r="Q48" s="272" t="e">
        <f>VLOOKUP($J48,'mapping-Y26'!$M:$Q,7,0)</f>
        <v>#N/A</v>
      </c>
      <c r="R48" s="31" t="e">
        <f t="shared" si="11"/>
        <v>#N/A</v>
      </c>
      <c r="T48" s="2">
        <v>16.899999999999999</v>
      </c>
      <c r="U48" s="2">
        <v>14.9</v>
      </c>
      <c r="V48" s="2">
        <v>13.9</v>
      </c>
      <c r="W48" s="423">
        <v>0.15</v>
      </c>
      <c r="X48" s="423">
        <v>0.6</v>
      </c>
      <c r="Y48" s="423">
        <v>0.25</v>
      </c>
      <c r="Z48" s="397">
        <f>T48*W48+U48*X48+V48*Y48</f>
        <v>14.95</v>
      </c>
      <c r="AA48" s="3">
        <v>0.25</v>
      </c>
      <c r="AB48" s="161">
        <v>0</v>
      </c>
      <c r="AC48" s="161">
        <f>Z48*(1-AA48-AB48)/1.13</f>
        <v>9.9225663716814161</v>
      </c>
      <c r="AF48" s="161">
        <v>8.716941242625369</v>
      </c>
      <c r="AG48" s="3" t="e">
        <f t="shared" si="23"/>
        <v>#N/A</v>
      </c>
      <c r="AH48" s="395"/>
      <c r="AI48" s="423">
        <f>0.8741295625/1.13/AF48</f>
        <v>8.8742824229510547E-2</v>
      </c>
      <c r="AJ48" s="66" t="e">
        <f>(AH48+AI48)*AF48/R48+AG48</f>
        <v>#N/A</v>
      </c>
      <c r="AK48" s="31" t="e">
        <f>R48*(1-AJ48)</f>
        <v>#N/A</v>
      </c>
      <c r="AL48" s="66" t="e">
        <f>VLOOKUP($J48,#REF!,12,0)</f>
        <v>#REF!</v>
      </c>
      <c r="AM48" s="68">
        <v>2.7E-2</v>
      </c>
      <c r="AN48" s="31" t="e">
        <f>AK48-R48*(AL48+AM48)</f>
        <v>#N/A</v>
      </c>
      <c r="AO48" s="3" t="e">
        <f t="shared" si="7"/>
        <v>#N/A</v>
      </c>
      <c r="AQ48" s="157" t="e">
        <f t="shared" si="18"/>
        <v>#N/A</v>
      </c>
      <c r="AR48" s="157" t="e">
        <f t="shared" si="19"/>
        <v>#N/A</v>
      </c>
      <c r="AS48" s="31" t="e">
        <f t="shared" si="20"/>
        <v>#N/A</v>
      </c>
    </row>
    <row r="49" spans="1:45">
      <c r="A49" t="str">
        <f t="shared" si="0"/>
        <v>Ole2701-90</v>
      </c>
      <c r="D49" s="2" t="s">
        <v>843</v>
      </c>
      <c r="E49" s="2"/>
      <c r="F49" s="2" t="s">
        <v>841</v>
      </c>
      <c r="G49" t="e">
        <f>VLOOKUP($J49,'mapping-Y26'!#REF!,2,0)</f>
        <v>#REF!</v>
      </c>
      <c r="I49">
        <f>VLOOKUP($J49,'mapping-Y26'!$F:$L,5,0)</f>
        <v>14016871</v>
      </c>
      <c r="J49" t="s">
        <v>227</v>
      </c>
      <c r="K49" t="str">
        <f>VLOOKUP($J49,'mapping-Y26'!$F:$L,4,0)</f>
        <v>270190舒洁小熊印花手帕纸3层10包FSC mix70%</v>
      </c>
      <c r="L49" t="e">
        <f>VLOOKUP($J49,'mapping-Y26'!#REF!,4,0)</f>
        <v>#REF!</v>
      </c>
      <c r="M49" t="str">
        <f>VLOOKUP($J49,'mapping-Y26'!$H:$L,2,0)</f>
        <v>270190舒洁小熊印花手帕纸3层10包FSC mix70%</v>
      </c>
      <c r="N49" t="e">
        <f>VLOOKUP($J49,'mapping-Y26'!M:N,3,0)</f>
        <v>#N/A</v>
      </c>
      <c r="O49" s="2" t="e">
        <f>VLOOKUP($J49,'mapping-Y26'!$M:$N,5,0)</f>
        <v>#N/A</v>
      </c>
      <c r="P49" s="2" t="e">
        <f>VLOOKUP($J49,'mapping-Y26'!$M:$N,6,0)</f>
        <v>#N/A</v>
      </c>
      <c r="Q49" s="272" t="e">
        <f>VLOOKUP($J49,'mapping-Y26'!$M:$Q,7,0)</f>
        <v>#N/A</v>
      </c>
      <c r="R49" s="31" t="e">
        <f t="shared" si="11"/>
        <v>#N/A</v>
      </c>
      <c r="Z49" s="397">
        <f t="shared" si="1"/>
        <v>0</v>
      </c>
      <c r="AB49" s="161">
        <v>0</v>
      </c>
      <c r="AC49" s="161">
        <f t="shared" si="22"/>
        <v>0</v>
      </c>
      <c r="AG49" s="3" t="e">
        <f t="shared" si="23"/>
        <v>#N/A</v>
      </c>
      <c r="AJ49" s="66" t="e">
        <f t="shared" si="15"/>
        <v>#N/A</v>
      </c>
      <c r="AK49" s="31" t="e">
        <f t="shared" si="16"/>
        <v>#N/A</v>
      </c>
      <c r="AL49" s="66" t="e">
        <f>VLOOKUP($J49,#REF!,12,0)</f>
        <v>#REF!</v>
      </c>
      <c r="AM49" s="68">
        <v>2.7E-2</v>
      </c>
      <c r="AN49" s="31" t="e">
        <f t="shared" si="17"/>
        <v>#N/A</v>
      </c>
      <c r="AO49" s="3" t="e">
        <f t="shared" si="7"/>
        <v>#N/A</v>
      </c>
      <c r="AQ49" s="157" t="e">
        <f t="shared" si="18"/>
        <v>#N/A</v>
      </c>
      <c r="AR49" s="157" t="e">
        <f t="shared" si="19"/>
        <v>#N/A</v>
      </c>
      <c r="AS49" s="31" t="e">
        <f t="shared" si="20"/>
        <v>#N/A</v>
      </c>
    </row>
    <row r="50" spans="1:45">
      <c r="A50" t="str">
        <f t="shared" si="0"/>
        <v>Ole2291-60</v>
      </c>
      <c r="D50" s="2" t="s">
        <v>843</v>
      </c>
      <c r="E50" s="2"/>
      <c r="F50" s="2" t="s">
        <v>841</v>
      </c>
      <c r="G50" t="e">
        <f>VLOOKUP($J50,'mapping-Y26'!#REF!,2,0)</f>
        <v>#REF!</v>
      </c>
      <c r="I50">
        <f>VLOOKUP($J50,'mapping-Y26'!$F:$L,5,0)</f>
        <v>14014479</v>
      </c>
      <c r="J50" t="s">
        <v>219</v>
      </c>
      <c r="K50" t="str">
        <f>VLOOKUP($J50,'mapping-Y26'!$F:$L,4,0)</f>
        <v xml:space="preserve">229160舒洁绿茶洋甘菊印花清香卷纸10粒 </v>
      </c>
      <c r="L50" t="e">
        <f>VLOOKUP($J50,'mapping-Y26'!#REF!,4,0)</f>
        <v>#REF!</v>
      </c>
      <c r="M50" t="str">
        <f>VLOOKUP($J50,'mapping-Y26'!$H:$L,2,0)</f>
        <v xml:space="preserve">229160舒洁绿茶洋甘菊印花清香卷纸10粒 </v>
      </c>
      <c r="N50" t="e">
        <f>VLOOKUP($J50,'mapping-Y26'!M:N,3,0)</f>
        <v>#N/A</v>
      </c>
      <c r="O50" s="2" t="e">
        <f>VLOOKUP($J50,'mapping-Y26'!$M:$N,5,0)</f>
        <v>#N/A</v>
      </c>
      <c r="P50" s="2" t="e">
        <f>VLOOKUP($J50,'mapping-Y26'!$M:$N,6,0)</f>
        <v>#N/A</v>
      </c>
      <c r="Q50" s="272" t="e">
        <f>VLOOKUP($J50,'mapping-Y26'!$M:$Q,7,0)</f>
        <v>#N/A</v>
      </c>
      <c r="R50" s="31" t="e">
        <f t="shared" si="11"/>
        <v>#N/A</v>
      </c>
      <c r="Z50" s="397">
        <f t="shared" si="1"/>
        <v>0</v>
      </c>
      <c r="AB50" s="161">
        <v>0</v>
      </c>
      <c r="AC50" s="161">
        <f t="shared" si="22"/>
        <v>0</v>
      </c>
      <c r="AG50" s="3" t="e">
        <f t="shared" si="23"/>
        <v>#N/A</v>
      </c>
      <c r="AJ50" s="66" t="e">
        <f t="shared" si="15"/>
        <v>#N/A</v>
      </c>
      <c r="AK50" s="31" t="e">
        <f t="shared" si="16"/>
        <v>#N/A</v>
      </c>
      <c r="AL50" s="66" t="e">
        <f>VLOOKUP($J50,#REF!,12,0)</f>
        <v>#REF!</v>
      </c>
      <c r="AM50" s="68">
        <v>2.7E-2</v>
      </c>
      <c r="AN50" s="31" t="e">
        <f t="shared" si="17"/>
        <v>#N/A</v>
      </c>
      <c r="AO50" s="3" t="e">
        <f t="shared" si="7"/>
        <v>#N/A</v>
      </c>
      <c r="AQ50" s="157" t="e">
        <f t="shared" si="18"/>
        <v>#N/A</v>
      </c>
      <c r="AR50" s="157" t="e">
        <f t="shared" si="19"/>
        <v>#N/A</v>
      </c>
      <c r="AS50" s="31" t="e">
        <f t="shared" si="20"/>
        <v>#N/A</v>
      </c>
    </row>
    <row r="51" spans="1:45">
      <c r="A51" t="str">
        <f>F51&amp;J51</f>
        <v>711全家2694-50</v>
      </c>
      <c r="B51" t="str">
        <f>E51&amp;J51</f>
        <v>上海薪满翊2694-50</v>
      </c>
      <c r="C51" t="str">
        <f>E51&amp;F51</f>
        <v>上海薪满翊711全家</v>
      </c>
      <c r="D51" s="2" t="s">
        <v>901</v>
      </c>
      <c r="E51" s="2" t="s">
        <v>812</v>
      </c>
      <c r="F51" s="2" t="s">
        <v>921</v>
      </c>
      <c r="G51" t="e">
        <f>VLOOKUP($J51,'mapping-Y26'!#REF!,2,0)</f>
        <v>#REF!</v>
      </c>
      <c r="H51" t="str">
        <f>VLOOKUP($J51,'mapping-Y26'!$F:$L,6,0)</f>
        <v>40P-55gsm</v>
      </c>
      <c r="I51">
        <f>VLOOKUP($J51,'mapping-Y26'!$F:$L,5,0)</f>
        <v>14017864</v>
      </c>
      <c r="J51" t="s">
        <v>559</v>
      </c>
      <c r="K51" t="str">
        <f>VLOOKUP($J51,'mapping-Y26'!$F:$L,4,0)</f>
        <v xml:space="preserve">D269450舒洁湿厕纸家庭装40抽 </v>
      </c>
      <c r="L51" t="e">
        <f>VLOOKUP($J51,'mapping-Y26'!#REF!,4,0)</f>
        <v>#REF!</v>
      </c>
      <c r="M51" t="str">
        <f>VLOOKUP($J51,'mapping-Y26'!$H:$L,2,0)</f>
        <v xml:space="preserve">D269450舒洁湿厕纸家庭装40抽 </v>
      </c>
      <c r="N51" t="e">
        <f>VLOOKUP($J51,'mapping-Y26'!M:N,3,0)</f>
        <v>#N/A</v>
      </c>
      <c r="O51" s="2" t="e">
        <f>VLOOKUP($J51,'mapping-Y26'!$M:$N,5,0)</f>
        <v>#N/A</v>
      </c>
      <c r="P51" s="2" t="e">
        <f>VLOOKUP($J51,'mapping-Y26'!$M:$N,6,0)</f>
        <v>#N/A</v>
      </c>
      <c r="Q51" s="272" t="e">
        <f>VLOOKUP($J51,'mapping-Y26'!$M:$Q,7,0)</f>
        <v>#N/A</v>
      </c>
      <c r="R51" s="31" t="e">
        <f t="shared" si="11"/>
        <v>#N/A</v>
      </c>
      <c r="U51" s="2">
        <v>11.9</v>
      </c>
      <c r="V51" s="2">
        <v>6.45</v>
      </c>
      <c r="W51" s="423"/>
      <c r="X51" s="423">
        <v>0.6</v>
      </c>
      <c r="Y51" s="423">
        <v>0.4</v>
      </c>
      <c r="Z51" s="397">
        <f>T51*W51+U51*X51+V51*Y51</f>
        <v>9.7199999999999989</v>
      </c>
      <c r="AA51" s="3">
        <v>0.38</v>
      </c>
      <c r="AB51" s="3">
        <v>0.15</v>
      </c>
      <c r="AC51" s="161">
        <f>Z51*(1-AA51-AB51)/1.13</f>
        <v>4.0428318584070793</v>
      </c>
      <c r="AE51" s="3">
        <v>0.15</v>
      </c>
      <c r="AF51" s="161">
        <f t="shared" ref="AF51:AF82" si="24">AD51*(1-AE51)</f>
        <v>0</v>
      </c>
      <c r="AG51" s="3" t="e">
        <f>(R51-AF51)/R51</f>
        <v>#N/A</v>
      </c>
      <c r="AH51" s="395">
        <v>0</v>
      </c>
      <c r="AI51" s="395">
        <v>0.04</v>
      </c>
      <c r="AJ51" s="66" t="e">
        <f>(AH51+AI51)*AF51/R51+AG51</f>
        <v>#N/A</v>
      </c>
      <c r="AK51" s="31" t="e">
        <f t="shared" si="16"/>
        <v>#N/A</v>
      </c>
      <c r="AL51" s="66" t="e">
        <f>VLOOKUP($J51,#REF!,12,0)</f>
        <v>#REF!</v>
      </c>
      <c r="AM51" s="68">
        <v>2.7E-2</v>
      </c>
      <c r="AN51" s="31" t="e">
        <f t="shared" si="17"/>
        <v>#N/A</v>
      </c>
      <c r="AO51" s="3" t="e">
        <f>AN51/AK51</f>
        <v>#N/A</v>
      </c>
      <c r="AP51" s="157">
        <v>500</v>
      </c>
      <c r="AQ51" s="157" t="e">
        <f t="shared" si="18"/>
        <v>#N/A</v>
      </c>
      <c r="AR51" s="157" t="e">
        <f t="shared" si="19"/>
        <v>#N/A</v>
      </c>
      <c r="AS51" s="31" t="e">
        <f t="shared" si="20"/>
        <v>#N/A</v>
      </c>
    </row>
    <row r="52" spans="1:45" s="12" customFormat="1">
      <c r="A52" t="str">
        <f t="shared" ref="A52:A103" si="25">F52&amp;J52</f>
        <v>711全家2103-90</v>
      </c>
      <c r="B52" t="str">
        <f t="shared" ref="B52:B103" si="26">E52&amp;J52</f>
        <v>上海薪满翊2103-90</v>
      </c>
      <c r="C52" t="str">
        <f t="shared" ref="C52:C103" si="27">E52&amp;F52</f>
        <v>上海薪满翊711全家</v>
      </c>
      <c r="D52" s="438" t="s">
        <v>901</v>
      </c>
      <c r="E52" s="438" t="s">
        <v>812</v>
      </c>
      <c r="F52" s="438" t="s">
        <v>921</v>
      </c>
      <c r="G52" s="12" t="e">
        <f>VLOOKUP($J52,'mapping-Y26'!#REF!,2,0)</f>
        <v>#REF!</v>
      </c>
      <c r="I52" s="12">
        <f>VLOOKUP($J52,'mapping-Y26'!$F:$L,5,0)</f>
        <v>14016868</v>
      </c>
      <c r="J52" s="12" t="s">
        <v>172</v>
      </c>
      <c r="K52" t="str">
        <f>VLOOKUP($J52,'mapping-Y26'!$F:$L,4,0)</f>
        <v>210390舒洁小熊印花抽纸3层80抽4包FSC mix70%</v>
      </c>
      <c r="L52" t="e">
        <f>VLOOKUP($J52,'mapping-Y26'!#REF!,4,0)</f>
        <v>#REF!</v>
      </c>
      <c r="M52" s="12" t="str">
        <f>VLOOKUP($J52,'mapping-Y26'!$H:$L,2,0)</f>
        <v>210390舒洁小熊印花抽纸3层80抽4包FSC mix70%</v>
      </c>
      <c r="N52" t="e">
        <f>VLOOKUP($J52,'mapping-Y26'!M:N,3,0)</f>
        <v>#N/A</v>
      </c>
      <c r="O52" s="438" t="e">
        <f>VLOOKUP($J52,'mapping-Y26'!$M:$N,5,0)</f>
        <v>#N/A</v>
      </c>
      <c r="P52" s="438" t="e">
        <f>VLOOKUP($J52,'mapping-Y26'!$M:$N,6,0)</f>
        <v>#N/A</v>
      </c>
      <c r="Q52" s="439" t="e">
        <f>VLOOKUP($J52,'mapping-Y26'!$M:$Q,7,0)</f>
        <v>#N/A</v>
      </c>
      <c r="R52" s="440" t="e">
        <f t="shared" si="11"/>
        <v>#N/A</v>
      </c>
      <c r="T52" s="438"/>
      <c r="U52" s="438">
        <v>29.9</v>
      </c>
      <c r="V52" s="438">
        <v>22.424999999999997</v>
      </c>
      <c r="W52" s="441"/>
      <c r="X52" s="441">
        <v>0.6</v>
      </c>
      <c r="Y52" s="441">
        <v>0.4</v>
      </c>
      <c r="Z52" s="442">
        <f t="shared" ref="Z52:Z108" si="28">T52*W52+U52*X52+V52*Y52</f>
        <v>26.909999999999997</v>
      </c>
      <c r="AA52" s="443">
        <v>0.38</v>
      </c>
      <c r="AB52" s="443">
        <v>0.15</v>
      </c>
      <c r="AC52" s="394">
        <f t="shared" si="22"/>
        <v>11.192654867256635</v>
      </c>
      <c r="AD52" s="394"/>
      <c r="AE52" s="443">
        <v>0.15</v>
      </c>
      <c r="AF52" s="394">
        <f t="shared" si="24"/>
        <v>0</v>
      </c>
      <c r="AG52" s="443" t="e">
        <f t="shared" ref="AG52:AG82" si="29">(R52-AF52)/R52</f>
        <v>#N/A</v>
      </c>
      <c r="AH52" s="444">
        <v>0</v>
      </c>
      <c r="AI52" s="444">
        <v>0.04</v>
      </c>
      <c r="AJ52" s="445" t="e">
        <f>(AH52+AI52)*AF52/R52+AG52</f>
        <v>#N/A</v>
      </c>
      <c r="AK52" s="440" t="e">
        <f t="shared" si="16"/>
        <v>#N/A</v>
      </c>
      <c r="AL52" s="445" t="e">
        <f>VLOOKUP($J52,#REF!,12,0)</f>
        <v>#REF!</v>
      </c>
      <c r="AM52" s="446">
        <v>2.7E-2</v>
      </c>
      <c r="AN52" s="440" t="e">
        <f t="shared" si="17"/>
        <v>#N/A</v>
      </c>
      <c r="AO52" s="443" t="e">
        <f t="shared" ref="AO52:AO108" si="30">AN52/AK52</f>
        <v>#N/A</v>
      </c>
      <c r="AP52" s="447">
        <v>400</v>
      </c>
      <c r="AQ52" s="447" t="e">
        <f t="shared" si="18"/>
        <v>#N/A</v>
      </c>
      <c r="AR52" s="447" t="e">
        <f t="shared" si="19"/>
        <v>#N/A</v>
      </c>
      <c r="AS52" s="440" t="e">
        <f t="shared" si="20"/>
        <v>#N/A</v>
      </c>
    </row>
    <row r="53" spans="1:45">
      <c r="A53" t="str">
        <f t="shared" si="25"/>
        <v>711全家2167-10</v>
      </c>
      <c r="B53" t="str">
        <f t="shared" si="26"/>
        <v>上海薪满翊2167-10</v>
      </c>
      <c r="C53" t="str">
        <f t="shared" si="27"/>
        <v>上海薪满翊711全家</v>
      </c>
      <c r="D53" s="2" t="s">
        <v>901</v>
      </c>
      <c r="E53" s="2" t="s">
        <v>812</v>
      </c>
      <c r="F53" s="2" t="s">
        <v>921</v>
      </c>
      <c r="G53" t="e">
        <f>VLOOKUP($J53,'mapping-Y26'!#REF!,2,0)</f>
        <v>#REF!</v>
      </c>
      <c r="I53">
        <f>VLOOKUP($J53,'mapping-Y26'!$F:$L,5,0)</f>
        <v>14016042</v>
      </c>
      <c r="J53" t="s">
        <v>157</v>
      </c>
      <c r="K53" t="str">
        <f>VLOOKUP($J53,'mapping-Y26'!$F:$L,4,0)</f>
        <v>216710舒洁®牛乳系列乳霜纸面巾口袋包7抽10包装</v>
      </c>
      <c r="L53" t="e">
        <f>VLOOKUP($J53,'mapping-Y26'!#REF!,4,0)</f>
        <v>#REF!</v>
      </c>
      <c r="M53" t="str">
        <f>VLOOKUP($J53,'mapping-Y26'!$H:$L,2,0)</f>
        <v>216710舒洁®牛乳系列乳霜纸面巾口袋包7抽10包装</v>
      </c>
      <c r="N53" t="e">
        <f>VLOOKUP($J53,'mapping-Y26'!M:N,3,0)</f>
        <v>#N/A</v>
      </c>
      <c r="O53" s="2" t="e">
        <f>VLOOKUP($J53,'mapping-Y26'!$M:$N,5,0)</f>
        <v>#N/A</v>
      </c>
      <c r="P53" s="2" t="e">
        <f>VLOOKUP($J53,'mapping-Y26'!$M:$N,6,0)</f>
        <v>#N/A</v>
      </c>
      <c r="Q53" s="272" t="e">
        <f>VLOOKUP($J53,'mapping-Y26'!$M:$Q,7,0)</f>
        <v>#N/A</v>
      </c>
      <c r="R53" s="31" t="e">
        <f t="shared" si="11"/>
        <v>#N/A</v>
      </c>
      <c r="U53" s="2">
        <v>33.9</v>
      </c>
      <c r="V53" s="2">
        <v>25.424999999999997</v>
      </c>
      <c r="W53" s="423"/>
      <c r="X53" s="423">
        <v>0.6</v>
      </c>
      <c r="Y53" s="423">
        <v>0.4</v>
      </c>
      <c r="Z53" s="397">
        <f t="shared" si="28"/>
        <v>30.509999999999998</v>
      </c>
      <c r="AA53" s="3">
        <v>0.38</v>
      </c>
      <c r="AB53" s="3">
        <v>0.15</v>
      </c>
      <c r="AC53" s="161">
        <f t="shared" si="22"/>
        <v>12.69</v>
      </c>
      <c r="AE53" s="3">
        <v>0.15</v>
      </c>
      <c r="AF53" s="161">
        <f t="shared" si="24"/>
        <v>0</v>
      </c>
      <c r="AG53" s="3" t="e">
        <f>(R53-AF53)/R53</f>
        <v>#N/A</v>
      </c>
      <c r="AH53" s="395">
        <v>0</v>
      </c>
      <c r="AI53" s="395">
        <v>0.04</v>
      </c>
      <c r="AJ53" s="66" t="e">
        <f>(AH53+AI53)*AF53/R53+AG53</f>
        <v>#N/A</v>
      </c>
      <c r="AK53" s="31" t="e">
        <f t="shared" si="16"/>
        <v>#N/A</v>
      </c>
      <c r="AL53" s="66" t="e">
        <f>VLOOKUP($J53,#REF!,12,0)</f>
        <v>#REF!</v>
      </c>
      <c r="AM53" s="68">
        <v>2.7E-2</v>
      </c>
      <c r="AN53" s="31" t="e">
        <f t="shared" si="17"/>
        <v>#N/A</v>
      </c>
      <c r="AO53" s="3" t="e">
        <f t="shared" si="30"/>
        <v>#N/A</v>
      </c>
      <c r="AP53" s="157">
        <v>240</v>
      </c>
      <c r="AQ53" s="157" t="e">
        <f t="shared" si="18"/>
        <v>#N/A</v>
      </c>
      <c r="AR53" s="157" t="e">
        <f t="shared" si="19"/>
        <v>#N/A</v>
      </c>
      <c r="AS53" s="31" t="e">
        <f t="shared" si="20"/>
        <v>#N/A</v>
      </c>
    </row>
    <row r="54" spans="1:45" s="12" customFormat="1">
      <c r="A54" t="str">
        <f t="shared" si="25"/>
        <v>711全家2613-00</v>
      </c>
      <c r="B54" t="str">
        <f t="shared" si="26"/>
        <v>上海薪满翊2613-00</v>
      </c>
      <c r="C54" t="str">
        <f t="shared" si="27"/>
        <v>上海薪满翊711全家</v>
      </c>
      <c r="D54" s="438" t="s">
        <v>901</v>
      </c>
      <c r="E54" s="438" t="s">
        <v>812</v>
      </c>
      <c r="F54" s="438" t="s">
        <v>921</v>
      </c>
      <c r="G54" s="12" t="e">
        <f>VLOOKUP($J54,'mapping-Y26'!#REF!,2,0)</f>
        <v>#REF!</v>
      </c>
      <c r="I54" s="12">
        <f>VLOOKUP($J54,'mapping-Y26'!$F:$L,5,0)</f>
        <v>14004626</v>
      </c>
      <c r="J54" s="12" t="s">
        <v>244</v>
      </c>
      <c r="K54" t="str">
        <f>VLOOKUP($J54,'mapping-Y26'!$F:$L,4,0)</f>
        <v xml:space="preserve">261300舒洁无香湿巾单包装 </v>
      </c>
      <c r="L54" t="e">
        <f>VLOOKUP($J54,'mapping-Y26'!#REF!,4,0)</f>
        <v>#REF!</v>
      </c>
      <c r="M54" s="12" t="str">
        <f>VLOOKUP($J54,'mapping-Y26'!$H:$L,2,0)</f>
        <v xml:space="preserve">261300舒洁无香湿巾单包装 </v>
      </c>
      <c r="N54" t="e">
        <f>VLOOKUP($J54,'mapping-Y26'!M:N,3,0)</f>
        <v>#N/A</v>
      </c>
      <c r="O54" s="438" t="e">
        <f>VLOOKUP($J54,'mapping-Y26'!$M:$N,5,0)</f>
        <v>#N/A</v>
      </c>
      <c r="P54" s="438" t="e">
        <f>VLOOKUP($J54,'mapping-Y26'!$M:$N,6,0)</f>
        <v>#N/A</v>
      </c>
      <c r="Q54" s="439" t="e">
        <f>VLOOKUP($J54,'mapping-Y26'!$M:$Q,7,0)</f>
        <v>#N/A</v>
      </c>
      <c r="R54" s="440" t="e">
        <f t="shared" si="11"/>
        <v>#N/A</v>
      </c>
      <c r="T54" s="438"/>
      <c r="U54" s="438">
        <v>5.4</v>
      </c>
      <c r="V54" s="438">
        <v>3.2</v>
      </c>
      <c r="W54" s="441"/>
      <c r="X54" s="441">
        <v>0.6</v>
      </c>
      <c r="Y54" s="441">
        <v>0.4</v>
      </c>
      <c r="Z54" s="442">
        <f>T54*W54+U54*X54+V54*Y54</f>
        <v>4.5200000000000005</v>
      </c>
      <c r="AA54" s="443">
        <v>0.38</v>
      </c>
      <c r="AB54" s="443">
        <v>0.15</v>
      </c>
      <c r="AC54" s="394">
        <f>Z54*(1-AA54-AB54)/1.13</f>
        <v>1.8800000000000003</v>
      </c>
      <c r="AD54" s="161"/>
      <c r="AE54" s="443">
        <v>0.15</v>
      </c>
      <c r="AF54" s="394">
        <f t="shared" si="24"/>
        <v>0</v>
      </c>
      <c r="AG54" s="443" t="e">
        <f t="shared" si="29"/>
        <v>#N/A</v>
      </c>
      <c r="AH54" s="444">
        <v>0</v>
      </c>
      <c r="AI54" s="444">
        <v>0.04</v>
      </c>
      <c r="AJ54" s="445" t="e">
        <f t="shared" ref="AJ54:AJ82" si="31">(AH54+AI54)*AF54/R54+AG54</f>
        <v>#N/A</v>
      </c>
      <c r="AK54" s="440" t="e">
        <f t="shared" si="16"/>
        <v>#N/A</v>
      </c>
      <c r="AL54" s="445" t="e">
        <f>VLOOKUP($J54,#REF!,12,0)</f>
        <v>#REF!</v>
      </c>
      <c r="AM54" s="446">
        <v>2.7E-2</v>
      </c>
      <c r="AN54" s="440" t="e">
        <f t="shared" si="17"/>
        <v>#N/A</v>
      </c>
      <c r="AO54" s="443" t="e">
        <f t="shared" si="30"/>
        <v>#N/A</v>
      </c>
      <c r="AP54" s="447">
        <v>1200</v>
      </c>
      <c r="AQ54" s="447" t="e">
        <f t="shared" si="18"/>
        <v>#N/A</v>
      </c>
      <c r="AR54" s="447" t="e">
        <f t="shared" si="19"/>
        <v>#N/A</v>
      </c>
      <c r="AS54" s="440" t="e">
        <f t="shared" si="20"/>
        <v>#N/A</v>
      </c>
    </row>
    <row r="55" spans="1:45">
      <c r="A55" t="str">
        <f t="shared" si="25"/>
        <v>711全家2107-61</v>
      </c>
      <c r="B55" t="str">
        <f t="shared" si="26"/>
        <v>上海薪满翊2107-61</v>
      </c>
      <c r="C55" t="str">
        <f t="shared" si="27"/>
        <v>上海薪满翊711全家</v>
      </c>
      <c r="D55" s="2" t="s">
        <v>901</v>
      </c>
      <c r="E55" s="2" t="s">
        <v>812</v>
      </c>
      <c r="F55" s="2" t="s">
        <v>921</v>
      </c>
      <c r="G55" t="e">
        <f>VLOOKUP($J55,'mapping-Y26'!#REF!,2,0)</f>
        <v>#REF!</v>
      </c>
      <c r="I55">
        <f>VLOOKUP($J55,'mapping-Y26'!$F:$L,5,0)</f>
        <v>14014470</v>
      </c>
      <c r="J55" t="s">
        <v>187</v>
      </c>
      <c r="K55" t="str">
        <f>VLOOKUP($J55,'mapping-Y26'!$F:$L,4,0)</f>
        <v>210761舒洁卡通系列抽纸200抽3包 FSC mix70%</v>
      </c>
      <c r="L55" t="e">
        <f>VLOOKUP($J55,'mapping-Y26'!#REF!,4,0)</f>
        <v>#REF!</v>
      </c>
      <c r="M55" t="str">
        <f>VLOOKUP($J55,'mapping-Y26'!$H:$L,2,0)</f>
        <v>210761舒洁卡通系列抽纸200抽3包 FSC mix70%</v>
      </c>
      <c r="N55" t="e">
        <f>VLOOKUP($J55,'mapping-Y26'!M:N,3,0)</f>
        <v>#N/A</v>
      </c>
      <c r="O55" s="2" t="e">
        <f>VLOOKUP($J55,'mapping-Y26'!$M:$N,5,0)</f>
        <v>#N/A</v>
      </c>
      <c r="P55" s="2" t="e">
        <f>VLOOKUP($J55,'mapping-Y26'!$M:$N,6,0)</f>
        <v>#N/A</v>
      </c>
      <c r="Q55" s="272" t="e">
        <f>VLOOKUP($J55,'mapping-Y26'!$M:$Q,7,0)</f>
        <v>#N/A</v>
      </c>
      <c r="R55" s="31" t="e">
        <f t="shared" si="11"/>
        <v>#N/A</v>
      </c>
      <c r="U55" s="2">
        <v>46.9</v>
      </c>
      <c r="V55" s="2">
        <v>35.174999999999997</v>
      </c>
      <c r="W55" s="423"/>
      <c r="X55" s="423">
        <v>0.6</v>
      </c>
      <c r="Y55" s="423">
        <v>0.4</v>
      </c>
      <c r="Z55" s="397">
        <f t="shared" si="28"/>
        <v>42.209999999999994</v>
      </c>
      <c r="AA55" s="3">
        <v>0.38</v>
      </c>
      <c r="AB55" s="3">
        <v>0.23499999999999999</v>
      </c>
      <c r="AC55" s="161">
        <f t="shared" si="22"/>
        <v>14.381283185840706</v>
      </c>
      <c r="AE55" s="3">
        <v>0.15</v>
      </c>
      <c r="AF55" s="161">
        <f t="shared" si="24"/>
        <v>0</v>
      </c>
      <c r="AG55" s="3" t="e">
        <f t="shared" si="29"/>
        <v>#N/A</v>
      </c>
      <c r="AH55" s="395">
        <v>0</v>
      </c>
      <c r="AI55" s="395">
        <v>0.04</v>
      </c>
      <c r="AJ55" s="66" t="e">
        <f>(AH55+AI55)*AF55/R55+AG55</f>
        <v>#N/A</v>
      </c>
      <c r="AK55" s="31" t="e">
        <f t="shared" si="16"/>
        <v>#N/A</v>
      </c>
      <c r="AL55" s="66" t="e">
        <f>VLOOKUP($J55,#REF!,12,0)</f>
        <v>#REF!</v>
      </c>
      <c r="AM55" s="68">
        <v>2.7E-2</v>
      </c>
      <c r="AN55" s="31" t="e">
        <f t="shared" si="17"/>
        <v>#N/A</v>
      </c>
      <c r="AO55" s="3" t="e">
        <f t="shared" si="30"/>
        <v>#N/A</v>
      </c>
      <c r="AP55" s="157">
        <v>4000</v>
      </c>
      <c r="AQ55" s="157" t="e">
        <f t="shared" si="18"/>
        <v>#N/A</v>
      </c>
      <c r="AR55" s="157" t="e">
        <f t="shared" si="19"/>
        <v>#N/A</v>
      </c>
      <c r="AS55" s="31" t="e">
        <f t="shared" si="20"/>
        <v>#N/A</v>
      </c>
    </row>
    <row r="56" spans="1:45">
      <c r="A56" t="str">
        <f t="shared" si="25"/>
        <v>薪满翊others2216-35</v>
      </c>
      <c r="B56" t="str">
        <f t="shared" si="26"/>
        <v>上海薪满翊2216-35</v>
      </c>
      <c r="C56" t="str">
        <f t="shared" si="27"/>
        <v>上海薪满翊薪满翊others</v>
      </c>
      <c r="D56" s="2" t="s">
        <v>901</v>
      </c>
      <c r="E56" s="2" t="s">
        <v>812</v>
      </c>
      <c r="F56" s="2" t="s">
        <v>813</v>
      </c>
      <c r="G56" t="e">
        <f>VLOOKUP($J56,'mapping-Y26'!#REF!,2,0)</f>
        <v>#REF!</v>
      </c>
      <c r="I56">
        <f>VLOOKUP($J56,'mapping-Y26'!$F:$L,5,0)</f>
        <v>14015861</v>
      </c>
      <c r="J56" t="s">
        <v>211</v>
      </c>
      <c r="K56" t="str">
        <f>VLOOKUP($J56,'mapping-Y26'!$F:$L,4,0)</f>
        <v xml:space="preserve">221635舒洁卷纸3层纯白10粒（蓝色） </v>
      </c>
      <c r="L56" t="e">
        <f>VLOOKUP($J56,'mapping-Y26'!#REF!,4,0)</f>
        <v>#REF!</v>
      </c>
      <c r="M56" t="str">
        <f>VLOOKUP($J56,'mapping-Y26'!$H:$L,2,0)</f>
        <v xml:space="preserve">221635舒洁卷纸3层纯白10粒（蓝色） </v>
      </c>
      <c r="N56" t="e">
        <f>VLOOKUP($J56,'mapping-Y26'!M:N,3,0)</f>
        <v>#N/A</v>
      </c>
      <c r="O56" s="2" t="e">
        <f>VLOOKUP($J56,'mapping-Y26'!$M:$N,5,0)</f>
        <v>#N/A</v>
      </c>
      <c r="P56" s="2" t="e">
        <f>VLOOKUP($J56,'mapping-Y26'!$M:$N,6,0)</f>
        <v>#N/A</v>
      </c>
      <c r="Q56" s="272" t="e">
        <f>VLOOKUP($J56,'mapping-Y26'!$M:$Q,7,0)</f>
        <v>#N/A</v>
      </c>
      <c r="R56" s="31" t="e">
        <f t="shared" si="11"/>
        <v>#N/A</v>
      </c>
      <c r="U56" s="2">
        <v>35.9</v>
      </c>
      <c r="V56" s="2">
        <v>26.924999999999997</v>
      </c>
      <c r="W56" s="423"/>
      <c r="X56" s="423">
        <v>0.6</v>
      </c>
      <c r="Y56" s="423">
        <v>0.4</v>
      </c>
      <c r="Z56" s="397">
        <f t="shared" si="28"/>
        <v>32.31</v>
      </c>
      <c r="AA56" s="3">
        <v>0.2</v>
      </c>
      <c r="AB56" s="3">
        <v>0.1</v>
      </c>
      <c r="AC56" s="161">
        <f t="shared" si="22"/>
        <v>20.015044247787618</v>
      </c>
      <c r="AE56" s="3">
        <v>0.15</v>
      </c>
      <c r="AF56" s="161">
        <f t="shared" si="24"/>
        <v>0</v>
      </c>
      <c r="AG56" s="3" t="e">
        <f t="shared" si="29"/>
        <v>#N/A</v>
      </c>
      <c r="AH56" s="395">
        <v>0</v>
      </c>
      <c r="AI56" s="395">
        <v>0.04</v>
      </c>
      <c r="AJ56" s="66" t="e">
        <f t="shared" si="31"/>
        <v>#N/A</v>
      </c>
      <c r="AK56" s="31" t="e">
        <f t="shared" si="16"/>
        <v>#N/A</v>
      </c>
      <c r="AL56" s="66" t="e">
        <f>VLOOKUP($J56,#REF!,12,0)</f>
        <v>#REF!</v>
      </c>
      <c r="AM56" s="68">
        <v>2.7E-2</v>
      </c>
      <c r="AN56" s="31" t="e">
        <f t="shared" si="17"/>
        <v>#N/A</v>
      </c>
      <c r="AO56" s="3" t="e">
        <f t="shared" si="30"/>
        <v>#N/A</v>
      </c>
      <c r="AP56" s="157">
        <v>70</v>
      </c>
      <c r="AQ56" s="157" t="e">
        <f t="shared" si="18"/>
        <v>#N/A</v>
      </c>
      <c r="AR56" s="157" t="e">
        <f t="shared" si="19"/>
        <v>#N/A</v>
      </c>
      <c r="AS56" s="31" t="e">
        <f t="shared" si="20"/>
        <v>#N/A</v>
      </c>
    </row>
    <row r="57" spans="1:45">
      <c r="A57" t="str">
        <f t="shared" si="25"/>
        <v>薪满翊others2701-90</v>
      </c>
      <c r="B57" t="str">
        <f t="shared" si="26"/>
        <v>上海薪满翊2701-90</v>
      </c>
      <c r="C57" t="str">
        <f t="shared" si="27"/>
        <v>上海薪满翊薪满翊others</v>
      </c>
      <c r="D57" s="2" t="s">
        <v>901</v>
      </c>
      <c r="E57" s="2" t="s">
        <v>812</v>
      </c>
      <c r="F57" s="2" t="s">
        <v>813</v>
      </c>
      <c r="G57" t="e">
        <f>VLOOKUP($J57,'mapping-Y26'!#REF!,2,0)</f>
        <v>#REF!</v>
      </c>
      <c r="I57">
        <f>VLOOKUP($J57,'mapping-Y26'!$F:$L,5,0)</f>
        <v>14016871</v>
      </c>
      <c r="J57" t="s">
        <v>227</v>
      </c>
      <c r="K57" t="str">
        <f>VLOOKUP($J57,'mapping-Y26'!$F:$L,4,0)</f>
        <v>270190舒洁小熊印花手帕纸3层10包FSC mix70%</v>
      </c>
      <c r="L57" t="e">
        <f>VLOOKUP($J57,'mapping-Y26'!#REF!,4,0)</f>
        <v>#REF!</v>
      </c>
      <c r="M57" t="str">
        <f>VLOOKUP($J57,'mapping-Y26'!$H:$L,2,0)</f>
        <v>270190舒洁小熊印花手帕纸3层10包FSC mix70%</v>
      </c>
      <c r="N57" t="e">
        <f>VLOOKUP($J57,'mapping-Y26'!M:N,3,0)</f>
        <v>#N/A</v>
      </c>
      <c r="O57" s="2" t="e">
        <f>VLOOKUP($J57,'mapping-Y26'!$M:$N,5,0)</f>
        <v>#N/A</v>
      </c>
      <c r="P57" s="2" t="e">
        <f>VLOOKUP($J57,'mapping-Y26'!$M:$N,6,0)</f>
        <v>#N/A</v>
      </c>
      <c r="Q57" s="272" t="e">
        <f>VLOOKUP($J57,'mapping-Y26'!$M:$Q,7,0)</f>
        <v>#N/A</v>
      </c>
      <c r="R57" s="31" t="e">
        <f t="shared" si="11"/>
        <v>#N/A</v>
      </c>
      <c r="U57" s="2">
        <v>8.9</v>
      </c>
      <c r="V57" s="2">
        <v>6.6750000000000007</v>
      </c>
      <c r="W57" s="423"/>
      <c r="X57" s="423">
        <v>0.6</v>
      </c>
      <c r="Y57" s="423">
        <v>0.4</v>
      </c>
      <c r="Z57" s="397">
        <f t="shared" si="28"/>
        <v>8.01</v>
      </c>
      <c r="AA57" s="3">
        <v>0.2</v>
      </c>
      <c r="AB57" s="3">
        <v>0.1</v>
      </c>
      <c r="AC57" s="161">
        <f t="shared" si="22"/>
        <v>4.9619469026548675</v>
      </c>
      <c r="AE57" s="3">
        <v>0.15</v>
      </c>
      <c r="AF57" s="161">
        <f t="shared" si="24"/>
        <v>0</v>
      </c>
      <c r="AG57" s="3" t="e">
        <f t="shared" si="29"/>
        <v>#N/A</v>
      </c>
      <c r="AH57" s="395">
        <v>0</v>
      </c>
      <c r="AI57" s="395">
        <v>0.04</v>
      </c>
      <c r="AJ57" s="66" t="e">
        <f t="shared" si="31"/>
        <v>#N/A</v>
      </c>
      <c r="AK57" s="31" t="e">
        <f t="shared" si="16"/>
        <v>#N/A</v>
      </c>
      <c r="AL57" s="66" t="e">
        <f>VLOOKUP($J57,#REF!,12,0)</f>
        <v>#REF!</v>
      </c>
      <c r="AM57" s="68">
        <v>2.7E-2</v>
      </c>
      <c r="AN57" s="31" t="e">
        <f t="shared" si="17"/>
        <v>#N/A</v>
      </c>
      <c r="AO57" s="3" t="e">
        <f t="shared" si="30"/>
        <v>#N/A</v>
      </c>
      <c r="AP57" s="157">
        <v>30</v>
      </c>
      <c r="AQ57" s="157" t="e">
        <f t="shared" si="18"/>
        <v>#N/A</v>
      </c>
      <c r="AR57" s="157" t="e">
        <f t="shared" si="19"/>
        <v>#N/A</v>
      </c>
      <c r="AS57" s="31" t="e">
        <f t="shared" si="20"/>
        <v>#N/A</v>
      </c>
    </row>
    <row r="58" spans="1:45">
      <c r="A58" t="str">
        <f t="shared" si="25"/>
        <v>薪满翊others2162-08</v>
      </c>
      <c r="B58" t="str">
        <f t="shared" si="26"/>
        <v>上海薪满翊2162-08</v>
      </c>
      <c r="C58" t="str">
        <f t="shared" si="27"/>
        <v>上海薪满翊薪满翊others</v>
      </c>
      <c r="D58" s="2" t="s">
        <v>901</v>
      </c>
      <c r="E58" s="2" t="s">
        <v>812</v>
      </c>
      <c r="F58" s="2" t="s">
        <v>813</v>
      </c>
      <c r="G58" t="e">
        <f>VLOOKUP($J58,'mapping-Y26'!#REF!,2,0)</f>
        <v>#REF!</v>
      </c>
      <c r="I58">
        <f>VLOOKUP($J58,'mapping-Y26'!$F:$L,5,0)</f>
        <v>14015110</v>
      </c>
      <c r="J58" t="s">
        <v>150</v>
      </c>
      <c r="K58" t="str">
        <f>VLOOKUP($J58,'mapping-Y26'!$F:$L,4,0)</f>
        <v>216208舒洁®北海道牛乳系列乳霜纸面巾20抽8包装</v>
      </c>
      <c r="L58" t="e">
        <f>VLOOKUP($J58,'mapping-Y26'!#REF!,4,0)</f>
        <v>#REF!</v>
      </c>
      <c r="M58" t="str">
        <f>VLOOKUP($J58,'mapping-Y26'!$H:$L,2,0)</f>
        <v>216208舒洁®北海道牛乳系列乳霜纸面巾20抽8包装</v>
      </c>
      <c r="N58" t="e">
        <f>VLOOKUP($J58,'mapping-Y26'!M:N,3,0)</f>
        <v>#N/A</v>
      </c>
      <c r="O58" s="2" t="e">
        <f>VLOOKUP($J58,'mapping-Y26'!$M:$N,5,0)</f>
        <v>#N/A</v>
      </c>
      <c r="P58" s="2" t="e">
        <f>VLOOKUP($J58,'mapping-Y26'!$M:$N,6,0)</f>
        <v>#N/A</v>
      </c>
      <c r="Q58" s="272" t="e">
        <f>VLOOKUP($J58,'mapping-Y26'!$M:$Q,7,0)</f>
        <v>#N/A</v>
      </c>
      <c r="R58" s="31" t="e">
        <f t="shared" si="11"/>
        <v>#N/A</v>
      </c>
      <c r="U58" s="2">
        <v>32.9</v>
      </c>
      <c r="V58" s="2">
        <v>24.674999999999997</v>
      </c>
      <c r="W58" s="423"/>
      <c r="X58" s="423">
        <v>0.6</v>
      </c>
      <c r="Y58" s="423">
        <v>0.4</v>
      </c>
      <c r="Z58" s="397">
        <f t="shared" si="28"/>
        <v>29.61</v>
      </c>
      <c r="AA58" s="3">
        <v>0.2</v>
      </c>
      <c r="AB58" s="3">
        <v>0.1</v>
      </c>
      <c r="AC58" s="161">
        <f t="shared" si="22"/>
        <v>18.342477876106198</v>
      </c>
      <c r="AE58" s="3">
        <v>0.15</v>
      </c>
      <c r="AF58" s="161">
        <f t="shared" si="24"/>
        <v>0</v>
      </c>
      <c r="AG58" s="3" t="e">
        <f t="shared" si="29"/>
        <v>#N/A</v>
      </c>
      <c r="AH58" s="395">
        <v>0</v>
      </c>
      <c r="AI58" s="395">
        <v>0.04</v>
      </c>
      <c r="AJ58" s="66" t="e">
        <f t="shared" si="31"/>
        <v>#N/A</v>
      </c>
      <c r="AK58" s="31" t="e">
        <f t="shared" si="16"/>
        <v>#N/A</v>
      </c>
      <c r="AL58" s="66" t="e">
        <f>VLOOKUP($J58,#REF!,12,0)</f>
        <v>#REF!</v>
      </c>
      <c r="AM58" s="68">
        <v>2.7E-2</v>
      </c>
      <c r="AN58" s="31" t="e">
        <f t="shared" si="17"/>
        <v>#N/A</v>
      </c>
      <c r="AO58" s="3" t="e">
        <f t="shared" si="30"/>
        <v>#N/A</v>
      </c>
      <c r="AP58" s="157">
        <v>150</v>
      </c>
      <c r="AQ58" s="157" t="e">
        <f t="shared" si="18"/>
        <v>#N/A</v>
      </c>
      <c r="AR58" s="157" t="e">
        <f t="shared" si="19"/>
        <v>#N/A</v>
      </c>
      <c r="AS58" s="31" t="e">
        <f t="shared" si="20"/>
        <v>#N/A</v>
      </c>
    </row>
    <row r="59" spans="1:45">
      <c r="A59" t="str">
        <f t="shared" si="25"/>
        <v>京客隆2694-50</v>
      </c>
      <c r="B59" t="str">
        <f t="shared" si="26"/>
        <v>北京朝批2694-50</v>
      </c>
      <c r="C59" t="str">
        <f t="shared" si="27"/>
        <v>北京朝批京客隆</v>
      </c>
      <c r="D59" s="2" t="s">
        <v>901</v>
      </c>
      <c r="E59" s="2" t="s">
        <v>907</v>
      </c>
      <c r="F59" s="2" t="s">
        <v>902</v>
      </c>
      <c r="G59" t="e">
        <f>VLOOKUP($J59,'mapping-Y26'!#REF!,2,0)</f>
        <v>#REF!</v>
      </c>
      <c r="H59" t="str">
        <f>VLOOKUP($J59,'mapping-Y26'!$F:$L,6,0)</f>
        <v>40P-55gsm</v>
      </c>
      <c r="I59">
        <f>VLOOKUP($J59,'mapping-Y26'!$F:$L,5,0)</f>
        <v>14017864</v>
      </c>
      <c r="J59" t="s">
        <v>559</v>
      </c>
      <c r="K59" t="str">
        <f>VLOOKUP($J59,'mapping-Y26'!$F:$L,4,0)</f>
        <v xml:space="preserve">D269450舒洁湿厕纸家庭装40抽 </v>
      </c>
      <c r="L59" t="e">
        <f>VLOOKUP($J59,'mapping-Y26'!#REF!,4,0)</f>
        <v>#REF!</v>
      </c>
      <c r="M59" t="str">
        <f>VLOOKUP($J59,'mapping-Y26'!$H:$L,2,0)</f>
        <v xml:space="preserve">D269450舒洁湿厕纸家庭装40抽 </v>
      </c>
      <c r="N59" t="e">
        <f>VLOOKUP($J59,'mapping-Y26'!M:N,3,0)</f>
        <v>#N/A</v>
      </c>
      <c r="O59" s="2" t="e">
        <f>VLOOKUP($J59,'mapping-Y26'!$M:$N,5,0)</f>
        <v>#N/A</v>
      </c>
      <c r="P59" s="2" t="e">
        <f>VLOOKUP($J59,'mapping-Y26'!$M:$N,6,0)</f>
        <v>#N/A</v>
      </c>
      <c r="Q59" s="272" t="e">
        <f>VLOOKUP($J59,'mapping-Y26'!$M:$Q,7,0)</f>
        <v>#N/A</v>
      </c>
      <c r="R59" s="31" t="e">
        <f t="shared" si="11"/>
        <v>#N/A</v>
      </c>
      <c r="T59" s="2">
        <v>6.9</v>
      </c>
      <c r="U59" s="2">
        <v>5.9</v>
      </c>
      <c r="V59" s="2">
        <v>5</v>
      </c>
      <c r="W59" s="423">
        <v>0.5</v>
      </c>
      <c r="X59" s="423">
        <v>0.2</v>
      </c>
      <c r="Y59" s="423">
        <v>0.3</v>
      </c>
      <c r="Z59" s="69">
        <f>T59*W59+U59*X59+V59*Y59</f>
        <v>6.1300000000000008</v>
      </c>
      <c r="AA59" s="3">
        <v>0.15</v>
      </c>
      <c r="AB59" s="3">
        <v>0.1</v>
      </c>
      <c r="AC59" s="161">
        <f t="shared" si="22"/>
        <v>4.0685840707964607</v>
      </c>
      <c r="AE59" s="3">
        <v>9.2999999999999999E-2</v>
      </c>
      <c r="AF59" s="161">
        <f t="shared" si="24"/>
        <v>0</v>
      </c>
      <c r="AG59" s="3" t="e">
        <f t="shared" si="29"/>
        <v>#N/A</v>
      </c>
      <c r="AH59" s="395">
        <v>0</v>
      </c>
      <c r="AI59" s="395">
        <v>0.04</v>
      </c>
      <c r="AJ59" s="66" t="e">
        <f t="shared" si="31"/>
        <v>#N/A</v>
      </c>
      <c r="AK59" s="31" t="e">
        <f t="shared" si="16"/>
        <v>#N/A</v>
      </c>
      <c r="AL59" s="66" t="e">
        <f>VLOOKUP($J59,#REF!,12,0)</f>
        <v>#REF!</v>
      </c>
      <c r="AM59" s="68">
        <v>2.7E-2</v>
      </c>
      <c r="AN59" s="31" t="e">
        <f t="shared" si="17"/>
        <v>#N/A</v>
      </c>
      <c r="AO59" s="3" t="e">
        <f t="shared" si="30"/>
        <v>#N/A</v>
      </c>
      <c r="AP59" s="157">
        <v>620</v>
      </c>
      <c r="AQ59" s="157" t="e">
        <f t="shared" si="18"/>
        <v>#N/A</v>
      </c>
      <c r="AR59" s="157" t="e">
        <f t="shared" si="19"/>
        <v>#N/A</v>
      </c>
      <c r="AS59" s="31" t="e">
        <f t="shared" si="20"/>
        <v>#N/A</v>
      </c>
    </row>
    <row r="60" spans="1:45">
      <c r="A60" t="str">
        <f t="shared" si="25"/>
        <v>京客隆2103-90</v>
      </c>
      <c r="B60" t="str">
        <f t="shared" si="26"/>
        <v>北京朝批2103-90</v>
      </c>
      <c r="C60" t="str">
        <f t="shared" si="27"/>
        <v>北京朝批京客隆</v>
      </c>
      <c r="D60" s="2" t="s">
        <v>901</v>
      </c>
      <c r="E60" s="2" t="s">
        <v>907</v>
      </c>
      <c r="F60" s="2" t="s">
        <v>902</v>
      </c>
      <c r="G60" t="e">
        <f>VLOOKUP($J60,'mapping-Y26'!#REF!,2,0)</f>
        <v>#REF!</v>
      </c>
      <c r="I60">
        <f>VLOOKUP($J60,'mapping-Y26'!$F:$L,5,0)</f>
        <v>14016868</v>
      </c>
      <c r="J60" t="s">
        <v>172</v>
      </c>
      <c r="K60" t="str">
        <f>VLOOKUP($J60,'mapping-Y26'!$F:$L,4,0)</f>
        <v>210390舒洁小熊印花抽纸3层80抽4包FSC mix70%</v>
      </c>
      <c r="L60" t="e">
        <f>VLOOKUP($J60,'mapping-Y26'!#REF!,4,0)</f>
        <v>#REF!</v>
      </c>
      <c r="M60" t="str">
        <f>VLOOKUP($J60,'mapping-Y26'!$H:$L,2,0)</f>
        <v>210390舒洁小熊印花抽纸3层80抽4包FSC mix70%</v>
      </c>
      <c r="N60" t="e">
        <f>VLOOKUP($J60,'mapping-Y26'!M:N,3,0)</f>
        <v>#N/A</v>
      </c>
      <c r="O60" s="2" t="e">
        <f>VLOOKUP($J60,'mapping-Y26'!$M:$N,5,0)</f>
        <v>#N/A</v>
      </c>
      <c r="P60" s="2" t="e">
        <f>VLOOKUP($J60,'mapping-Y26'!$M:$N,6,0)</f>
        <v>#N/A</v>
      </c>
      <c r="Q60" s="272" t="e">
        <f>VLOOKUP($J60,'mapping-Y26'!$M:$Q,7,0)</f>
        <v>#N/A</v>
      </c>
      <c r="R60" s="31" t="e">
        <f t="shared" si="11"/>
        <v>#N/A</v>
      </c>
      <c r="T60" s="2">
        <v>14.9</v>
      </c>
      <c r="U60" s="2">
        <v>12.9</v>
      </c>
      <c r="V60" s="2">
        <v>9.9</v>
      </c>
      <c r="W60" s="423">
        <v>0.2</v>
      </c>
      <c r="X60" s="423">
        <v>0.6</v>
      </c>
      <c r="Y60" s="423">
        <v>0.2</v>
      </c>
      <c r="Z60" s="397">
        <f t="shared" si="28"/>
        <v>12.700000000000001</v>
      </c>
      <c r="AA60" s="3">
        <v>0.15</v>
      </c>
      <c r="AB60" s="3">
        <v>0.1</v>
      </c>
      <c r="AC60" s="161">
        <f t="shared" si="22"/>
        <v>8.4292035398230105</v>
      </c>
      <c r="AE60" s="3">
        <v>9.2999999999999999E-2</v>
      </c>
      <c r="AF60" s="161">
        <f t="shared" si="24"/>
        <v>0</v>
      </c>
      <c r="AG60" s="3" t="e">
        <f t="shared" si="29"/>
        <v>#N/A</v>
      </c>
      <c r="AH60" s="395">
        <v>0</v>
      </c>
      <c r="AI60" s="395">
        <v>0.04</v>
      </c>
      <c r="AJ60" s="66" t="e">
        <f t="shared" si="31"/>
        <v>#N/A</v>
      </c>
      <c r="AK60" s="31" t="e">
        <f t="shared" si="16"/>
        <v>#N/A</v>
      </c>
      <c r="AL60" s="66" t="e">
        <f>VLOOKUP($J60,#REF!,12,0)</f>
        <v>#REF!</v>
      </c>
      <c r="AM60" s="68">
        <v>2.7E-2</v>
      </c>
      <c r="AN60" s="31" t="e">
        <f t="shared" si="17"/>
        <v>#N/A</v>
      </c>
      <c r="AO60" s="3" t="e">
        <f t="shared" si="30"/>
        <v>#N/A</v>
      </c>
      <c r="AP60" s="157">
        <v>420</v>
      </c>
      <c r="AQ60" s="157" t="e">
        <f t="shared" si="18"/>
        <v>#N/A</v>
      </c>
      <c r="AR60" s="157" t="e">
        <f t="shared" si="19"/>
        <v>#N/A</v>
      </c>
      <c r="AS60" s="31" t="e">
        <f t="shared" si="20"/>
        <v>#N/A</v>
      </c>
    </row>
    <row r="61" spans="1:45">
      <c r="A61" t="str">
        <f t="shared" si="25"/>
        <v>京客隆2701-90</v>
      </c>
      <c r="B61" t="str">
        <f t="shared" si="26"/>
        <v>北京朝批2701-90</v>
      </c>
      <c r="C61" t="str">
        <f t="shared" si="27"/>
        <v>北京朝批京客隆</v>
      </c>
      <c r="D61" s="2" t="s">
        <v>901</v>
      </c>
      <c r="E61" s="2" t="s">
        <v>907</v>
      </c>
      <c r="F61" s="2" t="s">
        <v>902</v>
      </c>
      <c r="G61" t="e">
        <f>VLOOKUP($J61,'mapping-Y26'!#REF!,2,0)</f>
        <v>#REF!</v>
      </c>
      <c r="I61">
        <f>VLOOKUP($J61,'mapping-Y26'!$F:$L,5,0)</f>
        <v>14016871</v>
      </c>
      <c r="J61" t="s">
        <v>227</v>
      </c>
      <c r="K61" t="str">
        <f>VLOOKUP($J61,'mapping-Y26'!$F:$L,4,0)</f>
        <v>270190舒洁小熊印花手帕纸3层10包FSC mix70%</v>
      </c>
      <c r="L61" t="e">
        <f>VLOOKUP($J61,'mapping-Y26'!#REF!,4,0)</f>
        <v>#REF!</v>
      </c>
      <c r="M61" t="str">
        <f>VLOOKUP($J61,'mapping-Y26'!$H:$L,2,0)</f>
        <v>270190舒洁小熊印花手帕纸3层10包FSC mix70%</v>
      </c>
      <c r="N61" t="e">
        <f>VLOOKUP($J61,'mapping-Y26'!M:N,3,0)</f>
        <v>#N/A</v>
      </c>
      <c r="O61" s="2" t="e">
        <f>VLOOKUP($J61,'mapping-Y26'!$M:$N,5,0)</f>
        <v>#N/A</v>
      </c>
      <c r="P61" s="2" t="e">
        <f>VLOOKUP($J61,'mapping-Y26'!$M:$N,6,0)</f>
        <v>#N/A</v>
      </c>
      <c r="Q61" s="272" t="e">
        <f>VLOOKUP($J61,'mapping-Y26'!$M:$Q,7,0)</f>
        <v>#N/A</v>
      </c>
      <c r="R61" s="31" t="e">
        <f t="shared" si="11"/>
        <v>#N/A</v>
      </c>
      <c r="T61" s="2">
        <v>7.9</v>
      </c>
      <c r="U61" s="2">
        <v>7.5</v>
      </c>
      <c r="V61" s="2">
        <v>6.9</v>
      </c>
      <c r="W61" s="423">
        <v>0.3</v>
      </c>
      <c r="X61" s="423">
        <v>0.5</v>
      </c>
      <c r="Y61" s="423">
        <v>0.2</v>
      </c>
      <c r="Z61" s="397">
        <f t="shared" si="28"/>
        <v>7.5</v>
      </c>
      <c r="AA61" s="3">
        <v>0.15</v>
      </c>
      <c r="AB61" s="3">
        <v>0.1</v>
      </c>
      <c r="AC61" s="161">
        <f t="shared" si="22"/>
        <v>4.9778761061946906</v>
      </c>
      <c r="AE61" s="3">
        <v>9.2999999999999999E-2</v>
      </c>
      <c r="AF61" s="161">
        <f t="shared" si="24"/>
        <v>0</v>
      </c>
      <c r="AG61" s="3" t="e">
        <f t="shared" si="29"/>
        <v>#N/A</v>
      </c>
      <c r="AH61" s="395">
        <v>0</v>
      </c>
      <c r="AI61" s="395">
        <v>0.04</v>
      </c>
      <c r="AJ61" s="66" t="e">
        <f t="shared" si="31"/>
        <v>#N/A</v>
      </c>
      <c r="AK61" s="31" t="e">
        <f t="shared" si="16"/>
        <v>#N/A</v>
      </c>
      <c r="AL61" s="66" t="e">
        <f>VLOOKUP($J61,#REF!,12,0)</f>
        <v>#REF!</v>
      </c>
      <c r="AM61" s="68">
        <v>2.7E-2</v>
      </c>
      <c r="AN61" s="31" t="e">
        <f t="shared" si="17"/>
        <v>#N/A</v>
      </c>
      <c r="AO61" s="3" t="e">
        <f t="shared" si="30"/>
        <v>#N/A</v>
      </c>
      <c r="AP61" s="157">
        <v>300</v>
      </c>
      <c r="AQ61" s="157" t="e">
        <f t="shared" si="18"/>
        <v>#N/A</v>
      </c>
      <c r="AR61" s="157" t="e">
        <f t="shared" si="19"/>
        <v>#N/A</v>
      </c>
      <c r="AS61" s="31" t="e">
        <f t="shared" si="20"/>
        <v>#N/A</v>
      </c>
    </row>
    <row r="62" spans="1:45">
      <c r="A62" t="str">
        <f t="shared" si="25"/>
        <v>超市发2694-50</v>
      </c>
      <c r="B62" t="str">
        <f t="shared" si="26"/>
        <v>北京朝批2694-50</v>
      </c>
      <c r="C62" t="str">
        <f t="shared" si="27"/>
        <v>北京朝批超市发</v>
      </c>
      <c r="D62" s="2" t="s">
        <v>901</v>
      </c>
      <c r="E62" s="2" t="s">
        <v>907</v>
      </c>
      <c r="F62" s="2" t="s">
        <v>903</v>
      </c>
      <c r="G62" t="e">
        <f>VLOOKUP($J62,'mapping-Y26'!#REF!,2,0)</f>
        <v>#REF!</v>
      </c>
      <c r="H62" t="str">
        <f>VLOOKUP($J62,'mapping-Y26'!$F:$L,6,0)</f>
        <v>40P-55gsm</v>
      </c>
      <c r="I62">
        <f>VLOOKUP($J62,'mapping-Y26'!$F:$L,5,0)</f>
        <v>14017864</v>
      </c>
      <c r="J62" t="s">
        <v>559</v>
      </c>
      <c r="K62" t="str">
        <f>VLOOKUP($J62,'mapping-Y26'!$F:$L,4,0)</f>
        <v xml:space="preserve">D269450舒洁湿厕纸家庭装40抽 </v>
      </c>
      <c r="L62" t="e">
        <f>VLOOKUP($J62,'mapping-Y26'!#REF!,4,0)</f>
        <v>#REF!</v>
      </c>
      <c r="M62" t="str">
        <f>VLOOKUP($J62,'mapping-Y26'!$H:$L,2,0)</f>
        <v xml:space="preserve">D269450舒洁湿厕纸家庭装40抽 </v>
      </c>
      <c r="N62" t="e">
        <f>VLOOKUP($J62,'mapping-Y26'!M:N,3,0)</f>
        <v>#N/A</v>
      </c>
      <c r="O62" s="2" t="e">
        <f>VLOOKUP($J62,'mapping-Y26'!$M:$N,5,0)</f>
        <v>#N/A</v>
      </c>
      <c r="P62" s="2" t="e">
        <f>VLOOKUP($J62,'mapping-Y26'!$M:$N,6,0)</f>
        <v>#N/A</v>
      </c>
      <c r="Q62" s="272" t="e">
        <f>VLOOKUP($J62,'mapping-Y26'!$M:$Q,7,0)</f>
        <v>#N/A</v>
      </c>
      <c r="R62" s="31" t="e">
        <f t="shared" si="11"/>
        <v>#N/A</v>
      </c>
      <c r="T62" s="2">
        <v>6.9</v>
      </c>
      <c r="U62" s="2">
        <v>5.9</v>
      </c>
      <c r="V62" s="2">
        <v>5</v>
      </c>
      <c r="W62" s="423">
        <v>0.5</v>
      </c>
      <c r="X62" s="423">
        <v>0.35</v>
      </c>
      <c r="Y62" s="423">
        <v>0.15</v>
      </c>
      <c r="Z62" s="397">
        <f t="shared" si="28"/>
        <v>6.2650000000000006</v>
      </c>
      <c r="AA62" s="3">
        <v>0.15</v>
      </c>
      <c r="AB62" s="3">
        <v>0.1</v>
      </c>
      <c r="AC62" s="161">
        <f t="shared" si="22"/>
        <v>4.158185840707965</v>
      </c>
      <c r="AE62" s="3">
        <v>9.2999999999999999E-2</v>
      </c>
      <c r="AF62" s="161">
        <f t="shared" si="24"/>
        <v>0</v>
      </c>
      <c r="AG62" s="3" t="e">
        <f t="shared" si="29"/>
        <v>#N/A</v>
      </c>
      <c r="AH62" s="395">
        <v>0</v>
      </c>
      <c r="AI62" s="395">
        <v>0.04</v>
      </c>
      <c r="AJ62" s="66" t="e">
        <f t="shared" si="31"/>
        <v>#N/A</v>
      </c>
      <c r="AK62" s="31" t="e">
        <f t="shared" si="16"/>
        <v>#N/A</v>
      </c>
      <c r="AL62" s="66" t="e">
        <f>VLOOKUP($J62,#REF!,12,0)</f>
        <v>#REF!</v>
      </c>
      <c r="AM62" s="68">
        <v>2.7E-2</v>
      </c>
      <c r="AN62" s="31" t="e">
        <f t="shared" si="17"/>
        <v>#N/A</v>
      </c>
      <c r="AO62" s="3" t="e">
        <f t="shared" si="30"/>
        <v>#N/A</v>
      </c>
      <c r="AP62" s="157">
        <v>500</v>
      </c>
      <c r="AQ62" s="157" t="e">
        <f t="shared" si="18"/>
        <v>#N/A</v>
      </c>
      <c r="AR62" s="157" t="e">
        <f t="shared" si="19"/>
        <v>#N/A</v>
      </c>
      <c r="AS62" s="31" t="e">
        <f t="shared" si="20"/>
        <v>#N/A</v>
      </c>
    </row>
    <row r="63" spans="1:45">
      <c r="A63" t="str">
        <f t="shared" si="25"/>
        <v>首航2694-50</v>
      </c>
      <c r="B63" t="str">
        <f t="shared" si="26"/>
        <v>北京朝批2694-50</v>
      </c>
      <c r="C63" t="str">
        <f t="shared" si="27"/>
        <v>北京朝批首航</v>
      </c>
      <c r="D63" s="2" t="s">
        <v>901</v>
      </c>
      <c r="E63" s="2" t="s">
        <v>907</v>
      </c>
      <c r="F63" s="2" t="s">
        <v>793</v>
      </c>
      <c r="G63" t="e">
        <f>VLOOKUP($J63,'mapping-Y26'!#REF!,2,0)</f>
        <v>#REF!</v>
      </c>
      <c r="H63" t="str">
        <f>VLOOKUP($J63,'mapping-Y26'!$F:$L,6,0)</f>
        <v>40P-55gsm</v>
      </c>
      <c r="I63">
        <f>VLOOKUP($J63,'mapping-Y26'!$F:$L,5,0)</f>
        <v>14017864</v>
      </c>
      <c r="J63" t="s">
        <v>559</v>
      </c>
      <c r="K63" t="str">
        <f>VLOOKUP($J63,'mapping-Y26'!$F:$L,4,0)</f>
        <v xml:space="preserve">D269450舒洁湿厕纸家庭装40抽 </v>
      </c>
      <c r="L63" t="e">
        <f>VLOOKUP($J63,'mapping-Y26'!#REF!,4,0)</f>
        <v>#REF!</v>
      </c>
      <c r="M63" t="str">
        <f>VLOOKUP($J63,'mapping-Y26'!$H:$L,2,0)</f>
        <v xml:space="preserve">D269450舒洁湿厕纸家庭装40抽 </v>
      </c>
      <c r="N63" t="e">
        <f>VLOOKUP($J63,'mapping-Y26'!M:N,3,0)</f>
        <v>#N/A</v>
      </c>
      <c r="O63" s="2" t="e">
        <f>VLOOKUP($J63,'mapping-Y26'!$M:$N,5,0)</f>
        <v>#N/A</v>
      </c>
      <c r="P63" s="2" t="e">
        <f>VLOOKUP($J63,'mapping-Y26'!$M:$N,6,0)</f>
        <v>#N/A</v>
      </c>
      <c r="Q63" s="272" t="e">
        <f>VLOOKUP($J63,'mapping-Y26'!$M:$Q,7,0)</f>
        <v>#N/A</v>
      </c>
      <c r="R63" s="31" t="e">
        <f t="shared" si="11"/>
        <v>#N/A</v>
      </c>
      <c r="T63" s="2">
        <v>6.9</v>
      </c>
      <c r="U63" s="2">
        <v>5.9</v>
      </c>
      <c r="V63" s="2">
        <v>5</v>
      </c>
      <c r="W63" s="423">
        <v>0.5</v>
      </c>
      <c r="X63" s="423">
        <v>0.35</v>
      </c>
      <c r="Y63" s="423">
        <v>0.15</v>
      </c>
      <c r="Z63" s="397">
        <f t="shared" si="28"/>
        <v>6.2650000000000006</v>
      </c>
      <c r="AA63" s="3">
        <v>0.15</v>
      </c>
      <c r="AB63" s="3">
        <v>0.1</v>
      </c>
      <c r="AC63" s="161">
        <f t="shared" si="22"/>
        <v>4.158185840707965</v>
      </c>
      <c r="AE63" s="3">
        <v>9.2999999999999999E-2</v>
      </c>
      <c r="AF63" s="161">
        <f t="shared" si="24"/>
        <v>0</v>
      </c>
      <c r="AG63" s="3" t="e">
        <f t="shared" si="29"/>
        <v>#N/A</v>
      </c>
      <c r="AH63" s="395">
        <v>0</v>
      </c>
      <c r="AI63" s="395">
        <v>0.04</v>
      </c>
      <c r="AJ63" s="66" t="e">
        <f t="shared" si="31"/>
        <v>#N/A</v>
      </c>
      <c r="AK63" s="31" t="e">
        <f t="shared" si="16"/>
        <v>#N/A</v>
      </c>
      <c r="AL63" s="66" t="e">
        <f>VLOOKUP($J63,#REF!,12,0)</f>
        <v>#REF!</v>
      </c>
      <c r="AM63" s="68">
        <v>2.7E-2</v>
      </c>
      <c r="AN63" s="31" t="e">
        <f t="shared" si="17"/>
        <v>#N/A</v>
      </c>
      <c r="AO63" s="3" t="e">
        <f t="shared" si="30"/>
        <v>#N/A</v>
      </c>
      <c r="AP63" s="157">
        <v>150</v>
      </c>
      <c r="AQ63" s="157" t="e">
        <f t="shared" si="18"/>
        <v>#N/A</v>
      </c>
      <c r="AR63" s="157" t="e">
        <f t="shared" si="19"/>
        <v>#N/A</v>
      </c>
      <c r="AS63" s="31" t="e">
        <f t="shared" si="20"/>
        <v>#N/A</v>
      </c>
    </row>
    <row r="64" spans="1:45">
      <c r="A64" t="str">
        <f t="shared" si="25"/>
        <v>首航2660-10</v>
      </c>
      <c r="B64" t="str">
        <f t="shared" si="26"/>
        <v>北京朝批2660-10</v>
      </c>
      <c r="C64" t="str">
        <f t="shared" si="27"/>
        <v>北京朝批首航</v>
      </c>
      <c r="D64" s="2" t="s">
        <v>901</v>
      </c>
      <c r="E64" s="2" t="s">
        <v>907</v>
      </c>
      <c r="F64" s="2" t="s">
        <v>793</v>
      </c>
      <c r="G64" t="e">
        <f>VLOOKUP($J64,'mapping-Y26'!#REF!,2,0)</f>
        <v>#REF!</v>
      </c>
      <c r="H64" t="str">
        <f>VLOOKUP($J64,'mapping-Y26'!$F:$L,6,0)</f>
        <v>80P</v>
      </c>
      <c r="I64">
        <f>VLOOKUP($J64,'mapping-Y26'!$F:$L,5,0)</f>
        <v>14017865</v>
      </c>
      <c r="J64" t="s">
        <v>555</v>
      </c>
      <c r="K64" t="str">
        <f>VLOOKUP($J64,'mapping-Y26'!$F:$L,4,0)</f>
        <v xml:space="preserve">266010舒洁湿厕纸80片 </v>
      </c>
      <c r="L64" t="e">
        <f>VLOOKUP($J64,'mapping-Y26'!#REF!,4,0)</f>
        <v>#REF!</v>
      </c>
      <c r="M64" t="str">
        <f>VLOOKUP($J64,'mapping-Y26'!$H:$L,2,0)</f>
        <v xml:space="preserve">266010舒洁湿厕纸80片 </v>
      </c>
      <c r="N64" t="e">
        <f>VLOOKUP($J64,'mapping-Y26'!M:N,3,0)</f>
        <v>#N/A</v>
      </c>
      <c r="O64" s="2" t="e">
        <f>VLOOKUP($J64,'mapping-Y26'!$M:$N,5,0)</f>
        <v>#N/A</v>
      </c>
      <c r="P64" s="2" t="e">
        <f>VLOOKUP($J64,'mapping-Y26'!$M:$N,6,0)</f>
        <v>#N/A</v>
      </c>
      <c r="Q64" s="272" t="e">
        <f>VLOOKUP($J64,'mapping-Y26'!$M:$Q,7,0)</f>
        <v>#N/A</v>
      </c>
      <c r="R64" s="31" t="e">
        <f t="shared" si="11"/>
        <v>#N/A</v>
      </c>
      <c r="T64" s="2">
        <v>9.9</v>
      </c>
      <c r="U64" s="2">
        <v>8.9</v>
      </c>
      <c r="V64" s="2">
        <v>8.9</v>
      </c>
      <c r="W64" s="423">
        <v>0.6</v>
      </c>
      <c r="X64" s="423">
        <v>0.4</v>
      </c>
      <c r="Y64" s="423">
        <v>0</v>
      </c>
      <c r="Z64" s="397">
        <f t="shared" si="28"/>
        <v>9.5</v>
      </c>
      <c r="AA64" s="3">
        <v>0.15</v>
      </c>
      <c r="AB64" s="3">
        <v>0.1</v>
      </c>
      <c r="AC64" s="161">
        <f t="shared" si="22"/>
        <v>6.3053097345132754</v>
      </c>
      <c r="AE64" s="3">
        <v>9.2999999999999999E-2</v>
      </c>
      <c r="AF64" s="161">
        <f t="shared" si="24"/>
        <v>0</v>
      </c>
      <c r="AG64" s="3" t="e">
        <f t="shared" si="29"/>
        <v>#N/A</v>
      </c>
      <c r="AH64" s="395">
        <v>0</v>
      </c>
      <c r="AI64" s="395">
        <v>0.04</v>
      </c>
      <c r="AJ64" s="66" t="e">
        <f t="shared" si="31"/>
        <v>#N/A</v>
      </c>
      <c r="AK64" s="31" t="e">
        <f t="shared" si="16"/>
        <v>#N/A</v>
      </c>
      <c r="AL64" s="66" t="e">
        <f>VLOOKUP($J64,#REF!,12,0)</f>
        <v>#REF!</v>
      </c>
      <c r="AM64" s="68">
        <v>2.7E-2</v>
      </c>
      <c r="AN64" s="31" t="e">
        <f t="shared" si="17"/>
        <v>#N/A</v>
      </c>
      <c r="AO64" s="3" t="e">
        <f t="shared" si="30"/>
        <v>#N/A</v>
      </c>
      <c r="AP64" s="157">
        <v>200</v>
      </c>
      <c r="AQ64" s="157" t="e">
        <f t="shared" si="18"/>
        <v>#N/A</v>
      </c>
      <c r="AR64" s="157" t="e">
        <f t="shared" si="19"/>
        <v>#N/A</v>
      </c>
      <c r="AS64" s="31" t="e">
        <f t="shared" si="20"/>
        <v>#N/A</v>
      </c>
    </row>
    <row r="65" spans="1:45">
      <c r="A65" t="str">
        <f t="shared" si="25"/>
        <v>全家2694-50</v>
      </c>
      <c r="B65" t="str">
        <f t="shared" si="26"/>
        <v>北京朝批2694-50</v>
      </c>
      <c r="C65" t="str">
        <f t="shared" si="27"/>
        <v>北京朝批全家</v>
      </c>
      <c r="D65" s="2" t="s">
        <v>901</v>
      </c>
      <c r="E65" s="2" t="s">
        <v>907</v>
      </c>
      <c r="F65" s="2" t="s">
        <v>791</v>
      </c>
      <c r="G65" t="e">
        <f>VLOOKUP($J65,'mapping-Y26'!#REF!,2,0)</f>
        <v>#REF!</v>
      </c>
      <c r="H65" t="str">
        <f>VLOOKUP($J65,'mapping-Y26'!$F:$L,6,0)</f>
        <v>40P-55gsm</v>
      </c>
      <c r="I65">
        <f>VLOOKUP($J65,'mapping-Y26'!$F:$L,5,0)</f>
        <v>14017864</v>
      </c>
      <c r="J65" t="s">
        <v>559</v>
      </c>
      <c r="K65" t="str">
        <f>VLOOKUP($J65,'mapping-Y26'!$F:$L,4,0)</f>
        <v xml:space="preserve">D269450舒洁湿厕纸家庭装40抽 </v>
      </c>
      <c r="L65" t="e">
        <f>VLOOKUP($J65,'mapping-Y26'!#REF!,4,0)</f>
        <v>#REF!</v>
      </c>
      <c r="M65" t="str">
        <f>VLOOKUP($J65,'mapping-Y26'!$H:$L,2,0)</f>
        <v xml:space="preserve">D269450舒洁湿厕纸家庭装40抽 </v>
      </c>
      <c r="N65" t="e">
        <f>VLOOKUP($J65,'mapping-Y26'!M:N,3,0)</f>
        <v>#N/A</v>
      </c>
      <c r="O65" s="2" t="e">
        <f>VLOOKUP($J65,'mapping-Y26'!$M:$N,5,0)</f>
        <v>#N/A</v>
      </c>
      <c r="P65" s="2" t="e">
        <f>VLOOKUP($J65,'mapping-Y26'!$M:$N,6,0)</f>
        <v>#N/A</v>
      </c>
      <c r="Q65" s="272" t="e">
        <f>VLOOKUP($J65,'mapping-Y26'!$M:$Q,7,0)</f>
        <v>#N/A</v>
      </c>
      <c r="R65" s="31" t="e">
        <f t="shared" si="11"/>
        <v>#N/A</v>
      </c>
      <c r="T65" s="2">
        <v>11.925000000000001</v>
      </c>
      <c r="U65" s="2">
        <v>8.4499999999999993</v>
      </c>
      <c r="V65" s="2">
        <v>8.4499999999999993</v>
      </c>
      <c r="W65" s="423">
        <v>0.5</v>
      </c>
      <c r="X65" s="423">
        <v>0.5</v>
      </c>
      <c r="Y65" s="423">
        <v>0</v>
      </c>
      <c r="Z65" s="397">
        <f t="shared" si="28"/>
        <v>10.1875</v>
      </c>
      <c r="AA65" s="3">
        <v>0.36699999999999999</v>
      </c>
      <c r="AB65" s="3">
        <v>7.0000000000000007E-2</v>
      </c>
      <c r="AC65" s="161">
        <f t="shared" si="22"/>
        <v>5.0757190265486729</v>
      </c>
      <c r="AE65" s="3">
        <v>9.2999999999999999E-2</v>
      </c>
      <c r="AF65" s="161">
        <f t="shared" si="24"/>
        <v>0</v>
      </c>
      <c r="AG65" s="3" t="e">
        <f t="shared" si="29"/>
        <v>#N/A</v>
      </c>
      <c r="AH65" s="395">
        <v>0</v>
      </c>
      <c r="AI65" s="395">
        <v>0.04</v>
      </c>
      <c r="AJ65" s="66" t="e">
        <f t="shared" si="31"/>
        <v>#N/A</v>
      </c>
      <c r="AK65" s="31" t="e">
        <f t="shared" ref="AK65:AK96" si="32">R65*(1-AJ65)</f>
        <v>#N/A</v>
      </c>
      <c r="AL65" s="66" t="e">
        <f>VLOOKUP($J65,#REF!,12,0)</f>
        <v>#REF!</v>
      </c>
      <c r="AM65" s="68">
        <v>2.7E-2</v>
      </c>
      <c r="AN65" s="31" t="e">
        <f t="shared" ref="AN65:AN96" si="33">AK65-R65*(AL65+AM65)</f>
        <v>#N/A</v>
      </c>
      <c r="AO65" s="3" t="e">
        <f t="shared" si="30"/>
        <v>#N/A</v>
      </c>
      <c r="AP65" s="157">
        <v>300</v>
      </c>
      <c r="AQ65" s="157" t="e">
        <f t="shared" ref="AQ65:AQ96" si="34">O65*AK65*AP65</f>
        <v>#N/A</v>
      </c>
      <c r="AR65" s="157" t="e">
        <f t="shared" ref="AR65:AR96" si="35">AP65*AN65*O65</f>
        <v>#N/A</v>
      </c>
      <c r="AS65" s="31" t="e">
        <f t="shared" ref="AS65:AS96" si="36">AP65*Q65</f>
        <v>#N/A</v>
      </c>
    </row>
    <row r="66" spans="1:45">
      <c r="A66" t="str">
        <f t="shared" si="25"/>
        <v>朝批others2694-50</v>
      </c>
      <c r="B66" t="str">
        <f t="shared" si="26"/>
        <v>北京朝批2694-50</v>
      </c>
      <c r="C66" t="str">
        <f t="shared" si="27"/>
        <v>北京朝批朝批others</v>
      </c>
      <c r="D66" s="2" t="s">
        <v>901</v>
      </c>
      <c r="E66" s="2" t="s">
        <v>907</v>
      </c>
      <c r="F66" s="2" t="s">
        <v>904</v>
      </c>
      <c r="G66" t="e">
        <f>VLOOKUP($J66,'mapping-Y26'!#REF!,2,0)</f>
        <v>#REF!</v>
      </c>
      <c r="H66" t="str">
        <f>VLOOKUP($J66,'mapping-Y26'!$F:$L,6,0)</f>
        <v>40P-55gsm</v>
      </c>
      <c r="I66">
        <f>VLOOKUP($J66,'mapping-Y26'!$F:$L,5,0)</f>
        <v>14017864</v>
      </c>
      <c r="J66" t="s">
        <v>559</v>
      </c>
      <c r="K66" t="str">
        <f>VLOOKUP($J66,'mapping-Y26'!$F:$L,4,0)</f>
        <v xml:space="preserve">D269450舒洁湿厕纸家庭装40抽 </v>
      </c>
      <c r="L66" t="e">
        <f>VLOOKUP($J66,'mapping-Y26'!#REF!,4,0)</f>
        <v>#REF!</v>
      </c>
      <c r="M66" t="str">
        <f>VLOOKUP($J66,'mapping-Y26'!$H:$L,2,0)</f>
        <v xml:space="preserve">D269450舒洁湿厕纸家庭装40抽 </v>
      </c>
      <c r="N66" t="e">
        <f>VLOOKUP($J66,'mapping-Y26'!M:N,3,0)</f>
        <v>#N/A</v>
      </c>
      <c r="O66" s="2" t="e">
        <f>VLOOKUP($J66,'mapping-Y26'!$M:$N,5,0)</f>
        <v>#N/A</v>
      </c>
      <c r="P66" s="2" t="e">
        <f>VLOOKUP($J66,'mapping-Y26'!$M:$N,6,0)</f>
        <v>#N/A</v>
      </c>
      <c r="Q66" s="272" t="e">
        <f>VLOOKUP($J66,'mapping-Y26'!$M:$Q,7,0)</f>
        <v>#N/A</v>
      </c>
      <c r="R66" s="31" t="e">
        <f t="shared" si="11"/>
        <v>#N/A</v>
      </c>
      <c r="U66" s="2">
        <v>6.9</v>
      </c>
      <c r="V66" s="2">
        <v>5.9</v>
      </c>
      <c r="W66" s="423"/>
      <c r="X66" s="423">
        <v>0.6</v>
      </c>
      <c r="Y66" s="423">
        <v>0.4</v>
      </c>
      <c r="Z66" s="397">
        <f t="shared" si="28"/>
        <v>6.5</v>
      </c>
      <c r="AA66" s="3">
        <v>0.15</v>
      </c>
      <c r="AB66" s="3">
        <v>0.05</v>
      </c>
      <c r="AC66" s="161">
        <f t="shared" si="22"/>
        <v>4.6017699115044248</v>
      </c>
      <c r="AE66" s="3">
        <v>9.2999999999999999E-2</v>
      </c>
      <c r="AF66" s="161">
        <f t="shared" si="24"/>
        <v>0</v>
      </c>
      <c r="AG66" s="3" t="e">
        <f t="shared" si="29"/>
        <v>#N/A</v>
      </c>
      <c r="AH66" s="395">
        <v>0</v>
      </c>
      <c r="AI66" s="395">
        <v>0.04</v>
      </c>
      <c r="AJ66" s="66" t="e">
        <f t="shared" si="31"/>
        <v>#N/A</v>
      </c>
      <c r="AK66" s="31" t="e">
        <f t="shared" si="32"/>
        <v>#N/A</v>
      </c>
      <c r="AL66" s="66" t="e">
        <f>VLOOKUP($J66,#REF!,12,0)</f>
        <v>#REF!</v>
      </c>
      <c r="AM66" s="68">
        <v>2.7E-2</v>
      </c>
      <c r="AN66" s="31" t="e">
        <f t="shared" si="33"/>
        <v>#N/A</v>
      </c>
      <c r="AO66" s="3" t="e">
        <f t="shared" si="30"/>
        <v>#N/A</v>
      </c>
      <c r="AP66" s="157">
        <v>300</v>
      </c>
      <c r="AQ66" s="157" t="e">
        <f t="shared" si="34"/>
        <v>#N/A</v>
      </c>
      <c r="AR66" s="157" t="e">
        <f t="shared" si="35"/>
        <v>#N/A</v>
      </c>
      <c r="AS66" s="31" t="e">
        <f t="shared" si="36"/>
        <v>#N/A</v>
      </c>
    </row>
    <row r="67" spans="1:45">
      <c r="A67" t="str">
        <f t="shared" si="25"/>
        <v>朝批others2701-90</v>
      </c>
      <c r="B67" t="str">
        <f t="shared" si="26"/>
        <v>北京朝批2701-90</v>
      </c>
      <c r="C67" t="str">
        <f t="shared" si="27"/>
        <v>北京朝批朝批others</v>
      </c>
      <c r="D67" s="2" t="s">
        <v>901</v>
      </c>
      <c r="E67" s="2" t="s">
        <v>907</v>
      </c>
      <c r="F67" s="2" t="s">
        <v>904</v>
      </c>
      <c r="G67" t="e">
        <f>VLOOKUP($J67,'mapping-Y26'!#REF!,2,0)</f>
        <v>#REF!</v>
      </c>
      <c r="I67">
        <f>VLOOKUP($J67,'mapping-Y26'!$F:$L,5,0)</f>
        <v>14016871</v>
      </c>
      <c r="J67" t="s">
        <v>227</v>
      </c>
      <c r="K67" t="str">
        <f>VLOOKUP($J67,'mapping-Y26'!$F:$L,4,0)</f>
        <v>270190舒洁小熊印花手帕纸3层10包FSC mix70%</v>
      </c>
      <c r="L67" t="e">
        <f>VLOOKUP($J67,'mapping-Y26'!#REF!,4,0)</f>
        <v>#REF!</v>
      </c>
      <c r="M67" t="str">
        <f>VLOOKUP($J67,'mapping-Y26'!$H:$L,2,0)</f>
        <v>270190舒洁小熊印花手帕纸3层10包FSC mix70%</v>
      </c>
      <c r="N67" t="e">
        <f>VLOOKUP($J67,'mapping-Y26'!M:N,3,0)</f>
        <v>#N/A</v>
      </c>
      <c r="O67" s="2" t="e">
        <f>VLOOKUP($J67,'mapping-Y26'!$M:$N,5,0)</f>
        <v>#N/A</v>
      </c>
      <c r="P67" s="2" t="e">
        <f>VLOOKUP($J67,'mapping-Y26'!$M:$N,6,0)</f>
        <v>#N/A</v>
      </c>
      <c r="Q67" s="272" t="e">
        <f>VLOOKUP($J67,'mapping-Y26'!$M:$Q,7,0)</f>
        <v>#N/A</v>
      </c>
      <c r="R67" s="31" t="e">
        <f t="shared" si="11"/>
        <v>#N/A</v>
      </c>
      <c r="U67" s="2">
        <v>6.9</v>
      </c>
      <c r="V67" s="2">
        <v>5.9</v>
      </c>
      <c r="W67" s="423"/>
      <c r="X67" s="423">
        <v>0.7</v>
      </c>
      <c r="Y67" s="423">
        <v>0.3</v>
      </c>
      <c r="Z67" s="397">
        <f t="shared" si="28"/>
        <v>6.6</v>
      </c>
      <c r="AA67" s="3">
        <v>0.15</v>
      </c>
      <c r="AB67" s="3">
        <v>0.05</v>
      </c>
      <c r="AC67" s="161">
        <f t="shared" si="22"/>
        <v>4.6725663716814161</v>
      </c>
      <c r="AE67" s="3">
        <v>9.2999999999999999E-2</v>
      </c>
      <c r="AF67" s="161">
        <f t="shared" si="24"/>
        <v>0</v>
      </c>
      <c r="AG67" s="3" t="e">
        <f t="shared" si="29"/>
        <v>#N/A</v>
      </c>
      <c r="AH67" s="395">
        <v>0</v>
      </c>
      <c r="AI67" s="395">
        <v>0.04</v>
      </c>
      <c r="AJ67" s="66" t="e">
        <f t="shared" si="31"/>
        <v>#N/A</v>
      </c>
      <c r="AK67" s="31" t="e">
        <f t="shared" si="32"/>
        <v>#N/A</v>
      </c>
      <c r="AL67" s="66" t="e">
        <f>VLOOKUP($J67,#REF!,12,0)</f>
        <v>#REF!</v>
      </c>
      <c r="AM67" s="68">
        <v>2.7E-2</v>
      </c>
      <c r="AN67" s="31" t="e">
        <f t="shared" si="33"/>
        <v>#N/A</v>
      </c>
      <c r="AO67" s="3" t="e">
        <f t="shared" si="30"/>
        <v>#N/A</v>
      </c>
      <c r="AP67" s="157">
        <v>180</v>
      </c>
      <c r="AQ67" s="157" t="e">
        <f t="shared" si="34"/>
        <v>#N/A</v>
      </c>
      <c r="AR67" s="157" t="e">
        <f t="shared" si="35"/>
        <v>#N/A</v>
      </c>
      <c r="AS67" s="31" t="e">
        <f t="shared" si="36"/>
        <v>#N/A</v>
      </c>
    </row>
    <row r="68" spans="1:45">
      <c r="A68" t="str">
        <f t="shared" si="25"/>
        <v>朝批others2660-10</v>
      </c>
      <c r="B68" t="str">
        <f t="shared" si="26"/>
        <v>北京朝批2660-10</v>
      </c>
      <c r="C68" t="str">
        <f t="shared" si="27"/>
        <v>北京朝批朝批others</v>
      </c>
      <c r="D68" s="2" t="s">
        <v>901</v>
      </c>
      <c r="E68" s="2" t="s">
        <v>907</v>
      </c>
      <c r="F68" s="2" t="s">
        <v>904</v>
      </c>
      <c r="G68" t="e">
        <f>VLOOKUP($J68,'mapping-Y26'!#REF!,2,0)</f>
        <v>#REF!</v>
      </c>
      <c r="H68" t="str">
        <f>VLOOKUP($J68,'mapping-Y26'!$F:$L,6,0)</f>
        <v>80P</v>
      </c>
      <c r="I68">
        <f>VLOOKUP($J68,'mapping-Y26'!$F:$L,5,0)</f>
        <v>14017865</v>
      </c>
      <c r="J68" t="s">
        <v>555</v>
      </c>
      <c r="K68" t="str">
        <f>VLOOKUP($J68,'mapping-Y26'!$F:$L,4,0)</f>
        <v xml:space="preserve">266010舒洁湿厕纸80片 </v>
      </c>
      <c r="L68" t="e">
        <f>VLOOKUP($J68,'mapping-Y26'!#REF!,4,0)</f>
        <v>#REF!</v>
      </c>
      <c r="M68" t="str">
        <f>VLOOKUP($J68,'mapping-Y26'!$H:$L,2,0)</f>
        <v xml:space="preserve">266010舒洁湿厕纸80片 </v>
      </c>
      <c r="N68" t="e">
        <f>VLOOKUP($J68,'mapping-Y26'!M:N,3,0)</f>
        <v>#N/A</v>
      </c>
      <c r="O68" s="2" t="e">
        <f>VLOOKUP($J68,'mapping-Y26'!$M:$N,5,0)</f>
        <v>#N/A</v>
      </c>
      <c r="P68" s="2" t="e">
        <f>VLOOKUP($J68,'mapping-Y26'!$M:$N,6,0)</f>
        <v>#N/A</v>
      </c>
      <c r="Q68" s="272" t="e">
        <f>VLOOKUP($J68,'mapping-Y26'!$M:$Q,7,0)</f>
        <v>#N/A</v>
      </c>
      <c r="R68" s="31" t="e">
        <f t="shared" si="11"/>
        <v>#N/A</v>
      </c>
      <c r="T68" s="2">
        <v>12.9</v>
      </c>
      <c r="U68" s="2">
        <v>9.9</v>
      </c>
      <c r="V68" s="2">
        <v>8.9</v>
      </c>
      <c r="W68" s="423">
        <v>0.1</v>
      </c>
      <c r="X68" s="423">
        <v>0.6</v>
      </c>
      <c r="Y68" s="423">
        <v>0.3</v>
      </c>
      <c r="Z68" s="397">
        <f t="shared" si="28"/>
        <v>9.9</v>
      </c>
      <c r="AA68" s="3">
        <v>0.15</v>
      </c>
      <c r="AB68" s="3">
        <v>0.05</v>
      </c>
      <c r="AC68" s="161">
        <f t="shared" si="22"/>
        <v>7.0088495575221241</v>
      </c>
      <c r="AE68" s="3">
        <v>9.2999999999999999E-2</v>
      </c>
      <c r="AF68" s="161">
        <f t="shared" si="24"/>
        <v>0</v>
      </c>
      <c r="AG68" s="3" t="e">
        <f t="shared" si="29"/>
        <v>#N/A</v>
      </c>
      <c r="AH68" s="395">
        <v>0</v>
      </c>
      <c r="AI68" s="395">
        <v>0.04</v>
      </c>
      <c r="AJ68" s="66" t="e">
        <f t="shared" si="31"/>
        <v>#N/A</v>
      </c>
      <c r="AK68" s="31" t="e">
        <f t="shared" si="32"/>
        <v>#N/A</v>
      </c>
      <c r="AL68" s="66" t="e">
        <f>VLOOKUP($J68,#REF!,12,0)</f>
        <v>#REF!</v>
      </c>
      <c r="AM68" s="68">
        <v>2.7E-2</v>
      </c>
      <c r="AN68" s="31" t="e">
        <f t="shared" si="33"/>
        <v>#N/A</v>
      </c>
      <c r="AO68" s="3" t="e">
        <f t="shared" si="30"/>
        <v>#N/A</v>
      </c>
      <c r="AP68" s="157">
        <v>120</v>
      </c>
      <c r="AQ68" s="157" t="e">
        <f t="shared" si="34"/>
        <v>#N/A</v>
      </c>
      <c r="AR68" s="157" t="e">
        <f t="shared" si="35"/>
        <v>#N/A</v>
      </c>
      <c r="AS68" s="31" t="e">
        <f t="shared" si="36"/>
        <v>#N/A</v>
      </c>
    </row>
    <row r="69" spans="1:45">
      <c r="A69" t="str">
        <f t="shared" si="25"/>
        <v>朝批others2107-61</v>
      </c>
      <c r="B69" t="str">
        <f t="shared" si="26"/>
        <v>北京朝批2107-61</v>
      </c>
      <c r="C69" t="str">
        <f t="shared" si="27"/>
        <v>北京朝批朝批others</v>
      </c>
      <c r="D69" s="2" t="s">
        <v>901</v>
      </c>
      <c r="E69" s="2" t="s">
        <v>907</v>
      </c>
      <c r="F69" s="2" t="s">
        <v>904</v>
      </c>
      <c r="G69" t="e">
        <f>VLOOKUP($J69,'mapping-Y26'!#REF!,2,0)</f>
        <v>#REF!</v>
      </c>
      <c r="I69">
        <f>VLOOKUP($J69,'mapping-Y26'!$F:$L,5,0)</f>
        <v>14014470</v>
      </c>
      <c r="J69" t="s">
        <v>187</v>
      </c>
      <c r="K69" t="str">
        <f>VLOOKUP($J69,'mapping-Y26'!$F:$L,4,0)</f>
        <v>210761舒洁卡通系列抽纸200抽3包 FSC mix70%</v>
      </c>
      <c r="L69" t="e">
        <f>VLOOKUP($J69,'mapping-Y26'!#REF!,4,0)</f>
        <v>#REF!</v>
      </c>
      <c r="M69" t="str">
        <f>VLOOKUP($J69,'mapping-Y26'!$H:$L,2,0)</f>
        <v>210761舒洁卡通系列抽纸200抽3包 FSC mix70%</v>
      </c>
      <c r="N69" t="e">
        <f>VLOOKUP($J69,'mapping-Y26'!M:N,3,0)</f>
        <v>#N/A</v>
      </c>
      <c r="O69" s="2" t="e">
        <f>VLOOKUP($J69,'mapping-Y26'!$M:$N,5,0)</f>
        <v>#N/A</v>
      </c>
      <c r="P69" s="2" t="e">
        <f>VLOOKUP($J69,'mapping-Y26'!$M:$N,6,0)</f>
        <v>#N/A</v>
      </c>
      <c r="Q69" s="272" t="e">
        <f>VLOOKUP($J69,'mapping-Y26'!$M:$Q,7,0)</f>
        <v>#N/A</v>
      </c>
      <c r="R69" s="31" t="e">
        <f t="shared" ref="R69:R103" si="37">Q69/O69</f>
        <v>#N/A</v>
      </c>
      <c r="T69" s="2">
        <v>21.9</v>
      </c>
      <c r="U69" s="2">
        <v>19.899999999999999</v>
      </c>
      <c r="V69" s="2">
        <v>17.899999999999999</v>
      </c>
      <c r="W69" s="423">
        <v>0.1</v>
      </c>
      <c r="X69" s="423">
        <v>0.5</v>
      </c>
      <c r="Y69" s="423">
        <v>0.4</v>
      </c>
      <c r="Z69" s="397">
        <f t="shared" si="28"/>
        <v>19.299999999999997</v>
      </c>
      <c r="AA69" s="3">
        <v>0.15</v>
      </c>
      <c r="AB69" s="3">
        <v>0.05</v>
      </c>
      <c r="AC69" s="161">
        <f t="shared" si="22"/>
        <v>13.66371681415929</v>
      </c>
      <c r="AE69" s="3">
        <v>9.2999999999999999E-2</v>
      </c>
      <c r="AF69" s="161">
        <f t="shared" si="24"/>
        <v>0</v>
      </c>
      <c r="AG69" s="3" t="e">
        <f t="shared" si="29"/>
        <v>#N/A</v>
      </c>
      <c r="AH69" s="395">
        <v>0</v>
      </c>
      <c r="AI69" s="395">
        <v>0.04</v>
      </c>
      <c r="AJ69" s="66" t="e">
        <f t="shared" si="31"/>
        <v>#N/A</v>
      </c>
      <c r="AK69" s="31" t="e">
        <f t="shared" si="32"/>
        <v>#N/A</v>
      </c>
      <c r="AL69" s="66" t="e">
        <f>VLOOKUP($J69,#REF!,12,0)</f>
        <v>#REF!</v>
      </c>
      <c r="AM69" s="68">
        <v>2.7E-2</v>
      </c>
      <c r="AN69" s="31" t="e">
        <f t="shared" si="33"/>
        <v>#N/A</v>
      </c>
      <c r="AO69" s="3" t="e">
        <f t="shared" si="30"/>
        <v>#N/A</v>
      </c>
      <c r="AP69" s="157">
        <v>80</v>
      </c>
      <c r="AQ69" s="157" t="e">
        <f t="shared" si="34"/>
        <v>#N/A</v>
      </c>
      <c r="AR69" s="157" t="e">
        <f t="shared" si="35"/>
        <v>#N/A</v>
      </c>
      <c r="AS69" s="31" t="e">
        <f t="shared" si="36"/>
        <v>#N/A</v>
      </c>
    </row>
    <row r="70" spans="1:45">
      <c r="A70" t="str">
        <f t="shared" si="25"/>
        <v>7112694-50</v>
      </c>
      <c r="B70" t="str">
        <f t="shared" si="26"/>
        <v>北京宝诚恒信2694-50</v>
      </c>
      <c r="C70" t="str">
        <f t="shared" si="27"/>
        <v>北京宝诚恒信711</v>
      </c>
      <c r="D70" s="2" t="s">
        <v>901</v>
      </c>
      <c r="E70" s="2" t="s">
        <v>814</v>
      </c>
      <c r="F70" s="2">
        <v>711</v>
      </c>
      <c r="G70" t="e">
        <f>VLOOKUP($J70,'mapping-Y26'!#REF!,2,0)</f>
        <v>#REF!</v>
      </c>
      <c r="H70" t="str">
        <f>VLOOKUP($J70,'mapping-Y26'!$F:$L,6,0)</f>
        <v>40P-55gsm</v>
      </c>
      <c r="I70">
        <f>VLOOKUP($J70,'mapping-Y26'!$F:$L,5,0)</f>
        <v>14017864</v>
      </c>
      <c r="J70" t="s">
        <v>559</v>
      </c>
      <c r="K70" t="str">
        <f>VLOOKUP($J70,'mapping-Y26'!$F:$L,4,0)</f>
        <v xml:space="preserve">D269450舒洁湿厕纸家庭装40抽 </v>
      </c>
      <c r="L70" t="e">
        <f>VLOOKUP($J70,'mapping-Y26'!#REF!,4,0)</f>
        <v>#REF!</v>
      </c>
      <c r="M70" t="str">
        <f>VLOOKUP($J70,'mapping-Y26'!$H:$L,2,0)</f>
        <v xml:space="preserve">D269450舒洁湿厕纸家庭装40抽 </v>
      </c>
      <c r="N70" t="e">
        <f>VLOOKUP($J70,'mapping-Y26'!M:N,3,0)</f>
        <v>#N/A</v>
      </c>
      <c r="O70" s="2" t="e">
        <f>VLOOKUP($J70,'mapping-Y26'!$M:$N,5,0)</f>
        <v>#N/A</v>
      </c>
      <c r="P70" s="2" t="e">
        <f>VLOOKUP($J70,'mapping-Y26'!$M:$N,6,0)</f>
        <v>#N/A</v>
      </c>
      <c r="Q70" s="272" t="e">
        <f>VLOOKUP($J70,'mapping-Y26'!$M:$Q,7,0)</f>
        <v>#N/A</v>
      </c>
      <c r="R70" s="31" t="e">
        <f t="shared" si="37"/>
        <v>#N/A</v>
      </c>
      <c r="T70" s="2">
        <v>9.4499999999999993</v>
      </c>
      <c r="U70" s="2">
        <v>7.25</v>
      </c>
      <c r="V70" s="2">
        <v>7.25</v>
      </c>
      <c r="W70" s="423">
        <v>0.8</v>
      </c>
      <c r="X70" s="423">
        <v>0.2</v>
      </c>
      <c r="Y70" s="423"/>
      <c r="Z70" s="397">
        <f t="shared" si="28"/>
        <v>9.01</v>
      </c>
      <c r="AA70" s="3">
        <v>0.4</v>
      </c>
      <c r="AB70" s="3">
        <v>4.5199999999999997E-2</v>
      </c>
      <c r="AC70" s="161">
        <f t="shared" si="22"/>
        <v>4.4236707964601765</v>
      </c>
      <c r="AE70" s="3">
        <v>0.23200000000000001</v>
      </c>
      <c r="AF70" s="161">
        <f t="shared" si="24"/>
        <v>0</v>
      </c>
      <c r="AG70" s="3" t="e">
        <f t="shared" si="29"/>
        <v>#N/A</v>
      </c>
      <c r="AH70" s="395">
        <v>0</v>
      </c>
      <c r="AI70" s="395">
        <v>0.04</v>
      </c>
      <c r="AJ70" s="66" t="e">
        <f t="shared" si="31"/>
        <v>#N/A</v>
      </c>
      <c r="AK70" s="31" t="e">
        <f t="shared" si="32"/>
        <v>#N/A</v>
      </c>
      <c r="AL70" s="66" t="e">
        <f>VLOOKUP($J70,#REF!,12,0)</f>
        <v>#REF!</v>
      </c>
      <c r="AM70" s="68">
        <v>2.7E-2</v>
      </c>
      <c r="AN70" s="31" t="e">
        <f t="shared" si="33"/>
        <v>#N/A</v>
      </c>
      <c r="AO70" s="3" t="e">
        <f t="shared" si="30"/>
        <v>#N/A</v>
      </c>
      <c r="AP70" s="157">
        <v>1100</v>
      </c>
      <c r="AQ70" s="157" t="e">
        <f t="shared" si="34"/>
        <v>#N/A</v>
      </c>
      <c r="AR70" s="157" t="e">
        <f t="shared" si="35"/>
        <v>#N/A</v>
      </c>
      <c r="AS70" s="31" t="e">
        <f t="shared" si="36"/>
        <v>#N/A</v>
      </c>
    </row>
    <row r="71" spans="1:45">
      <c r="A71" t="str">
        <f t="shared" si="25"/>
        <v>罗森2694-50</v>
      </c>
      <c r="B71" t="str">
        <f t="shared" si="26"/>
        <v>北京宝诚恒信2694-50</v>
      </c>
      <c r="C71" t="str">
        <f t="shared" si="27"/>
        <v>北京宝诚恒信罗森</v>
      </c>
      <c r="D71" s="2" t="s">
        <v>901</v>
      </c>
      <c r="E71" s="2" t="s">
        <v>814</v>
      </c>
      <c r="F71" s="2" t="s">
        <v>792</v>
      </c>
      <c r="G71" t="e">
        <f>VLOOKUP($J71,'mapping-Y26'!#REF!,2,0)</f>
        <v>#REF!</v>
      </c>
      <c r="H71" t="str">
        <f>VLOOKUP($J71,'mapping-Y26'!$F:$L,6,0)</f>
        <v>40P-55gsm</v>
      </c>
      <c r="I71">
        <f>VLOOKUP($J71,'mapping-Y26'!$F:$L,5,0)</f>
        <v>14017864</v>
      </c>
      <c r="J71" t="s">
        <v>559</v>
      </c>
      <c r="K71" t="str">
        <f>VLOOKUP($J71,'mapping-Y26'!$F:$L,4,0)</f>
        <v xml:space="preserve">D269450舒洁湿厕纸家庭装40抽 </v>
      </c>
      <c r="L71" t="e">
        <f>VLOOKUP($J71,'mapping-Y26'!#REF!,4,0)</f>
        <v>#REF!</v>
      </c>
      <c r="M71" t="str">
        <f>VLOOKUP($J71,'mapping-Y26'!$H:$L,2,0)</f>
        <v xml:space="preserve">D269450舒洁湿厕纸家庭装40抽 </v>
      </c>
      <c r="N71" t="e">
        <f>VLOOKUP($J71,'mapping-Y26'!M:N,3,0)</f>
        <v>#N/A</v>
      </c>
      <c r="O71" s="2" t="e">
        <f>VLOOKUP($J71,'mapping-Y26'!$M:$N,5,0)</f>
        <v>#N/A</v>
      </c>
      <c r="P71" s="2" t="e">
        <f>VLOOKUP($J71,'mapping-Y26'!$M:$N,6,0)</f>
        <v>#N/A</v>
      </c>
      <c r="Q71" s="272" t="e">
        <f>VLOOKUP($J71,'mapping-Y26'!$M:$Q,7,0)</f>
        <v>#N/A</v>
      </c>
      <c r="R71" s="31" t="e">
        <f t="shared" si="37"/>
        <v>#N/A</v>
      </c>
      <c r="T71" s="2">
        <v>11.92</v>
      </c>
      <c r="U71" s="2">
        <v>8.4499999999999993</v>
      </c>
      <c r="V71" s="2">
        <v>8.4499999999999993</v>
      </c>
      <c r="W71" s="423">
        <v>0.5</v>
      </c>
      <c r="X71" s="423">
        <v>0.5</v>
      </c>
      <c r="Y71" s="423">
        <v>0</v>
      </c>
      <c r="Z71" s="397">
        <f t="shared" si="28"/>
        <v>10.184999999999999</v>
      </c>
      <c r="AA71" s="3">
        <v>0.34200000000000003</v>
      </c>
      <c r="AB71" s="3">
        <v>7.4999999999999997E-2</v>
      </c>
      <c r="AC71" s="161">
        <f t="shared" si="22"/>
        <v>5.2547389380530971</v>
      </c>
      <c r="AE71" s="3">
        <v>0.185</v>
      </c>
      <c r="AF71" s="161">
        <f t="shared" si="24"/>
        <v>0</v>
      </c>
      <c r="AG71" s="3" t="e">
        <f t="shared" si="29"/>
        <v>#N/A</v>
      </c>
      <c r="AH71" s="395">
        <v>0</v>
      </c>
      <c r="AI71" s="395">
        <v>0.04</v>
      </c>
      <c r="AJ71" s="66" t="e">
        <f t="shared" si="31"/>
        <v>#N/A</v>
      </c>
      <c r="AK71" s="31" t="e">
        <f t="shared" si="32"/>
        <v>#N/A</v>
      </c>
      <c r="AL71" s="66" t="e">
        <f>VLOOKUP($J71,#REF!,12,0)</f>
        <v>#REF!</v>
      </c>
      <c r="AM71" s="68">
        <v>2.7E-2</v>
      </c>
      <c r="AN71" s="31" t="e">
        <f t="shared" si="33"/>
        <v>#N/A</v>
      </c>
      <c r="AO71" s="3" t="e">
        <f t="shared" si="30"/>
        <v>#N/A</v>
      </c>
      <c r="AP71" s="157">
        <v>1100</v>
      </c>
      <c r="AQ71" s="157" t="e">
        <f t="shared" si="34"/>
        <v>#N/A</v>
      </c>
      <c r="AR71" s="157" t="e">
        <f t="shared" si="35"/>
        <v>#N/A</v>
      </c>
      <c r="AS71" s="31" t="e">
        <f t="shared" si="36"/>
        <v>#N/A</v>
      </c>
    </row>
    <row r="72" spans="1:45">
      <c r="A72" t="str">
        <f t="shared" si="25"/>
        <v>罗森2103-90</v>
      </c>
      <c r="B72" t="str">
        <f t="shared" si="26"/>
        <v>北京宝诚恒信2103-90</v>
      </c>
      <c r="C72" t="str">
        <f t="shared" si="27"/>
        <v>北京宝诚恒信罗森</v>
      </c>
      <c r="D72" s="2" t="s">
        <v>901</v>
      </c>
      <c r="E72" s="2" t="s">
        <v>814</v>
      </c>
      <c r="F72" s="2" t="s">
        <v>792</v>
      </c>
      <c r="G72" t="e">
        <f>VLOOKUP($J72,'mapping-Y26'!#REF!,2,0)</f>
        <v>#REF!</v>
      </c>
      <c r="I72">
        <f>VLOOKUP($J72,'mapping-Y26'!$F:$L,5,0)</f>
        <v>14016868</v>
      </c>
      <c r="J72" t="s">
        <v>172</v>
      </c>
      <c r="K72" t="str">
        <f>VLOOKUP($J72,'mapping-Y26'!$F:$L,4,0)</f>
        <v>210390舒洁小熊印花抽纸3层80抽4包FSC mix70%</v>
      </c>
      <c r="L72" t="e">
        <f>VLOOKUP($J72,'mapping-Y26'!#REF!,4,0)</f>
        <v>#REF!</v>
      </c>
      <c r="M72" t="str">
        <f>VLOOKUP($J72,'mapping-Y26'!$H:$L,2,0)</f>
        <v>210390舒洁小熊印花抽纸3层80抽4包FSC mix70%</v>
      </c>
      <c r="N72" t="e">
        <f>VLOOKUP($J72,'mapping-Y26'!M:N,3,0)</f>
        <v>#N/A</v>
      </c>
      <c r="O72" s="2" t="e">
        <f>VLOOKUP($J72,'mapping-Y26'!$M:$N,5,0)</f>
        <v>#N/A</v>
      </c>
      <c r="P72" s="2" t="e">
        <f>VLOOKUP($J72,'mapping-Y26'!$M:$N,6,0)</f>
        <v>#N/A</v>
      </c>
      <c r="Q72" s="272" t="e">
        <f>VLOOKUP($J72,'mapping-Y26'!$M:$Q,7,0)</f>
        <v>#N/A</v>
      </c>
      <c r="R72" s="31" t="e">
        <f t="shared" si="37"/>
        <v>#N/A</v>
      </c>
      <c r="T72" s="2">
        <v>20</v>
      </c>
      <c r="U72" s="2">
        <v>15</v>
      </c>
      <c r="V72" s="2">
        <v>12</v>
      </c>
      <c r="W72" s="423">
        <v>0.6</v>
      </c>
      <c r="X72" s="423">
        <v>0.3</v>
      </c>
      <c r="Y72" s="423">
        <v>0.1</v>
      </c>
      <c r="Z72" s="397">
        <f t="shared" si="28"/>
        <v>17.7</v>
      </c>
      <c r="AA72" s="3">
        <v>0.318</v>
      </c>
      <c r="AB72" s="3">
        <v>7.4999999999999997E-2</v>
      </c>
      <c r="AC72" s="161">
        <f t="shared" si="22"/>
        <v>9.5078761061946917</v>
      </c>
      <c r="AE72" s="3">
        <v>0.185</v>
      </c>
      <c r="AF72" s="161">
        <f t="shared" si="24"/>
        <v>0</v>
      </c>
      <c r="AG72" s="3" t="e">
        <f t="shared" si="29"/>
        <v>#N/A</v>
      </c>
      <c r="AH72" s="395">
        <v>0</v>
      </c>
      <c r="AI72" s="395">
        <v>0.04</v>
      </c>
      <c r="AJ72" s="66" t="e">
        <f t="shared" si="31"/>
        <v>#N/A</v>
      </c>
      <c r="AK72" s="31" t="e">
        <f t="shared" si="32"/>
        <v>#N/A</v>
      </c>
      <c r="AL72" s="66" t="e">
        <f>VLOOKUP($J72,#REF!,12,0)</f>
        <v>#REF!</v>
      </c>
      <c r="AM72" s="68">
        <v>2.7E-2</v>
      </c>
      <c r="AN72" s="31" t="e">
        <f t="shared" si="33"/>
        <v>#N/A</v>
      </c>
      <c r="AO72" s="3" t="e">
        <f t="shared" si="30"/>
        <v>#N/A</v>
      </c>
      <c r="AP72" s="157">
        <v>250</v>
      </c>
      <c r="AQ72" s="157" t="e">
        <f t="shared" si="34"/>
        <v>#N/A</v>
      </c>
      <c r="AR72" s="157" t="e">
        <f t="shared" si="35"/>
        <v>#N/A</v>
      </c>
      <c r="AS72" s="31" t="e">
        <f t="shared" si="36"/>
        <v>#N/A</v>
      </c>
    </row>
    <row r="73" spans="1:45">
      <c r="A73" t="str">
        <f t="shared" si="25"/>
        <v>罗森2613-00</v>
      </c>
      <c r="B73" t="str">
        <f t="shared" si="26"/>
        <v>北京宝诚恒信2613-00</v>
      </c>
      <c r="C73" t="str">
        <f t="shared" si="27"/>
        <v>北京宝诚恒信罗森</v>
      </c>
      <c r="D73" s="2" t="s">
        <v>901</v>
      </c>
      <c r="E73" s="2" t="s">
        <v>814</v>
      </c>
      <c r="F73" s="2" t="s">
        <v>792</v>
      </c>
      <c r="G73" t="e">
        <f>VLOOKUP($J73,'mapping-Y26'!#REF!,2,0)</f>
        <v>#REF!</v>
      </c>
      <c r="I73">
        <f>VLOOKUP($J73,'mapping-Y26'!$F:$L,5,0)</f>
        <v>14004626</v>
      </c>
      <c r="J73" t="s">
        <v>244</v>
      </c>
      <c r="K73" t="str">
        <f>VLOOKUP($J73,'mapping-Y26'!$F:$L,4,0)</f>
        <v xml:space="preserve">261300舒洁无香湿巾单包装 </v>
      </c>
      <c r="L73" t="e">
        <f>VLOOKUP($J73,'mapping-Y26'!#REF!,4,0)</f>
        <v>#REF!</v>
      </c>
      <c r="M73" t="str">
        <f>VLOOKUP($J73,'mapping-Y26'!$H:$L,2,0)</f>
        <v xml:space="preserve">261300舒洁无香湿巾单包装 </v>
      </c>
      <c r="N73" t="e">
        <f>VLOOKUP($J73,'mapping-Y26'!M:N,3,0)</f>
        <v>#N/A</v>
      </c>
      <c r="O73" s="2" t="e">
        <f>VLOOKUP($J73,'mapping-Y26'!$M:$N,5,0)</f>
        <v>#N/A</v>
      </c>
      <c r="P73" s="2" t="e">
        <f>VLOOKUP($J73,'mapping-Y26'!$M:$N,6,0)</f>
        <v>#N/A</v>
      </c>
      <c r="Q73" s="272" t="e">
        <f>VLOOKUP($J73,'mapping-Y26'!$M:$Q,7,0)</f>
        <v>#N/A</v>
      </c>
      <c r="R73" s="31" t="e">
        <f t="shared" si="37"/>
        <v>#N/A</v>
      </c>
      <c r="T73" s="2">
        <v>5.5</v>
      </c>
      <c r="U73" s="2">
        <v>5.5</v>
      </c>
      <c r="V73" s="2">
        <v>5.5</v>
      </c>
      <c r="W73" s="423">
        <v>1</v>
      </c>
      <c r="X73" s="423"/>
      <c r="Y73" s="423"/>
      <c r="Z73" s="397">
        <f t="shared" si="28"/>
        <v>5.5</v>
      </c>
      <c r="AA73" s="3">
        <v>0.35599999999999998</v>
      </c>
      <c r="AB73" s="3">
        <v>7.4999999999999997E-2</v>
      </c>
      <c r="AC73" s="161">
        <f t="shared" si="22"/>
        <v>2.769469026548673</v>
      </c>
      <c r="AE73" s="3">
        <v>0.185</v>
      </c>
      <c r="AF73" s="161">
        <f t="shared" si="24"/>
        <v>0</v>
      </c>
      <c r="AG73" s="3" t="e">
        <f t="shared" si="29"/>
        <v>#N/A</v>
      </c>
      <c r="AH73" s="395">
        <v>0</v>
      </c>
      <c r="AI73" s="395">
        <v>0.04</v>
      </c>
      <c r="AJ73" s="66" t="e">
        <f t="shared" si="31"/>
        <v>#N/A</v>
      </c>
      <c r="AK73" s="31" t="e">
        <f t="shared" si="32"/>
        <v>#N/A</v>
      </c>
      <c r="AL73" s="66" t="e">
        <f>VLOOKUP($J73,#REF!,12,0)</f>
        <v>#REF!</v>
      </c>
      <c r="AM73" s="68">
        <v>2.7E-2</v>
      </c>
      <c r="AN73" s="31" t="e">
        <f t="shared" si="33"/>
        <v>#N/A</v>
      </c>
      <c r="AO73" s="3" t="e">
        <f t="shared" si="30"/>
        <v>#N/A</v>
      </c>
      <c r="AP73" s="157">
        <v>600</v>
      </c>
      <c r="AQ73" s="157" t="e">
        <f t="shared" si="34"/>
        <v>#N/A</v>
      </c>
      <c r="AR73" s="157" t="e">
        <f t="shared" si="35"/>
        <v>#N/A</v>
      </c>
      <c r="AS73" s="31" t="e">
        <f t="shared" si="36"/>
        <v>#N/A</v>
      </c>
    </row>
    <row r="74" spans="1:45">
      <c r="A74" t="str">
        <f t="shared" si="25"/>
        <v>罗森2701-90</v>
      </c>
      <c r="B74" t="str">
        <f t="shared" si="26"/>
        <v>北京宝诚恒信2701-90</v>
      </c>
      <c r="C74" t="str">
        <f t="shared" si="27"/>
        <v>北京宝诚恒信罗森</v>
      </c>
      <c r="D74" s="2" t="s">
        <v>901</v>
      </c>
      <c r="E74" s="2" t="s">
        <v>814</v>
      </c>
      <c r="F74" s="2" t="s">
        <v>792</v>
      </c>
      <c r="G74" t="e">
        <f>VLOOKUP($J74,'mapping-Y26'!#REF!,2,0)</f>
        <v>#REF!</v>
      </c>
      <c r="I74">
        <f>VLOOKUP($J74,'mapping-Y26'!$F:$L,5,0)</f>
        <v>14016871</v>
      </c>
      <c r="J74" t="s">
        <v>227</v>
      </c>
      <c r="K74" t="str">
        <f>VLOOKUP($J74,'mapping-Y26'!$F:$L,4,0)</f>
        <v>270190舒洁小熊印花手帕纸3层10包FSC mix70%</v>
      </c>
      <c r="L74" t="e">
        <f>VLOOKUP($J74,'mapping-Y26'!#REF!,4,0)</f>
        <v>#REF!</v>
      </c>
      <c r="M74" t="str">
        <f>VLOOKUP($J74,'mapping-Y26'!$H:$L,2,0)</f>
        <v>270190舒洁小熊印花手帕纸3层10包FSC mix70%</v>
      </c>
      <c r="N74" t="e">
        <f>VLOOKUP($J74,'mapping-Y26'!M:N,3,0)</f>
        <v>#N/A</v>
      </c>
      <c r="O74" s="2" t="e">
        <f>VLOOKUP($J74,'mapping-Y26'!$M:$N,5,0)</f>
        <v>#N/A</v>
      </c>
      <c r="P74" s="2" t="e">
        <f>VLOOKUP($J74,'mapping-Y26'!$M:$N,6,0)</f>
        <v>#N/A</v>
      </c>
      <c r="Q74" s="272" t="e">
        <f>VLOOKUP($J74,'mapping-Y26'!$M:$Q,7,0)</f>
        <v>#N/A</v>
      </c>
      <c r="R74" s="31" t="e">
        <f t="shared" si="37"/>
        <v>#N/A</v>
      </c>
      <c r="T74" s="2">
        <v>15</v>
      </c>
      <c r="U74" s="2">
        <v>15</v>
      </c>
      <c r="V74" s="2">
        <v>15</v>
      </c>
      <c r="W74" s="423">
        <v>1</v>
      </c>
      <c r="X74" s="423">
        <v>0</v>
      </c>
      <c r="Y74" s="423">
        <v>0</v>
      </c>
      <c r="Z74" s="397">
        <f t="shared" si="28"/>
        <v>15</v>
      </c>
      <c r="AA74" s="3">
        <v>0.45</v>
      </c>
      <c r="AB74" s="3">
        <v>7.4999999999999997E-2</v>
      </c>
      <c r="AC74" s="161">
        <f t="shared" si="22"/>
        <v>6.3053097345132754</v>
      </c>
      <c r="AE74" s="3">
        <v>0.185</v>
      </c>
      <c r="AF74" s="161">
        <f t="shared" si="24"/>
        <v>0</v>
      </c>
      <c r="AG74" s="3" t="e">
        <f t="shared" si="29"/>
        <v>#N/A</v>
      </c>
      <c r="AH74" s="395">
        <v>0</v>
      </c>
      <c r="AI74" s="395">
        <v>0.04</v>
      </c>
      <c r="AJ74" s="66" t="e">
        <f t="shared" si="31"/>
        <v>#N/A</v>
      </c>
      <c r="AK74" s="31" t="e">
        <f t="shared" si="32"/>
        <v>#N/A</v>
      </c>
      <c r="AL74" s="66" t="e">
        <f>VLOOKUP($J74,#REF!,12,0)</f>
        <v>#REF!</v>
      </c>
      <c r="AM74" s="68">
        <v>2.7E-2</v>
      </c>
      <c r="AN74" s="31" t="e">
        <f t="shared" si="33"/>
        <v>#N/A</v>
      </c>
      <c r="AO74" s="3" t="e">
        <f t="shared" si="30"/>
        <v>#N/A</v>
      </c>
      <c r="AP74" s="157">
        <v>100</v>
      </c>
      <c r="AQ74" s="157" t="e">
        <f t="shared" si="34"/>
        <v>#N/A</v>
      </c>
      <c r="AR74" s="157" t="e">
        <f t="shared" si="35"/>
        <v>#N/A</v>
      </c>
      <c r="AS74" s="31" t="e">
        <f t="shared" si="36"/>
        <v>#N/A</v>
      </c>
    </row>
    <row r="75" spans="1:45">
      <c r="A75" t="str">
        <f t="shared" si="25"/>
        <v>宝诚others2694-50</v>
      </c>
      <c r="B75" t="str">
        <f t="shared" si="26"/>
        <v>北京宝诚恒信2694-50</v>
      </c>
      <c r="C75" t="str">
        <f t="shared" si="27"/>
        <v>北京宝诚恒信宝诚others</v>
      </c>
      <c r="D75" s="2" t="s">
        <v>901</v>
      </c>
      <c r="E75" s="2" t="s">
        <v>814</v>
      </c>
      <c r="F75" s="2" t="s">
        <v>815</v>
      </c>
      <c r="G75" t="e">
        <f>VLOOKUP($J75,'mapping-Y26'!#REF!,2,0)</f>
        <v>#REF!</v>
      </c>
      <c r="H75" t="str">
        <f>VLOOKUP($J75,'mapping-Y26'!$F:$L,6,0)</f>
        <v>40P-55gsm</v>
      </c>
      <c r="I75">
        <f>VLOOKUP($J75,'mapping-Y26'!$F:$L,5,0)</f>
        <v>14017864</v>
      </c>
      <c r="J75" t="s">
        <v>559</v>
      </c>
      <c r="K75" t="str">
        <f>VLOOKUP($J75,'mapping-Y26'!$F:$L,4,0)</f>
        <v xml:space="preserve">D269450舒洁湿厕纸家庭装40抽 </v>
      </c>
      <c r="L75" t="e">
        <f>VLOOKUP($J75,'mapping-Y26'!#REF!,4,0)</f>
        <v>#REF!</v>
      </c>
      <c r="M75" t="str">
        <f>VLOOKUP($J75,'mapping-Y26'!$H:$L,2,0)</f>
        <v xml:space="preserve">D269450舒洁湿厕纸家庭装40抽 </v>
      </c>
      <c r="N75" t="e">
        <f>VLOOKUP($J75,'mapping-Y26'!M:N,3,0)</f>
        <v>#N/A</v>
      </c>
      <c r="O75" s="2" t="e">
        <f>VLOOKUP($J75,'mapping-Y26'!$M:$N,5,0)</f>
        <v>#N/A</v>
      </c>
      <c r="P75" s="2" t="e">
        <f>VLOOKUP($J75,'mapping-Y26'!$M:$N,6,0)</f>
        <v>#N/A</v>
      </c>
      <c r="Q75" s="272" t="e">
        <f>VLOOKUP($J75,'mapping-Y26'!$M:$Q,7,0)</f>
        <v>#N/A</v>
      </c>
      <c r="R75" s="31" t="e">
        <f t="shared" si="37"/>
        <v>#N/A</v>
      </c>
      <c r="T75" s="2">
        <v>7.9</v>
      </c>
      <c r="U75" s="2">
        <v>6.9</v>
      </c>
      <c r="V75" s="2">
        <v>5.9</v>
      </c>
      <c r="W75" s="423">
        <v>0.1</v>
      </c>
      <c r="X75" s="423">
        <v>0.6</v>
      </c>
      <c r="Y75" s="423">
        <v>0.3</v>
      </c>
      <c r="Z75" s="397">
        <f t="shared" si="28"/>
        <v>6.6999999999999993</v>
      </c>
      <c r="AA75" s="3">
        <v>0.15</v>
      </c>
      <c r="AB75" s="3">
        <v>0</v>
      </c>
      <c r="AC75" s="161">
        <f t="shared" si="22"/>
        <v>5.0398230088495577</v>
      </c>
      <c r="AE75" s="3">
        <v>0.15</v>
      </c>
      <c r="AF75" s="161">
        <f t="shared" si="24"/>
        <v>0</v>
      </c>
      <c r="AG75" s="3" t="e">
        <f t="shared" si="29"/>
        <v>#N/A</v>
      </c>
      <c r="AH75" s="395">
        <v>0</v>
      </c>
      <c r="AI75" s="395">
        <v>0.04</v>
      </c>
      <c r="AJ75" s="66" t="e">
        <f t="shared" si="31"/>
        <v>#N/A</v>
      </c>
      <c r="AK75" s="31" t="e">
        <f t="shared" si="32"/>
        <v>#N/A</v>
      </c>
      <c r="AL75" s="66" t="e">
        <f>VLOOKUP($J75,#REF!,12,0)</f>
        <v>#REF!</v>
      </c>
      <c r="AM75" s="68">
        <v>2.7E-2</v>
      </c>
      <c r="AN75" s="31" t="e">
        <f t="shared" si="33"/>
        <v>#N/A</v>
      </c>
      <c r="AO75" s="3" t="e">
        <f t="shared" si="30"/>
        <v>#N/A</v>
      </c>
      <c r="AP75" s="157">
        <v>150</v>
      </c>
      <c r="AQ75" s="157" t="e">
        <f t="shared" si="34"/>
        <v>#N/A</v>
      </c>
      <c r="AR75" s="157" t="e">
        <f t="shared" si="35"/>
        <v>#N/A</v>
      </c>
      <c r="AS75" s="31" t="e">
        <f t="shared" si="36"/>
        <v>#N/A</v>
      </c>
    </row>
    <row r="76" spans="1:45">
      <c r="A76" t="str">
        <f t="shared" si="25"/>
        <v>宝诚others2613-00</v>
      </c>
      <c r="B76" t="str">
        <f t="shared" si="26"/>
        <v>北京宝诚恒信2613-00</v>
      </c>
      <c r="C76" t="str">
        <f t="shared" si="27"/>
        <v>北京宝诚恒信宝诚others</v>
      </c>
      <c r="D76" s="2" t="s">
        <v>901</v>
      </c>
      <c r="E76" s="2" t="s">
        <v>814</v>
      </c>
      <c r="F76" s="2" t="s">
        <v>815</v>
      </c>
      <c r="G76" t="e">
        <f>VLOOKUP($J76,'mapping-Y26'!#REF!,2,0)</f>
        <v>#REF!</v>
      </c>
      <c r="I76">
        <f>VLOOKUP($J76,'mapping-Y26'!$F:$L,5,0)</f>
        <v>14004626</v>
      </c>
      <c r="J76" t="s">
        <v>244</v>
      </c>
      <c r="K76" t="str">
        <f>VLOOKUP($J76,'mapping-Y26'!$F:$L,4,0)</f>
        <v xml:space="preserve">261300舒洁无香湿巾单包装 </v>
      </c>
      <c r="L76" t="e">
        <f>VLOOKUP($J76,'mapping-Y26'!#REF!,4,0)</f>
        <v>#REF!</v>
      </c>
      <c r="M76" t="str">
        <f>VLOOKUP($J76,'mapping-Y26'!$H:$L,2,0)</f>
        <v xml:space="preserve">261300舒洁无香湿巾单包装 </v>
      </c>
      <c r="N76" t="e">
        <f>VLOOKUP($J76,'mapping-Y26'!M:N,3,0)</f>
        <v>#N/A</v>
      </c>
      <c r="O76" s="2" t="e">
        <f>VLOOKUP($J76,'mapping-Y26'!$M:$N,5,0)</f>
        <v>#N/A</v>
      </c>
      <c r="P76" s="2" t="e">
        <f>VLOOKUP($J76,'mapping-Y26'!$M:$N,6,0)</f>
        <v>#N/A</v>
      </c>
      <c r="Q76" s="272" t="e">
        <f>VLOOKUP($J76,'mapping-Y26'!$M:$Q,7,0)</f>
        <v>#N/A</v>
      </c>
      <c r="R76" s="31" t="e">
        <f t="shared" si="37"/>
        <v>#N/A</v>
      </c>
      <c r="T76" s="2">
        <v>4.9000000000000004</v>
      </c>
      <c r="U76" s="2">
        <v>3.9</v>
      </c>
      <c r="V76" s="2">
        <v>2.9</v>
      </c>
      <c r="W76" s="423">
        <v>0.05</v>
      </c>
      <c r="X76" s="423">
        <v>0.6</v>
      </c>
      <c r="Y76" s="423">
        <v>0.35</v>
      </c>
      <c r="Z76" s="397">
        <f t="shared" si="28"/>
        <v>3.5999999999999996</v>
      </c>
      <c r="AA76" s="3">
        <v>0.15</v>
      </c>
      <c r="AB76" s="3">
        <v>0</v>
      </c>
      <c r="AC76" s="161">
        <f t="shared" si="22"/>
        <v>2.7079646017699113</v>
      </c>
      <c r="AE76" s="3">
        <v>0.15</v>
      </c>
      <c r="AF76" s="161">
        <f t="shared" si="24"/>
        <v>0</v>
      </c>
      <c r="AG76" s="3" t="e">
        <f t="shared" si="29"/>
        <v>#N/A</v>
      </c>
      <c r="AH76" s="395">
        <v>0</v>
      </c>
      <c r="AI76" s="395">
        <v>0.04</v>
      </c>
      <c r="AJ76" s="66" t="e">
        <f t="shared" si="31"/>
        <v>#N/A</v>
      </c>
      <c r="AK76" s="31" t="e">
        <f t="shared" si="32"/>
        <v>#N/A</v>
      </c>
      <c r="AL76" s="66" t="e">
        <f>VLOOKUP($J76,#REF!,12,0)</f>
        <v>#REF!</v>
      </c>
      <c r="AM76" s="68">
        <v>2.7E-2</v>
      </c>
      <c r="AN76" s="31" t="e">
        <f t="shared" si="33"/>
        <v>#N/A</v>
      </c>
      <c r="AO76" s="3" t="e">
        <f t="shared" si="30"/>
        <v>#N/A</v>
      </c>
      <c r="AP76" s="157">
        <v>50</v>
      </c>
      <c r="AQ76" s="157" t="e">
        <f t="shared" si="34"/>
        <v>#N/A</v>
      </c>
      <c r="AR76" s="157" t="e">
        <f t="shared" si="35"/>
        <v>#N/A</v>
      </c>
      <c r="AS76" s="31" t="e">
        <f t="shared" si="36"/>
        <v>#N/A</v>
      </c>
    </row>
    <row r="77" spans="1:45">
      <c r="A77" t="str">
        <f t="shared" si="25"/>
        <v>宝诚others2103-90</v>
      </c>
      <c r="B77" t="str">
        <f t="shared" si="26"/>
        <v>北京宝诚恒信2103-90</v>
      </c>
      <c r="C77" t="str">
        <f t="shared" si="27"/>
        <v>北京宝诚恒信宝诚others</v>
      </c>
      <c r="D77" s="2" t="s">
        <v>901</v>
      </c>
      <c r="E77" s="2" t="s">
        <v>814</v>
      </c>
      <c r="F77" s="2" t="s">
        <v>815</v>
      </c>
      <c r="G77" t="e">
        <f>VLOOKUP($J77,'mapping-Y26'!#REF!,2,0)</f>
        <v>#REF!</v>
      </c>
      <c r="I77">
        <f>VLOOKUP($J77,'mapping-Y26'!$F:$L,5,0)</f>
        <v>14016868</v>
      </c>
      <c r="J77" t="s">
        <v>172</v>
      </c>
      <c r="K77" t="str">
        <f>VLOOKUP($J77,'mapping-Y26'!$F:$L,4,0)</f>
        <v>210390舒洁小熊印花抽纸3层80抽4包FSC mix70%</v>
      </c>
      <c r="L77" t="e">
        <f>VLOOKUP($J77,'mapping-Y26'!#REF!,4,0)</f>
        <v>#REF!</v>
      </c>
      <c r="M77" t="str">
        <f>VLOOKUP($J77,'mapping-Y26'!$H:$L,2,0)</f>
        <v>210390舒洁小熊印花抽纸3层80抽4包FSC mix70%</v>
      </c>
      <c r="N77" t="e">
        <f>VLOOKUP($J77,'mapping-Y26'!M:N,3,0)</f>
        <v>#N/A</v>
      </c>
      <c r="O77" s="2" t="e">
        <f>VLOOKUP($J77,'mapping-Y26'!$M:$N,5,0)</f>
        <v>#N/A</v>
      </c>
      <c r="P77" s="2" t="e">
        <f>VLOOKUP($J77,'mapping-Y26'!$M:$N,6,0)</f>
        <v>#N/A</v>
      </c>
      <c r="Q77" s="272" t="e">
        <f>VLOOKUP($J77,'mapping-Y26'!$M:$Q,7,0)</f>
        <v>#N/A</v>
      </c>
      <c r="R77" s="31" t="e">
        <f t="shared" si="37"/>
        <v>#N/A</v>
      </c>
      <c r="T77" s="2">
        <v>15.9</v>
      </c>
      <c r="U77" s="2">
        <v>13.9</v>
      </c>
      <c r="V77" s="2">
        <v>11.9</v>
      </c>
      <c r="W77" s="423">
        <v>0.05</v>
      </c>
      <c r="X77" s="423">
        <v>0.7</v>
      </c>
      <c r="Y77" s="423">
        <v>0.25</v>
      </c>
      <c r="Z77" s="397">
        <f t="shared" si="28"/>
        <v>13.5</v>
      </c>
      <c r="AA77" s="3">
        <v>0.15</v>
      </c>
      <c r="AB77" s="3">
        <v>0</v>
      </c>
      <c r="AC77" s="161">
        <f t="shared" si="22"/>
        <v>10.15486725663717</v>
      </c>
      <c r="AE77" s="3">
        <v>0.15</v>
      </c>
      <c r="AF77" s="161">
        <f t="shared" si="24"/>
        <v>0</v>
      </c>
      <c r="AG77" s="3" t="e">
        <f t="shared" si="29"/>
        <v>#N/A</v>
      </c>
      <c r="AH77" s="395">
        <v>0</v>
      </c>
      <c r="AI77" s="395">
        <v>0.04</v>
      </c>
      <c r="AJ77" s="66" t="e">
        <f t="shared" si="31"/>
        <v>#N/A</v>
      </c>
      <c r="AK77" s="31" t="e">
        <f t="shared" si="32"/>
        <v>#N/A</v>
      </c>
      <c r="AL77" s="66" t="e">
        <f>VLOOKUP($J77,#REF!,12,0)</f>
        <v>#REF!</v>
      </c>
      <c r="AM77" s="68">
        <v>2.7E-2</v>
      </c>
      <c r="AN77" s="31" t="e">
        <f t="shared" si="33"/>
        <v>#N/A</v>
      </c>
      <c r="AO77" s="3" t="e">
        <f t="shared" si="30"/>
        <v>#N/A</v>
      </c>
      <c r="AP77" s="157">
        <v>70</v>
      </c>
      <c r="AQ77" s="157" t="e">
        <f t="shared" si="34"/>
        <v>#N/A</v>
      </c>
      <c r="AR77" s="157" t="e">
        <f t="shared" si="35"/>
        <v>#N/A</v>
      </c>
      <c r="AS77" s="31" t="e">
        <f t="shared" si="36"/>
        <v>#N/A</v>
      </c>
    </row>
    <row r="78" spans="1:45">
      <c r="A78" t="str">
        <f t="shared" si="25"/>
        <v>罗森2694-50</v>
      </c>
      <c r="B78" t="str">
        <f t="shared" si="26"/>
        <v>大连达博2694-50</v>
      </c>
      <c r="C78" t="str">
        <f t="shared" si="27"/>
        <v>大连达博罗森</v>
      </c>
      <c r="D78" s="2" t="s">
        <v>901</v>
      </c>
      <c r="E78" s="2" t="s">
        <v>786</v>
      </c>
      <c r="F78" s="2" t="s">
        <v>792</v>
      </c>
      <c r="G78" t="e">
        <f>VLOOKUP($J78,'mapping-Y26'!#REF!,2,0)</f>
        <v>#REF!</v>
      </c>
      <c r="H78" t="str">
        <f>VLOOKUP($J78,'mapping-Y26'!$F:$L,6,0)</f>
        <v>40P-55gsm</v>
      </c>
      <c r="I78">
        <f>VLOOKUP($J78,'mapping-Y26'!$F:$L,5,0)</f>
        <v>14017864</v>
      </c>
      <c r="J78" t="s">
        <v>559</v>
      </c>
      <c r="K78" t="str">
        <f>VLOOKUP($J78,'mapping-Y26'!$F:$L,4,0)</f>
        <v xml:space="preserve">D269450舒洁湿厕纸家庭装40抽 </v>
      </c>
      <c r="L78" t="e">
        <f>VLOOKUP($J78,'mapping-Y26'!#REF!,4,0)</f>
        <v>#REF!</v>
      </c>
      <c r="M78" t="str">
        <f>VLOOKUP($J78,'mapping-Y26'!$H:$L,2,0)</f>
        <v xml:space="preserve">D269450舒洁湿厕纸家庭装40抽 </v>
      </c>
      <c r="N78" t="e">
        <f>VLOOKUP($J78,'mapping-Y26'!M:N,3,0)</f>
        <v>#N/A</v>
      </c>
      <c r="O78" s="2" t="e">
        <f>VLOOKUP($J78,'mapping-Y26'!$M:$N,5,0)</f>
        <v>#N/A</v>
      </c>
      <c r="P78" s="2" t="e">
        <f>VLOOKUP($J78,'mapping-Y26'!$M:$N,6,0)</f>
        <v>#N/A</v>
      </c>
      <c r="Q78" s="272" t="e">
        <f>VLOOKUP($J78,'mapping-Y26'!$M:$Q,7,0)</f>
        <v>#N/A</v>
      </c>
      <c r="R78" s="31" t="e">
        <f t="shared" si="37"/>
        <v>#N/A</v>
      </c>
      <c r="T78" s="2">
        <v>11.925000000000001</v>
      </c>
      <c r="U78" s="2">
        <v>8.4499999999999993</v>
      </c>
      <c r="V78" s="2">
        <v>8.4499999999999993</v>
      </c>
      <c r="W78" s="423">
        <v>0.6</v>
      </c>
      <c r="X78" s="423">
        <v>0.4</v>
      </c>
      <c r="Y78" s="423">
        <v>0</v>
      </c>
      <c r="Z78" s="397">
        <f t="shared" si="28"/>
        <v>10.535</v>
      </c>
      <c r="AA78" s="3">
        <v>0.37</v>
      </c>
      <c r="AB78" s="3">
        <v>0</v>
      </c>
      <c r="AC78" s="161">
        <f t="shared" si="22"/>
        <v>5.8734955752212397</v>
      </c>
      <c r="AE78" s="3">
        <v>0.3</v>
      </c>
      <c r="AF78" s="161">
        <f t="shared" si="24"/>
        <v>0</v>
      </c>
      <c r="AG78" s="3" t="e">
        <f t="shared" si="29"/>
        <v>#N/A</v>
      </c>
      <c r="AH78" s="395">
        <v>0</v>
      </c>
      <c r="AI78" s="395">
        <v>0.04</v>
      </c>
      <c r="AJ78" s="66" t="e">
        <f t="shared" si="31"/>
        <v>#N/A</v>
      </c>
      <c r="AK78" s="31" t="e">
        <f t="shared" si="32"/>
        <v>#N/A</v>
      </c>
      <c r="AL78" s="66" t="e">
        <f>VLOOKUP($J78,#REF!,12,0)</f>
        <v>#REF!</v>
      </c>
      <c r="AM78" s="68">
        <v>2.7E-2</v>
      </c>
      <c r="AN78" s="31" t="e">
        <f t="shared" si="33"/>
        <v>#N/A</v>
      </c>
      <c r="AO78" s="3" t="e">
        <f t="shared" si="30"/>
        <v>#N/A</v>
      </c>
      <c r="AP78" s="157">
        <v>600</v>
      </c>
      <c r="AQ78" s="157" t="e">
        <f t="shared" si="34"/>
        <v>#N/A</v>
      </c>
      <c r="AR78" s="157" t="e">
        <f t="shared" si="35"/>
        <v>#N/A</v>
      </c>
      <c r="AS78" s="31" t="e">
        <f t="shared" si="36"/>
        <v>#N/A</v>
      </c>
    </row>
    <row r="79" spans="1:45">
      <c r="A79" t="str">
        <f t="shared" si="25"/>
        <v>罗森2103-90</v>
      </c>
      <c r="B79" t="str">
        <f t="shared" si="26"/>
        <v>大连达博2103-90</v>
      </c>
      <c r="C79" t="str">
        <f t="shared" si="27"/>
        <v>大连达博罗森</v>
      </c>
      <c r="D79" s="2" t="s">
        <v>901</v>
      </c>
      <c r="E79" s="2" t="s">
        <v>786</v>
      </c>
      <c r="F79" s="2" t="s">
        <v>792</v>
      </c>
      <c r="G79" t="e">
        <f>VLOOKUP($J79,'mapping-Y26'!#REF!,2,0)</f>
        <v>#REF!</v>
      </c>
      <c r="I79">
        <f>VLOOKUP($J79,'mapping-Y26'!$F:$L,5,0)</f>
        <v>14016868</v>
      </c>
      <c r="J79" t="s">
        <v>172</v>
      </c>
      <c r="K79" t="str">
        <f>VLOOKUP($J79,'mapping-Y26'!$F:$L,4,0)</f>
        <v>210390舒洁小熊印花抽纸3层80抽4包FSC mix70%</v>
      </c>
      <c r="L79" t="e">
        <f>VLOOKUP($J79,'mapping-Y26'!#REF!,4,0)</f>
        <v>#REF!</v>
      </c>
      <c r="M79" t="str">
        <f>VLOOKUP($J79,'mapping-Y26'!$H:$L,2,0)</f>
        <v>210390舒洁小熊印花抽纸3层80抽4包FSC mix70%</v>
      </c>
      <c r="N79" t="e">
        <f>VLOOKUP($J79,'mapping-Y26'!M:N,3,0)</f>
        <v>#N/A</v>
      </c>
      <c r="O79" s="2" t="e">
        <f>VLOOKUP($J79,'mapping-Y26'!$M:$N,5,0)</f>
        <v>#N/A</v>
      </c>
      <c r="P79" s="2" t="e">
        <f>VLOOKUP($J79,'mapping-Y26'!$M:$N,6,0)</f>
        <v>#N/A</v>
      </c>
      <c r="Q79" s="272" t="e">
        <f>VLOOKUP($J79,'mapping-Y26'!$M:$Q,7,0)</f>
        <v>#N/A</v>
      </c>
      <c r="R79" s="31" t="e">
        <f t="shared" si="37"/>
        <v>#N/A</v>
      </c>
      <c r="T79" s="2">
        <v>24</v>
      </c>
      <c r="U79" s="2">
        <v>18</v>
      </c>
      <c r="V79" s="2">
        <v>14</v>
      </c>
      <c r="W79" s="423">
        <v>0.8</v>
      </c>
      <c r="X79" s="423">
        <v>0.1</v>
      </c>
      <c r="Y79" s="423">
        <v>0.1</v>
      </c>
      <c r="Z79" s="397">
        <f t="shared" si="28"/>
        <v>22.400000000000002</v>
      </c>
      <c r="AA79" s="3">
        <v>0.432</v>
      </c>
      <c r="AB79" s="3">
        <v>0</v>
      </c>
      <c r="AC79" s="161">
        <f t="shared" si="22"/>
        <v>11.259469026548675</v>
      </c>
      <c r="AE79" s="3">
        <v>0.3</v>
      </c>
      <c r="AF79" s="161">
        <f t="shared" si="24"/>
        <v>0</v>
      </c>
      <c r="AG79" s="3" t="e">
        <f t="shared" si="29"/>
        <v>#N/A</v>
      </c>
      <c r="AH79" s="395">
        <v>0</v>
      </c>
      <c r="AI79" s="395">
        <v>0.04</v>
      </c>
      <c r="AJ79" s="66" t="e">
        <f t="shared" si="31"/>
        <v>#N/A</v>
      </c>
      <c r="AK79" s="31" t="e">
        <f t="shared" si="32"/>
        <v>#N/A</v>
      </c>
      <c r="AL79" s="66" t="e">
        <f>VLOOKUP($J79,#REF!,12,0)</f>
        <v>#REF!</v>
      </c>
      <c r="AM79" s="68">
        <v>2.7E-2</v>
      </c>
      <c r="AN79" s="31" t="e">
        <f t="shared" si="33"/>
        <v>#N/A</v>
      </c>
      <c r="AO79" s="3" t="e">
        <f t="shared" si="30"/>
        <v>#N/A</v>
      </c>
      <c r="AP79" s="157">
        <v>100</v>
      </c>
      <c r="AQ79" s="157" t="e">
        <f t="shared" si="34"/>
        <v>#N/A</v>
      </c>
      <c r="AR79" s="157" t="e">
        <f t="shared" si="35"/>
        <v>#N/A</v>
      </c>
      <c r="AS79" s="31" t="e">
        <f t="shared" si="36"/>
        <v>#N/A</v>
      </c>
    </row>
    <row r="80" spans="1:45">
      <c r="A80" t="str">
        <f t="shared" si="25"/>
        <v>罗森2694-50</v>
      </c>
      <c r="B80" t="str">
        <f t="shared" si="26"/>
        <v>沈阳和盛祥2694-50</v>
      </c>
      <c r="C80" t="str">
        <f t="shared" si="27"/>
        <v>沈阳和盛祥罗森</v>
      </c>
      <c r="D80" s="2" t="s">
        <v>901</v>
      </c>
      <c r="E80" s="2" t="s">
        <v>816</v>
      </c>
      <c r="F80" s="2" t="s">
        <v>792</v>
      </c>
      <c r="G80" t="e">
        <f>VLOOKUP($J80,'mapping-Y26'!#REF!,2,0)</f>
        <v>#REF!</v>
      </c>
      <c r="H80" t="str">
        <f>VLOOKUP($J80,'mapping-Y26'!$F:$L,6,0)</f>
        <v>40P-55gsm</v>
      </c>
      <c r="I80">
        <f>VLOOKUP($J80,'mapping-Y26'!$F:$L,5,0)</f>
        <v>14017864</v>
      </c>
      <c r="J80" t="s">
        <v>559</v>
      </c>
      <c r="K80" t="str">
        <f>VLOOKUP($J80,'mapping-Y26'!$F:$L,4,0)</f>
        <v xml:space="preserve">D269450舒洁湿厕纸家庭装40抽 </v>
      </c>
      <c r="L80" t="e">
        <f>VLOOKUP($J80,'mapping-Y26'!#REF!,4,0)</f>
        <v>#REF!</v>
      </c>
      <c r="M80" t="str">
        <f>VLOOKUP($J80,'mapping-Y26'!$H:$L,2,0)</f>
        <v xml:space="preserve">D269450舒洁湿厕纸家庭装40抽 </v>
      </c>
      <c r="N80" t="e">
        <f>VLOOKUP($J80,'mapping-Y26'!M:N,3,0)</f>
        <v>#N/A</v>
      </c>
      <c r="O80" s="2" t="e">
        <f>VLOOKUP($J80,'mapping-Y26'!$M:$N,5,0)</f>
        <v>#N/A</v>
      </c>
      <c r="P80" s="2" t="e">
        <f>VLOOKUP($J80,'mapping-Y26'!$M:$N,6,0)</f>
        <v>#N/A</v>
      </c>
      <c r="Q80" s="272" t="e">
        <f>VLOOKUP($J80,'mapping-Y26'!$M:$Q,7,0)</f>
        <v>#N/A</v>
      </c>
      <c r="R80" s="31" t="e">
        <f t="shared" si="37"/>
        <v>#N/A</v>
      </c>
      <c r="U80" s="2">
        <v>10.425000000000001</v>
      </c>
      <c r="V80" s="2">
        <v>7.45</v>
      </c>
      <c r="W80" s="423">
        <v>0</v>
      </c>
      <c r="X80" s="423">
        <v>0.6</v>
      </c>
      <c r="Y80" s="423">
        <v>0.4</v>
      </c>
      <c r="Z80" s="397">
        <f t="shared" si="28"/>
        <v>9.2349999999999994</v>
      </c>
      <c r="AA80" s="3">
        <v>0.31</v>
      </c>
      <c r="AB80" s="3">
        <v>0</v>
      </c>
      <c r="AC80" s="161">
        <f t="shared" si="22"/>
        <v>5.6390707964601772</v>
      </c>
      <c r="AE80" s="3">
        <v>0.3</v>
      </c>
      <c r="AF80" s="161">
        <f t="shared" si="24"/>
        <v>0</v>
      </c>
      <c r="AG80" s="3" t="e">
        <f t="shared" si="29"/>
        <v>#N/A</v>
      </c>
      <c r="AH80" s="395">
        <v>0</v>
      </c>
      <c r="AI80" s="395">
        <v>0.04</v>
      </c>
      <c r="AJ80" s="66" t="e">
        <f t="shared" si="31"/>
        <v>#N/A</v>
      </c>
      <c r="AK80" s="31" t="e">
        <f t="shared" si="32"/>
        <v>#N/A</v>
      </c>
      <c r="AL80" s="66" t="e">
        <f>VLOOKUP($J80,#REF!,12,0)</f>
        <v>#REF!</v>
      </c>
      <c r="AM80" s="68">
        <v>2.7E-2</v>
      </c>
      <c r="AN80" s="31" t="e">
        <f t="shared" si="33"/>
        <v>#N/A</v>
      </c>
      <c r="AO80" s="3" t="e">
        <f t="shared" si="30"/>
        <v>#N/A</v>
      </c>
      <c r="AP80" s="157">
        <v>300</v>
      </c>
      <c r="AQ80" s="157" t="e">
        <f t="shared" si="34"/>
        <v>#N/A</v>
      </c>
      <c r="AR80" s="157" t="e">
        <f t="shared" si="35"/>
        <v>#N/A</v>
      </c>
      <c r="AS80" s="31" t="e">
        <f t="shared" si="36"/>
        <v>#N/A</v>
      </c>
    </row>
    <row r="81" spans="1:45">
      <c r="A81" t="str">
        <f t="shared" si="25"/>
        <v>物美2103-90</v>
      </c>
      <c r="B81" t="str">
        <f t="shared" si="26"/>
        <v>XXX2103-90</v>
      </c>
      <c r="C81" t="str">
        <f t="shared" si="27"/>
        <v>XXX物美</v>
      </c>
      <c r="D81" s="2" t="s">
        <v>901</v>
      </c>
      <c r="E81" s="2" t="s">
        <v>817</v>
      </c>
      <c r="F81" s="2" t="s">
        <v>787</v>
      </c>
      <c r="G81" t="e">
        <f>VLOOKUP($J81,'mapping-Y26'!#REF!,2,0)</f>
        <v>#REF!</v>
      </c>
      <c r="I81">
        <f>VLOOKUP($J81,'mapping-Y26'!$F:$L,5,0)</f>
        <v>14016868</v>
      </c>
      <c r="J81" t="s">
        <v>172</v>
      </c>
      <c r="K81" t="str">
        <f>VLOOKUP($J81,'mapping-Y26'!$F:$L,4,0)</f>
        <v>210390舒洁小熊印花抽纸3层80抽4包FSC mix70%</v>
      </c>
      <c r="L81" t="e">
        <f>VLOOKUP($J81,'mapping-Y26'!#REF!,4,0)</f>
        <v>#REF!</v>
      </c>
      <c r="M81" t="str">
        <f>VLOOKUP($J81,'mapping-Y26'!$H:$L,2,0)</f>
        <v>210390舒洁小熊印花抽纸3层80抽4包FSC mix70%</v>
      </c>
      <c r="N81" t="e">
        <f>VLOOKUP($J81,'mapping-Y26'!M:N,3,0)</f>
        <v>#N/A</v>
      </c>
      <c r="O81" s="2" t="e">
        <f>VLOOKUP($J81,'mapping-Y26'!$M:$N,5,0)</f>
        <v>#N/A</v>
      </c>
      <c r="P81" s="2" t="e">
        <f>VLOOKUP($J81,'mapping-Y26'!$M:$N,6,0)</f>
        <v>#N/A</v>
      </c>
      <c r="Q81" s="272" t="e">
        <f>VLOOKUP($J81,'mapping-Y26'!$M:$Q,7,0)</f>
        <v>#N/A</v>
      </c>
      <c r="R81" s="31" t="e">
        <f t="shared" si="37"/>
        <v>#N/A</v>
      </c>
      <c r="U81" s="2">
        <v>12.9</v>
      </c>
      <c r="V81" s="2">
        <v>12.9</v>
      </c>
      <c r="W81" s="423"/>
      <c r="X81" s="423">
        <v>1</v>
      </c>
      <c r="Y81" s="423"/>
      <c r="Z81" s="397">
        <f t="shared" si="28"/>
        <v>12.9</v>
      </c>
      <c r="AA81" s="3">
        <v>0.22480620155038761</v>
      </c>
      <c r="AB81" s="3">
        <v>0.112</v>
      </c>
      <c r="AC81" s="161">
        <f t="shared" si="22"/>
        <v>7.5709734513274354</v>
      </c>
      <c r="AE81" s="3">
        <v>0.1</v>
      </c>
      <c r="AF81" s="161">
        <f t="shared" si="24"/>
        <v>0</v>
      </c>
      <c r="AG81" s="3" t="e">
        <f t="shared" si="29"/>
        <v>#N/A</v>
      </c>
      <c r="AH81" s="395">
        <v>0</v>
      </c>
      <c r="AI81" s="395">
        <v>0.04</v>
      </c>
      <c r="AJ81" s="66" t="e">
        <f t="shared" si="31"/>
        <v>#N/A</v>
      </c>
      <c r="AK81" s="31" t="e">
        <f t="shared" si="32"/>
        <v>#N/A</v>
      </c>
      <c r="AL81" s="66" t="e">
        <f>VLOOKUP($J81,#REF!,12,0)</f>
        <v>#REF!</v>
      </c>
      <c r="AM81" s="68">
        <v>2.7E-2</v>
      </c>
      <c r="AN81" s="31" t="e">
        <f t="shared" si="33"/>
        <v>#N/A</v>
      </c>
      <c r="AO81" s="3" t="e">
        <f t="shared" si="30"/>
        <v>#N/A</v>
      </c>
      <c r="AP81" s="157">
        <v>0</v>
      </c>
      <c r="AQ81" s="157" t="e">
        <f t="shared" si="34"/>
        <v>#N/A</v>
      </c>
      <c r="AR81" s="157" t="e">
        <f t="shared" si="35"/>
        <v>#N/A</v>
      </c>
      <c r="AS81" s="31" t="e">
        <f t="shared" si="36"/>
        <v>#N/A</v>
      </c>
    </row>
    <row r="82" spans="1:45">
      <c r="A82" t="str">
        <f t="shared" si="25"/>
        <v>物美2694-50</v>
      </c>
      <c r="B82" t="str">
        <f t="shared" si="26"/>
        <v>XXX2694-50</v>
      </c>
      <c r="C82" t="str">
        <f t="shared" si="27"/>
        <v>XXX物美</v>
      </c>
      <c r="D82" s="2" t="s">
        <v>901</v>
      </c>
      <c r="E82" s="2" t="s">
        <v>817</v>
      </c>
      <c r="F82" s="2" t="s">
        <v>787</v>
      </c>
      <c r="G82" t="e">
        <f>VLOOKUP($J82,'mapping-Y26'!#REF!,2,0)</f>
        <v>#REF!</v>
      </c>
      <c r="H82" t="str">
        <f>VLOOKUP($J82,'mapping-Y26'!$F:$L,6,0)</f>
        <v>40P-55gsm</v>
      </c>
      <c r="I82">
        <f>VLOOKUP($J82,'mapping-Y26'!$F:$L,5,0)</f>
        <v>14017864</v>
      </c>
      <c r="J82" t="s">
        <v>559</v>
      </c>
      <c r="K82" t="str">
        <f>VLOOKUP($J82,'mapping-Y26'!$F:$L,4,0)</f>
        <v xml:space="preserve">D269450舒洁湿厕纸家庭装40抽 </v>
      </c>
      <c r="L82" t="e">
        <f>VLOOKUP($J82,'mapping-Y26'!#REF!,4,0)</f>
        <v>#REF!</v>
      </c>
      <c r="M82" t="str">
        <f>VLOOKUP($J82,'mapping-Y26'!$H:$L,2,0)</f>
        <v xml:space="preserve">D269450舒洁湿厕纸家庭装40抽 </v>
      </c>
      <c r="N82" t="e">
        <f>VLOOKUP($J82,'mapping-Y26'!M:N,3,0)</f>
        <v>#N/A</v>
      </c>
      <c r="O82" s="2" t="e">
        <f>VLOOKUP($J82,'mapping-Y26'!$M:$N,5,0)</f>
        <v>#N/A</v>
      </c>
      <c r="P82" s="2" t="e">
        <f>VLOOKUP($J82,'mapping-Y26'!$M:$N,6,0)</f>
        <v>#N/A</v>
      </c>
      <c r="Q82" s="272" t="e">
        <f>VLOOKUP($J82,'mapping-Y26'!$M:$Q,7,0)</f>
        <v>#N/A</v>
      </c>
      <c r="R82" s="31" t="e">
        <f t="shared" si="37"/>
        <v>#N/A</v>
      </c>
      <c r="U82" s="2">
        <v>6.9</v>
      </c>
      <c r="V82" s="2">
        <v>6.9</v>
      </c>
      <c r="W82" s="423"/>
      <c r="X82" s="423">
        <v>1</v>
      </c>
      <c r="Y82" s="423"/>
      <c r="Z82" s="397">
        <f t="shared" si="28"/>
        <v>6.9</v>
      </c>
      <c r="AA82" s="3">
        <v>0.20289855072463772</v>
      </c>
      <c r="AB82" s="3">
        <v>0.112</v>
      </c>
      <c r="AC82" s="161">
        <f t="shared" si="22"/>
        <v>4.1833628318584077</v>
      </c>
      <c r="AE82" s="3">
        <v>0.1</v>
      </c>
      <c r="AF82" s="161">
        <f t="shared" si="24"/>
        <v>0</v>
      </c>
      <c r="AG82" s="3" t="e">
        <f t="shared" si="29"/>
        <v>#N/A</v>
      </c>
      <c r="AH82" s="395">
        <v>0</v>
      </c>
      <c r="AI82" s="395">
        <v>0.04</v>
      </c>
      <c r="AJ82" s="66" t="e">
        <f t="shared" si="31"/>
        <v>#N/A</v>
      </c>
      <c r="AK82" s="31" t="e">
        <f t="shared" si="32"/>
        <v>#N/A</v>
      </c>
      <c r="AL82" s="66" t="e">
        <f>VLOOKUP($J82,#REF!,12,0)</f>
        <v>#REF!</v>
      </c>
      <c r="AM82" s="68">
        <v>2.7E-2</v>
      </c>
      <c r="AN82" s="31" t="e">
        <f t="shared" si="33"/>
        <v>#N/A</v>
      </c>
      <c r="AO82" s="3" t="e">
        <f t="shared" si="30"/>
        <v>#N/A</v>
      </c>
      <c r="AP82" s="157">
        <v>1560</v>
      </c>
      <c r="AQ82" s="157" t="e">
        <f t="shared" si="34"/>
        <v>#N/A</v>
      </c>
      <c r="AR82" s="157" t="e">
        <f t="shared" si="35"/>
        <v>#N/A</v>
      </c>
      <c r="AS82" s="31" t="e">
        <f t="shared" si="36"/>
        <v>#N/A</v>
      </c>
    </row>
    <row r="83" spans="1:45">
      <c r="A83" t="str">
        <f t="shared" si="25"/>
        <v>物美2162-08</v>
      </c>
      <c r="B83" t="str">
        <f t="shared" si="26"/>
        <v>XXX2162-08</v>
      </c>
      <c r="C83" t="str">
        <f t="shared" si="27"/>
        <v>XXX物美</v>
      </c>
      <c r="D83" s="2" t="s">
        <v>901</v>
      </c>
      <c r="E83" s="2" t="s">
        <v>817</v>
      </c>
      <c r="F83" s="2" t="s">
        <v>787</v>
      </c>
      <c r="G83" t="e">
        <f>VLOOKUP($J83,'mapping-Y26'!#REF!,2,0)</f>
        <v>#REF!</v>
      </c>
      <c r="I83">
        <f>VLOOKUP($J83,'mapping-Y26'!$F:$L,5,0)</f>
        <v>14015110</v>
      </c>
      <c r="J83" t="s">
        <v>150</v>
      </c>
      <c r="K83" t="str">
        <f>VLOOKUP($J83,'mapping-Y26'!$F:$L,4,0)</f>
        <v>216208舒洁®北海道牛乳系列乳霜纸面巾20抽8包装</v>
      </c>
      <c r="L83" t="e">
        <f>VLOOKUP($J83,'mapping-Y26'!#REF!,4,0)</f>
        <v>#REF!</v>
      </c>
      <c r="M83" t="str">
        <f>VLOOKUP($J83,'mapping-Y26'!$H:$L,2,0)</f>
        <v>216208舒洁®北海道牛乳系列乳霜纸面巾20抽8包装</v>
      </c>
      <c r="N83" t="e">
        <f>VLOOKUP($J83,'mapping-Y26'!M:N,3,0)</f>
        <v>#N/A</v>
      </c>
      <c r="O83" s="2" t="e">
        <f>VLOOKUP($J83,'mapping-Y26'!$M:$N,5,0)</f>
        <v>#N/A</v>
      </c>
      <c r="P83" s="2" t="e">
        <f>VLOOKUP($J83,'mapping-Y26'!$M:$N,6,0)</f>
        <v>#N/A</v>
      </c>
      <c r="Q83" s="272" t="e">
        <f>VLOOKUP($J83,'mapping-Y26'!$M:$Q,7,0)</f>
        <v>#N/A</v>
      </c>
      <c r="R83" s="31" t="e">
        <f t="shared" si="37"/>
        <v>#N/A</v>
      </c>
      <c r="U83" s="2">
        <v>19.899999999999999</v>
      </c>
      <c r="V83" s="2">
        <v>19.899999999999999</v>
      </c>
      <c r="W83" s="423"/>
      <c r="X83" s="423">
        <v>1</v>
      </c>
      <c r="Y83" s="423"/>
      <c r="Z83" s="397">
        <f t="shared" si="28"/>
        <v>19.899999999999999</v>
      </c>
      <c r="AA83" s="3">
        <v>0.24623115577889443</v>
      </c>
      <c r="AB83" s="3">
        <v>0.112</v>
      </c>
      <c r="AC83" s="161">
        <f t="shared" si="22"/>
        <v>11.301946902654869</v>
      </c>
      <c r="AE83" s="3">
        <v>0.1</v>
      </c>
      <c r="AF83" s="161">
        <f t="shared" ref="AF83:AF103" si="38">AD83*(1-AE83)</f>
        <v>0</v>
      </c>
      <c r="AG83" s="3" t="e">
        <f t="shared" ref="AG83:AG114" si="39">(R83-AF83)/R83</f>
        <v>#N/A</v>
      </c>
      <c r="AH83" s="395">
        <v>0</v>
      </c>
      <c r="AI83" s="395">
        <v>0.04</v>
      </c>
      <c r="AJ83" s="66" t="e">
        <f t="shared" ref="AJ83:AJ114" si="40">(AH83+AI83)*AF83/R83+AG83</f>
        <v>#N/A</v>
      </c>
      <c r="AK83" s="31" t="e">
        <f t="shared" si="32"/>
        <v>#N/A</v>
      </c>
      <c r="AL83" s="66" t="e">
        <f>VLOOKUP($J83,#REF!,12,0)</f>
        <v>#REF!</v>
      </c>
      <c r="AM83" s="68">
        <v>2.7E-2</v>
      </c>
      <c r="AN83" s="31" t="e">
        <f t="shared" si="33"/>
        <v>#N/A</v>
      </c>
      <c r="AO83" s="3" t="e">
        <f t="shared" si="30"/>
        <v>#N/A</v>
      </c>
      <c r="AP83" s="157">
        <v>1642.5</v>
      </c>
      <c r="AQ83" s="157" t="e">
        <f t="shared" si="34"/>
        <v>#N/A</v>
      </c>
      <c r="AR83" s="157" t="e">
        <f t="shared" si="35"/>
        <v>#N/A</v>
      </c>
      <c r="AS83" s="31" t="e">
        <f t="shared" si="36"/>
        <v>#N/A</v>
      </c>
    </row>
    <row r="84" spans="1:45">
      <c r="A84" t="str">
        <f t="shared" si="25"/>
        <v>银座2155-03</v>
      </c>
      <c r="B84" t="str">
        <f t="shared" si="26"/>
        <v>XXX2155-03</v>
      </c>
      <c r="C84" t="str">
        <f t="shared" si="27"/>
        <v>XXX银座</v>
      </c>
      <c r="D84" s="2" t="s">
        <v>901</v>
      </c>
      <c r="E84" s="2" t="s">
        <v>817</v>
      </c>
      <c r="F84" s="2" t="s">
        <v>788</v>
      </c>
      <c r="G84" t="e">
        <f>VLOOKUP($J84,'mapping-Y26'!#REF!,2,0)</f>
        <v>#REF!</v>
      </c>
      <c r="I84">
        <f>VLOOKUP($J84,'mapping-Y26'!$F:$L,5,0)</f>
        <v>14016306</v>
      </c>
      <c r="J84" t="s">
        <v>136</v>
      </c>
      <c r="K84" t="str">
        <f>VLOOKUP($J84,'mapping-Y26'!$F:$L,4,0)</f>
        <v>215503舒洁®北海道轻牛乳系列乳霜纸面巾40抽3包装</v>
      </c>
      <c r="L84" t="e">
        <f>VLOOKUP($J84,'mapping-Y26'!#REF!,4,0)</f>
        <v>#REF!</v>
      </c>
      <c r="M84" t="str">
        <f>VLOOKUP($J84,'mapping-Y26'!$H:$L,2,0)</f>
        <v>215503舒洁®北海道轻牛乳系列乳霜纸面巾40抽3包装</v>
      </c>
      <c r="N84" t="e">
        <f>VLOOKUP($J84,'mapping-Y26'!M:N,3,0)</f>
        <v>#N/A</v>
      </c>
      <c r="O84" s="2" t="e">
        <f>VLOOKUP($J84,'mapping-Y26'!$M:$N,5,0)</f>
        <v>#N/A</v>
      </c>
      <c r="P84" s="2" t="e">
        <f>VLOOKUP($J84,'mapping-Y26'!$M:$N,6,0)</f>
        <v>#N/A</v>
      </c>
      <c r="Q84" s="272" t="e">
        <f>VLOOKUP($J84,'mapping-Y26'!$M:$Q,7,0)</f>
        <v>#N/A</v>
      </c>
      <c r="R84" s="31" t="e">
        <f t="shared" si="37"/>
        <v>#N/A</v>
      </c>
      <c r="T84" s="2">
        <v>15.9</v>
      </c>
      <c r="U84" s="2">
        <v>9.9</v>
      </c>
      <c r="V84" s="2">
        <v>8.9</v>
      </c>
      <c r="W84" s="423">
        <v>0.05</v>
      </c>
      <c r="X84" s="423">
        <v>0.7</v>
      </c>
      <c r="Y84" s="423">
        <v>0.25</v>
      </c>
      <c r="Z84" s="397">
        <f t="shared" si="28"/>
        <v>9.9499999999999993</v>
      </c>
      <c r="AA84" s="3">
        <v>0.2</v>
      </c>
      <c r="AB84" s="3">
        <v>0</v>
      </c>
      <c r="AC84" s="161">
        <f t="shared" si="22"/>
        <v>7.0442477876106198</v>
      </c>
      <c r="AE84" s="3">
        <v>0.1</v>
      </c>
      <c r="AF84" s="161">
        <f t="shared" si="38"/>
        <v>0</v>
      </c>
      <c r="AG84" s="3" t="e">
        <f t="shared" si="39"/>
        <v>#N/A</v>
      </c>
      <c r="AH84" s="395">
        <v>5.3999999999999999E-2</v>
      </c>
      <c r="AI84" s="395">
        <v>0.04</v>
      </c>
      <c r="AJ84" s="66" t="e">
        <f t="shared" si="40"/>
        <v>#N/A</v>
      </c>
      <c r="AK84" s="31" t="e">
        <f t="shared" si="32"/>
        <v>#N/A</v>
      </c>
      <c r="AL84" s="66" t="e">
        <f>VLOOKUP($J84,#REF!,12,0)</f>
        <v>#REF!</v>
      </c>
      <c r="AM84" s="68">
        <v>2.7E-2</v>
      </c>
      <c r="AN84" s="31" t="e">
        <f t="shared" si="33"/>
        <v>#N/A</v>
      </c>
      <c r="AO84" s="3" t="e">
        <f t="shared" si="30"/>
        <v>#N/A</v>
      </c>
      <c r="AP84" s="157">
        <v>889.6875</v>
      </c>
      <c r="AQ84" s="157" t="e">
        <f t="shared" si="34"/>
        <v>#N/A</v>
      </c>
      <c r="AR84" s="157" t="e">
        <f t="shared" si="35"/>
        <v>#N/A</v>
      </c>
      <c r="AS84" s="31" t="e">
        <f t="shared" si="36"/>
        <v>#N/A</v>
      </c>
    </row>
    <row r="85" spans="1:45">
      <c r="A85" t="str">
        <f t="shared" si="25"/>
        <v>银座2162-08</v>
      </c>
      <c r="B85" t="str">
        <f t="shared" si="26"/>
        <v>XXX2162-08</v>
      </c>
      <c r="C85" t="str">
        <f t="shared" si="27"/>
        <v>XXX银座</v>
      </c>
      <c r="D85" s="2" t="s">
        <v>901</v>
      </c>
      <c r="E85" s="2" t="s">
        <v>817</v>
      </c>
      <c r="F85" s="2" t="s">
        <v>788</v>
      </c>
      <c r="G85" t="e">
        <f>VLOOKUP($J85,'mapping-Y26'!#REF!,2,0)</f>
        <v>#REF!</v>
      </c>
      <c r="I85">
        <f>VLOOKUP($J85,'mapping-Y26'!$F:$L,5,0)</f>
        <v>14015110</v>
      </c>
      <c r="J85" t="s">
        <v>150</v>
      </c>
      <c r="K85" t="str">
        <f>VLOOKUP($J85,'mapping-Y26'!$F:$L,4,0)</f>
        <v>216208舒洁®北海道牛乳系列乳霜纸面巾20抽8包装</v>
      </c>
      <c r="L85" t="e">
        <f>VLOOKUP($J85,'mapping-Y26'!#REF!,4,0)</f>
        <v>#REF!</v>
      </c>
      <c r="M85" t="str">
        <f>VLOOKUP($J85,'mapping-Y26'!$H:$L,2,0)</f>
        <v>216208舒洁®北海道牛乳系列乳霜纸面巾20抽8包装</v>
      </c>
      <c r="N85" t="e">
        <f>VLOOKUP($J85,'mapping-Y26'!M:N,3,0)</f>
        <v>#N/A</v>
      </c>
      <c r="O85" s="2" t="e">
        <f>VLOOKUP($J85,'mapping-Y26'!$M:$N,5,0)</f>
        <v>#N/A</v>
      </c>
      <c r="P85" s="2" t="e">
        <f>VLOOKUP($J85,'mapping-Y26'!$M:$N,6,0)</f>
        <v>#N/A</v>
      </c>
      <c r="Q85" s="272" t="e">
        <f>VLOOKUP($J85,'mapping-Y26'!$M:$Q,7,0)</f>
        <v>#N/A</v>
      </c>
      <c r="R85" s="31" t="e">
        <f t="shared" si="37"/>
        <v>#N/A</v>
      </c>
      <c r="T85" s="2">
        <v>23.9</v>
      </c>
      <c r="U85" s="2">
        <v>21.9</v>
      </c>
      <c r="V85" s="2">
        <v>19.899999999999999</v>
      </c>
      <c r="W85" s="423">
        <v>0.1</v>
      </c>
      <c r="X85" s="423">
        <v>0.6</v>
      </c>
      <c r="Y85" s="423">
        <v>0.3</v>
      </c>
      <c r="Z85" s="397">
        <f t="shared" si="28"/>
        <v>21.5</v>
      </c>
      <c r="AA85" s="3">
        <v>0.2</v>
      </c>
      <c r="AB85" s="3">
        <v>0</v>
      </c>
      <c r="AC85" s="161">
        <f t="shared" si="22"/>
        <v>15.221238938053098</v>
      </c>
      <c r="AE85" s="3">
        <v>0.1</v>
      </c>
      <c r="AF85" s="161">
        <f t="shared" si="38"/>
        <v>0</v>
      </c>
      <c r="AG85" s="3" t="e">
        <f t="shared" si="39"/>
        <v>#N/A</v>
      </c>
      <c r="AH85" s="395">
        <v>5.3999999999999999E-2</v>
      </c>
      <c r="AI85" s="395">
        <v>0.04</v>
      </c>
      <c r="AJ85" s="66" t="e">
        <f t="shared" si="40"/>
        <v>#N/A</v>
      </c>
      <c r="AK85" s="31" t="e">
        <f t="shared" si="32"/>
        <v>#N/A</v>
      </c>
      <c r="AL85" s="66" t="e">
        <f>VLOOKUP($J85,#REF!,12,0)</f>
        <v>#REF!</v>
      </c>
      <c r="AM85" s="68">
        <v>2.7E-2</v>
      </c>
      <c r="AN85" s="31" t="e">
        <f t="shared" si="33"/>
        <v>#N/A</v>
      </c>
      <c r="AO85" s="3" t="e">
        <f t="shared" si="30"/>
        <v>#N/A</v>
      </c>
      <c r="AP85" s="157">
        <v>1314</v>
      </c>
      <c r="AQ85" s="157" t="e">
        <f t="shared" si="34"/>
        <v>#N/A</v>
      </c>
      <c r="AR85" s="157" t="e">
        <f t="shared" si="35"/>
        <v>#N/A</v>
      </c>
      <c r="AS85" s="31" t="e">
        <f t="shared" si="36"/>
        <v>#N/A</v>
      </c>
    </row>
    <row r="86" spans="1:45">
      <c r="A86" t="str">
        <f t="shared" si="25"/>
        <v>银座2660-10</v>
      </c>
      <c r="B86" t="str">
        <f t="shared" si="26"/>
        <v>XXX2660-10</v>
      </c>
      <c r="C86" t="str">
        <f t="shared" si="27"/>
        <v>XXX银座</v>
      </c>
      <c r="D86" s="2" t="s">
        <v>901</v>
      </c>
      <c r="E86" s="2" t="s">
        <v>817</v>
      </c>
      <c r="F86" s="2" t="s">
        <v>788</v>
      </c>
      <c r="G86" t="e">
        <f>VLOOKUP($J86,'mapping-Y26'!#REF!,2,0)</f>
        <v>#REF!</v>
      </c>
      <c r="H86" t="str">
        <f>VLOOKUP($J86,'mapping-Y26'!$F:$L,6,0)</f>
        <v>80P</v>
      </c>
      <c r="I86">
        <f>VLOOKUP($J86,'mapping-Y26'!$F:$L,5,0)</f>
        <v>14017865</v>
      </c>
      <c r="J86" t="s">
        <v>555</v>
      </c>
      <c r="K86" t="str">
        <f>VLOOKUP($J86,'mapping-Y26'!$F:$L,4,0)</f>
        <v xml:space="preserve">266010舒洁湿厕纸80片 </v>
      </c>
      <c r="L86" t="e">
        <f>VLOOKUP($J86,'mapping-Y26'!#REF!,4,0)</f>
        <v>#REF!</v>
      </c>
      <c r="M86" t="str">
        <f>VLOOKUP($J86,'mapping-Y26'!$H:$L,2,0)</f>
        <v xml:space="preserve">266010舒洁湿厕纸80片 </v>
      </c>
      <c r="N86" t="e">
        <f>VLOOKUP($J86,'mapping-Y26'!M:N,3,0)</f>
        <v>#N/A</v>
      </c>
      <c r="O86" s="2" t="e">
        <f>VLOOKUP($J86,'mapping-Y26'!$M:$N,5,0)</f>
        <v>#N/A</v>
      </c>
      <c r="P86" s="2" t="e">
        <f>VLOOKUP($J86,'mapping-Y26'!$M:$N,6,0)</f>
        <v>#N/A</v>
      </c>
      <c r="Q86" s="272" t="e">
        <f>VLOOKUP($J86,'mapping-Y26'!$M:$Q,7,0)</f>
        <v>#N/A</v>
      </c>
      <c r="R86" s="31" t="e">
        <f t="shared" si="37"/>
        <v>#N/A</v>
      </c>
      <c r="T86" s="2">
        <v>17.899999999999999</v>
      </c>
      <c r="U86" s="2">
        <v>9.9</v>
      </c>
      <c r="V86" s="2">
        <v>8.9</v>
      </c>
      <c r="W86" s="423">
        <v>0.05</v>
      </c>
      <c r="X86" s="423">
        <v>0.7</v>
      </c>
      <c r="Y86" s="423">
        <v>0.25</v>
      </c>
      <c r="Z86" s="397">
        <f t="shared" si="28"/>
        <v>10.049999999999999</v>
      </c>
      <c r="AA86" s="3">
        <v>0.2</v>
      </c>
      <c r="AB86" s="3">
        <v>0</v>
      </c>
      <c r="AC86" s="161">
        <f t="shared" si="22"/>
        <v>7.1150442477876101</v>
      </c>
      <c r="AE86" s="3">
        <v>0.1</v>
      </c>
      <c r="AF86" s="161">
        <f t="shared" si="38"/>
        <v>0</v>
      </c>
      <c r="AG86" s="3" t="e">
        <f t="shared" si="39"/>
        <v>#N/A</v>
      </c>
      <c r="AH86" s="395">
        <v>5.3999999999999999E-2</v>
      </c>
      <c r="AI86" s="395">
        <v>0.04</v>
      </c>
      <c r="AJ86" s="66" t="e">
        <f t="shared" si="40"/>
        <v>#N/A</v>
      </c>
      <c r="AK86" s="31" t="e">
        <f t="shared" si="32"/>
        <v>#N/A</v>
      </c>
      <c r="AL86" s="66" t="e">
        <f>VLOOKUP($J86,#REF!,12,0)</f>
        <v>#REF!</v>
      </c>
      <c r="AM86" s="68">
        <v>2.7E-2</v>
      </c>
      <c r="AN86" s="31" t="e">
        <f t="shared" si="33"/>
        <v>#N/A</v>
      </c>
      <c r="AO86" s="3" t="e">
        <f t="shared" si="30"/>
        <v>#N/A</v>
      </c>
      <c r="AP86" s="157">
        <v>403.02083333333331</v>
      </c>
      <c r="AQ86" s="157" t="e">
        <f t="shared" si="34"/>
        <v>#N/A</v>
      </c>
      <c r="AR86" s="157" t="e">
        <f t="shared" si="35"/>
        <v>#N/A</v>
      </c>
      <c r="AS86" s="31" t="e">
        <f t="shared" si="36"/>
        <v>#N/A</v>
      </c>
    </row>
    <row r="87" spans="1:45">
      <c r="A87" t="str">
        <f t="shared" si="25"/>
        <v>银座2701-90</v>
      </c>
      <c r="B87" t="str">
        <f t="shared" si="26"/>
        <v>XXX2701-90</v>
      </c>
      <c r="C87" t="str">
        <f t="shared" si="27"/>
        <v>XXX银座</v>
      </c>
      <c r="D87" s="2" t="s">
        <v>901</v>
      </c>
      <c r="E87" s="2" t="s">
        <v>817</v>
      </c>
      <c r="F87" s="2" t="s">
        <v>788</v>
      </c>
      <c r="G87" t="e">
        <f>VLOOKUP($J87,'mapping-Y26'!#REF!,2,0)</f>
        <v>#REF!</v>
      </c>
      <c r="I87">
        <f>VLOOKUP($J87,'mapping-Y26'!$F:$L,5,0)</f>
        <v>14016871</v>
      </c>
      <c r="J87" t="s">
        <v>227</v>
      </c>
      <c r="K87" t="str">
        <f>VLOOKUP($J87,'mapping-Y26'!$F:$L,4,0)</f>
        <v>270190舒洁小熊印花手帕纸3层10包FSC mix70%</v>
      </c>
      <c r="L87" t="e">
        <f>VLOOKUP($J87,'mapping-Y26'!#REF!,4,0)</f>
        <v>#REF!</v>
      </c>
      <c r="M87" t="str">
        <f>VLOOKUP($J87,'mapping-Y26'!$H:$L,2,0)</f>
        <v>270190舒洁小熊印花手帕纸3层10包FSC mix70%</v>
      </c>
      <c r="N87" t="e">
        <f>VLOOKUP($J87,'mapping-Y26'!M:N,3,0)</f>
        <v>#N/A</v>
      </c>
      <c r="O87" s="2" t="e">
        <f>VLOOKUP($J87,'mapping-Y26'!$M:$N,5,0)</f>
        <v>#N/A</v>
      </c>
      <c r="P87" s="2" t="e">
        <f>VLOOKUP($J87,'mapping-Y26'!$M:$N,6,0)</f>
        <v>#N/A</v>
      </c>
      <c r="Q87" s="272" t="e">
        <f>VLOOKUP($J87,'mapping-Y26'!$M:$Q,7,0)</f>
        <v>#N/A</v>
      </c>
      <c r="R87" s="31" t="e">
        <f t="shared" si="37"/>
        <v>#N/A</v>
      </c>
      <c r="T87" s="2">
        <v>7.8</v>
      </c>
      <c r="U87" s="2">
        <v>7.5</v>
      </c>
      <c r="V87" s="2">
        <v>6.9</v>
      </c>
      <c r="W87" s="423">
        <v>0.05</v>
      </c>
      <c r="X87" s="423">
        <v>0.7</v>
      </c>
      <c r="Y87" s="423">
        <v>0.25</v>
      </c>
      <c r="Z87" s="397">
        <f t="shared" si="28"/>
        <v>7.3650000000000002</v>
      </c>
      <c r="AA87" s="3">
        <v>0.2</v>
      </c>
      <c r="AB87" s="3">
        <v>0</v>
      </c>
      <c r="AC87" s="161">
        <f t="shared" si="22"/>
        <v>5.214159292035399</v>
      </c>
      <c r="AE87" s="3">
        <v>0.1</v>
      </c>
      <c r="AF87" s="161">
        <f t="shared" si="38"/>
        <v>0</v>
      </c>
      <c r="AG87" s="3" t="e">
        <f t="shared" si="39"/>
        <v>#N/A</v>
      </c>
      <c r="AH87" s="395">
        <v>5.3999999999999999E-2</v>
      </c>
      <c r="AI87" s="395">
        <v>0.04</v>
      </c>
      <c r="AJ87" s="66" t="e">
        <f t="shared" si="40"/>
        <v>#N/A</v>
      </c>
      <c r="AK87" s="31" t="e">
        <f t="shared" si="32"/>
        <v>#N/A</v>
      </c>
      <c r="AL87" s="66" t="e">
        <f>VLOOKUP($J87,#REF!,12,0)</f>
        <v>#REF!</v>
      </c>
      <c r="AM87" s="68">
        <v>2.7E-2</v>
      </c>
      <c r="AN87" s="31" t="e">
        <f t="shared" si="33"/>
        <v>#N/A</v>
      </c>
      <c r="AO87" s="3" t="e">
        <f t="shared" si="30"/>
        <v>#N/A</v>
      </c>
      <c r="AP87" s="157">
        <v>334.58333333333331</v>
      </c>
      <c r="AQ87" s="157" t="e">
        <f t="shared" si="34"/>
        <v>#N/A</v>
      </c>
      <c r="AR87" s="157" t="e">
        <f t="shared" si="35"/>
        <v>#N/A</v>
      </c>
      <c r="AS87" s="31" t="e">
        <f t="shared" si="36"/>
        <v>#N/A</v>
      </c>
    </row>
    <row r="88" spans="1:45">
      <c r="A88" t="str">
        <f t="shared" si="25"/>
        <v>银座2103-90</v>
      </c>
      <c r="B88" t="str">
        <f t="shared" si="26"/>
        <v>XXX2103-90</v>
      </c>
      <c r="C88" t="str">
        <f t="shared" si="27"/>
        <v>XXX银座</v>
      </c>
      <c r="D88" s="2" t="s">
        <v>901</v>
      </c>
      <c r="E88" s="2" t="s">
        <v>817</v>
      </c>
      <c r="F88" s="2" t="s">
        <v>788</v>
      </c>
      <c r="G88" t="e">
        <f>VLOOKUP($J88,'mapping-Y26'!#REF!,2,0)</f>
        <v>#REF!</v>
      </c>
      <c r="I88">
        <f>VLOOKUP($J88,'mapping-Y26'!$F:$L,5,0)</f>
        <v>14016868</v>
      </c>
      <c r="J88" t="s">
        <v>172</v>
      </c>
      <c r="K88" t="str">
        <f>VLOOKUP($J88,'mapping-Y26'!$F:$L,4,0)</f>
        <v>210390舒洁小熊印花抽纸3层80抽4包FSC mix70%</v>
      </c>
      <c r="L88" t="e">
        <f>VLOOKUP($J88,'mapping-Y26'!#REF!,4,0)</f>
        <v>#REF!</v>
      </c>
      <c r="M88" t="str">
        <f>VLOOKUP($J88,'mapping-Y26'!$H:$L,2,0)</f>
        <v>210390舒洁小熊印花抽纸3层80抽4包FSC mix70%</v>
      </c>
      <c r="N88" t="e">
        <f>VLOOKUP($J88,'mapping-Y26'!M:N,3,0)</f>
        <v>#N/A</v>
      </c>
      <c r="O88" s="2" t="e">
        <f>VLOOKUP($J88,'mapping-Y26'!$M:$N,5,0)</f>
        <v>#N/A</v>
      </c>
      <c r="P88" s="2" t="e">
        <f>VLOOKUP($J88,'mapping-Y26'!$M:$N,6,0)</f>
        <v>#N/A</v>
      </c>
      <c r="Q88" s="272" t="e">
        <f>VLOOKUP($J88,'mapping-Y26'!$M:$Q,7,0)</f>
        <v>#N/A</v>
      </c>
      <c r="R88" s="31" t="e">
        <f t="shared" si="37"/>
        <v>#N/A</v>
      </c>
      <c r="T88" s="2">
        <v>15.9</v>
      </c>
      <c r="U88" s="2">
        <v>13.9</v>
      </c>
      <c r="V88" s="2">
        <v>12.9</v>
      </c>
      <c r="W88" s="423">
        <v>0.05</v>
      </c>
      <c r="X88" s="423">
        <v>0.7</v>
      </c>
      <c r="Y88" s="423">
        <v>0.25</v>
      </c>
      <c r="Z88" s="397">
        <f t="shared" si="28"/>
        <v>13.75</v>
      </c>
      <c r="AA88" s="3">
        <v>0.2</v>
      </c>
      <c r="AB88" s="3">
        <v>0</v>
      </c>
      <c r="AC88" s="161">
        <f t="shared" si="22"/>
        <v>9.7345132743362832</v>
      </c>
      <c r="AE88" s="3">
        <v>0.1</v>
      </c>
      <c r="AF88" s="161">
        <f t="shared" si="38"/>
        <v>0</v>
      </c>
      <c r="AG88" s="3" t="e">
        <f t="shared" si="39"/>
        <v>#N/A</v>
      </c>
      <c r="AH88" s="395">
        <v>5.3999999999999999E-2</v>
      </c>
      <c r="AI88" s="395">
        <v>0.04</v>
      </c>
      <c r="AJ88" s="66" t="e">
        <f t="shared" si="40"/>
        <v>#N/A</v>
      </c>
      <c r="AK88" s="31" t="e">
        <f t="shared" si="32"/>
        <v>#N/A</v>
      </c>
      <c r="AL88" s="66" t="e">
        <f>VLOOKUP($J88,#REF!,12,0)</f>
        <v>#REF!</v>
      </c>
      <c r="AM88" s="68">
        <v>2.7E-2</v>
      </c>
      <c r="AN88" s="31" t="e">
        <f t="shared" si="33"/>
        <v>#N/A</v>
      </c>
      <c r="AO88" s="3" t="e">
        <f t="shared" si="30"/>
        <v>#N/A</v>
      </c>
      <c r="AP88" s="157">
        <v>261.58333333333337</v>
      </c>
      <c r="AQ88" s="157" t="e">
        <f t="shared" si="34"/>
        <v>#N/A</v>
      </c>
      <c r="AR88" s="157" t="e">
        <f t="shared" si="35"/>
        <v>#N/A</v>
      </c>
      <c r="AS88" s="31" t="e">
        <f t="shared" si="36"/>
        <v>#N/A</v>
      </c>
    </row>
    <row r="89" spans="1:45">
      <c r="A89" t="str">
        <f t="shared" si="25"/>
        <v>银座2291-60</v>
      </c>
      <c r="B89" t="str">
        <f t="shared" si="26"/>
        <v>XXX2291-60</v>
      </c>
      <c r="C89" t="str">
        <f t="shared" si="27"/>
        <v>XXX银座</v>
      </c>
      <c r="D89" s="2" t="s">
        <v>901</v>
      </c>
      <c r="E89" s="2" t="s">
        <v>817</v>
      </c>
      <c r="F89" s="2" t="s">
        <v>788</v>
      </c>
      <c r="G89" t="e">
        <f>VLOOKUP($J89,'mapping-Y26'!#REF!,2,0)</f>
        <v>#REF!</v>
      </c>
      <c r="I89">
        <f>VLOOKUP($J89,'mapping-Y26'!$F:$L,5,0)</f>
        <v>14014479</v>
      </c>
      <c r="J89" t="s">
        <v>219</v>
      </c>
      <c r="K89" t="str">
        <f>VLOOKUP($J89,'mapping-Y26'!$F:$L,4,0)</f>
        <v xml:space="preserve">229160舒洁绿茶洋甘菊印花清香卷纸10粒 </v>
      </c>
      <c r="L89" t="e">
        <f>VLOOKUP($J89,'mapping-Y26'!#REF!,4,0)</f>
        <v>#REF!</v>
      </c>
      <c r="M89" t="str">
        <f>VLOOKUP($J89,'mapping-Y26'!$H:$L,2,0)</f>
        <v xml:space="preserve">229160舒洁绿茶洋甘菊印花清香卷纸10粒 </v>
      </c>
      <c r="N89" t="e">
        <f>VLOOKUP($J89,'mapping-Y26'!M:N,3,0)</f>
        <v>#N/A</v>
      </c>
      <c r="O89" s="2" t="e">
        <f>VLOOKUP($J89,'mapping-Y26'!$M:$N,5,0)</f>
        <v>#N/A</v>
      </c>
      <c r="P89" s="2" t="e">
        <f>VLOOKUP($J89,'mapping-Y26'!$M:$N,6,0)</f>
        <v>#N/A</v>
      </c>
      <c r="Q89" s="272" t="e">
        <f>VLOOKUP($J89,'mapping-Y26'!$M:$Q,7,0)</f>
        <v>#N/A</v>
      </c>
      <c r="R89" s="31" t="e">
        <f t="shared" si="37"/>
        <v>#N/A</v>
      </c>
      <c r="T89" s="2">
        <v>35.9</v>
      </c>
      <c r="U89" s="2">
        <v>32.9</v>
      </c>
      <c r="V89" s="2">
        <v>29.9</v>
      </c>
      <c r="W89" s="423">
        <v>0.05</v>
      </c>
      <c r="X89" s="423">
        <v>0.85</v>
      </c>
      <c r="Y89" s="423">
        <v>0.1</v>
      </c>
      <c r="Z89" s="397">
        <f t="shared" si="28"/>
        <v>32.75</v>
      </c>
      <c r="AA89" s="3">
        <v>0.2</v>
      </c>
      <c r="AB89" s="3">
        <v>0</v>
      </c>
      <c r="AC89" s="161">
        <f t="shared" si="22"/>
        <v>23.185840707964605</v>
      </c>
      <c r="AE89" s="3">
        <v>0.1</v>
      </c>
      <c r="AF89" s="161">
        <f t="shared" si="38"/>
        <v>0</v>
      </c>
      <c r="AG89" s="3" t="e">
        <f t="shared" si="39"/>
        <v>#N/A</v>
      </c>
      <c r="AH89" s="395">
        <v>5.3999999999999999E-2</v>
      </c>
      <c r="AI89" s="395">
        <v>0.04</v>
      </c>
      <c r="AJ89" s="66" t="e">
        <f t="shared" si="40"/>
        <v>#N/A</v>
      </c>
      <c r="AK89" s="31" t="e">
        <f t="shared" si="32"/>
        <v>#N/A</v>
      </c>
      <c r="AL89" s="66" t="e">
        <f>VLOOKUP($J89,#REF!,12,0)</f>
        <v>#REF!</v>
      </c>
      <c r="AM89" s="68">
        <v>2.7E-2</v>
      </c>
      <c r="AN89" s="31" t="e">
        <f t="shared" si="33"/>
        <v>#N/A</v>
      </c>
      <c r="AO89" s="3" t="e">
        <f t="shared" si="30"/>
        <v>#N/A</v>
      </c>
      <c r="AP89" s="157">
        <v>2500</v>
      </c>
      <c r="AQ89" s="157" t="e">
        <f t="shared" si="34"/>
        <v>#N/A</v>
      </c>
      <c r="AR89" s="157" t="e">
        <f t="shared" si="35"/>
        <v>#N/A</v>
      </c>
      <c r="AS89" s="31" t="e">
        <f t="shared" si="36"/>
        <v>#N/A</v>
      </c>
    </row>
    <row r="90" spans="1:45">
      <c r="A90" t="str">
        <f t="shared" si="25"/>
        <v>利群2291-60</v>
      </c>
      <c r="B90" t="str">
        <f t="shared" si="26"/>
        <v>福兴祥2291-60</v>
      </c>
      <c r="C90" t="str">
        <f t="shared" si="27"/>
        <v>福兴祥利群</v>
      </c>
      <c r="D90" s="2" t="s">
        <v>901</v>
      </c>
      <c r="E90" s="2" t="s">
        <v>908</v>
      </c>
      <c r="F90" s="2" t="s">
        <v>789</v>
      </c>
      <c r="G90" t="e">
        <f>VLOOKUP($J90,'mapping-Y26'!#REF!,2,0)</f>
        <v>#REF!</v>
      </c>
      <c r="I90">
        <f>VLOOKUP($J90,'mapping-Y26'!$F:$L,5,0)</f>
        <v>14014479</v>
      </c>
      <c r="J90" t="s">
        <v>219</v>
      </c>
      <c r="K90" t="str">
        <f>VLOOKUP($J90,'mapping-Y26'!$F:$L,4,0)</f>
        <v xml:space="preserve">229160舒洁绿茶洋甘菊印花清香卷纸10粒 </v>
      </c>
      <c r="L90" t="e">
        <f>VLOOKUP($J90,'mapping-Y26'!#REF!,4,0)</f>
        <v>#REF!</v>
      </c>
      <c r="M90" t="str">
        <f>VLOOKUP($J90,'mapping-Y26'!$H:$L,2,0)</f>
        <v xml:space="preserve">229160舒洁绿茶洋甘菊印花清香卷纸10粒 </v>
      </c>
      <c r="N90" t="e">
        <f>VLOOKUP($J90,'mapping-Y26'!M:N,3,0)</f>
        <v>#N/A</v>
      </c>
      <c r="O90" s="2" t="e">
        <f>VLOOKUP($J90,'mapping-Y26'!$M:$N,5,0)</f>
        <v>#N/A</v>
      </c>
      <c r="P90" s="2" t="e">
        <f>VLOOKUP($J90,'mapping-Y26'!$M:$N,6,0)</f>
        <v>#N/A</v>
      </c>
      <c r="Q90" s="272" t="e">
        <f>VLOOKUP($J90,'mapping-Y26'!$M:$Q,7,0)</f>
        <v>#N/A</v>
      </c>
      <c r="R90" s="31" t="e">
        <f t="shared" si="37"/>
        <v>#N/A</v>
      </c>
      <c r="T90" s="2">
        <v>39.9</v>
      </c>
      <c r="U90" s="2">
        <v>35.9</v>
      </c>
      <c r="V90" s="2">
        <v>29.9</v>
      </c>
      <c r="W90" s="423">
        <v>0.05</v>
      </c>
      <c r="X90" s="423">
        <v>0.85</v>
      </c>
      <c r="Y90" s="423">
        <v>0.1</v>
      </c>
      <c r="Z90" s="397">
        <f t="shared" si="28"/>
        <v>35.5</v>
      </c>
      <c r="AA90" s="3">
        <v>0.18</v>
      </c>
      <c r="AB90" s="3">
        <v>0</v>
      </c>
      <c r="AC90" s="161">
        <f t="shared" si="22"/>
        <v>25.761061946902661</v>
      </c>
      <c r="AE90" s="3">
        <v>0.06</v>
      </c>
      <c r="AF90" s="161">
        <f t="shared" si="38"/>
        <v>0</v>
      </c>
      <c r="AG90" s="3" t="e">
        <f t="shared" si="39"/>
        <v>#N/A</v>
      </c>
      <c r="AH90" s="395">
        <v>7.3999999999999996E-2</v>
      </c>
      <c r="AI90" s="395">
        <v>0.04</v>
      </c>
      <c r="AJ90" s="66" t="e">
        <f t="shared" si="40"/>
        <v>#N/A</v>
      </c>
      <c r="AK90" s="31" t="e">
        <f t="shared" si="32"/>
        <v>#N/A</v>
      </c>
      <c r="AL90" s="66" t="e">
        <f>VLOOKUP($J90,#REF!,12,0)</f>
        <v>#REF!</v>
      </c>
      <c r="AM90" s="68">
        <v>2.7E-2</v>
      </c>
      <c r="AN90" s="31" t="e">
        <f t="shared" si="33"/>
        <v>#N/A</v>
      </c>
      <c r="AO90" s="3" t="e">
        <f t="shared" si="30"/>
        <v>#N/A</v>
      </c>
      <c r="AP90" s="157">
        <v>420.91800000000001</v>
      </c>
      <c r="AQ90" s="157" t="e">
        <f t="shared" si="34"/>
        <v>#N/A</v>
      </c>
      <c r="AR90" s="157" t="e">
        <f t="shared" si="35"/>
        <v>#N/A</v>
      </c>
      <c r="AS90" s="31" t="e">
        <f t="shared" si="36"/>
        <v>#N/A</v>
      </c>
    </row>
    <row r="91" spans="1:45">
      <c r="A91" t="str">
        <f t="shared" si="25"/>
        <v>利群2216-35</v>
      </c>
      <c r="B91" t="str">
        <f t="shared" si="26"/>
        <v>福兴祥2216-35</v>
      </c>
      <c r="C91" t="str">
        <f t="shared" si="27"/>
        <v>福兴祥利群</v>
      </c>
      <c r="D91" s="2" t="s">
        <v>901</v>
      </c>
      <c r="E91" s="2" t="s">
        <v>908</v>
      </c>
      <c r="F91" s="2" t="s">
        <v>789</v>
      </c>
      <c r="G91" t="e">
        <f>VLOOKUP($J91,'mapping-Y26'!#REF!,2,0)</f>
        <v>#REF!</v>
      </c>
      <c r="I91">
        <f>VLOOKUP($J91,'mapping-Y26'!$F:$L,5,0)</f>
        <v>14015861</v>
      </c>
      <c r="J91" t="s">
        <v>211</v>
      </c>
      <c r="K91" t="str">
        <f>VLOOKUP($J91,'mapping-Y26'!$F:$L,4,0)</f>
        <v xml:space="preserve">221635舒洁卷纸3层纯白10粒（蓝色） </v>
      </c>
      <c r="L91" t="e">
        <f>VLOOKUP($J91,'mapping-Y26'!#REF!,4,0)</f>
        <v>#REF!</v>
      </c>
      <c r="M91" t="str">
        <f>VLOOKUP($J91,'mapping-Y26'!$H:$L,2,0)</f>
        <v xml:space="preserve">221635舒洁卷纸3层纯白10粒（蓝色） </v>
      </c>
      <c r="N91" t="e">
        <f>VLOOKUP($J91,'mapping-Y26'!M:N,3,0)</f>
        <v>#N/A</v>
      </c>
      <c r="O91" s="2" t="e">
        <f>VLOOKUP($J91,'mapping-Y26'!$M:$N,5,0)</f>
        <v>#N/A</v>
      </c>
      <c r="P91" s="2" t="e">
        <f>VLOOKUP($J91,'mapping-Y26'!$M:$N,6,0)</f>
        <v>#N/A</v>
      </c>
      <c r="Q91" s="272" t="e">
        <f>VLOOKUP($J91,'mapping-Y26'!$M:$Q,7,0)</f>
        <v>#N/A</v>
      </c>
      <c r="R91" s="31" t="e">
        <f t="shared" si="37"/>
        <v>#N/A</v>
      </c>
      <c r="T91" s="2">
        <v>32.9</v>
      </c>
      <c r="U91" s="2">
        <v>27.9</v>
      </c>
      <c r="V91" s="2">
        <v>19.899999999999999</v>
      </c>
      <c r="W91" s="423">
        <v>0.05</v>
      </c>
      <c r="X91" s="423">
        <v>0.7</v>
      </c>
      <c r="Y91" s="423">
        <v>0.25</v>
      </c>
      <c r="Z91" s="397">
        <f t="shared" si="28"/>
        <v>26.15</v>
      </c>
      <c r="AA91" s="3">
        <v>0.18</v>
      </c>
      <c r="AB91" s="3">
        <v>0</v>
      </c>
      <c r="AC91" s="161">
        <f t="shared" si="22"/>
        <v>18.976106194690267</v>
      </c>
      <c r="AE91" s="3">
        <v>0.06</v>
      </c>
      <c r="AF91" s="161">
        <f t="shared" si="38"/>
        <v>0</v>
      </c>
      <c r="AG91" s="3" t="e">
        <f t="shared" si="39"/>
        <v>#N/A</v>
      </c>
      <c r="AH91" s="395">
        <v>7.3999999999999996E-2</v>
      </c>
      <c r="AI91" s="395">
        <v>0.04</v>
      </c>
      <c r="AJ91" s="66" t="e">
        <f t="shared" si="40"/>
        <v>#N/A</v>
      </c>
      <c r="AK91" s="31" t="e">
        <f t="shared" si="32"/>
        <v>#N/A</v>
      </c>
      <c r="AL91" s="66" t="e">
        <f>VLOOKUP($J91,#REF!,12,0)</f>
        <v>#REF!</v>
      </c>
      <c r="AM91" s="68">
        <v>2.7E-2</v>
      </c>
      <c r="AN91" s="31" t="e">
        <f t="shared" si="33"/>
        <v>#N/A</v>
      </c>
      <c r="AO91" s="3" t="e">
        <f t="shared" si="30"/>
        <v>#N/A</v>
      </c>
      <c r="AP91" s="157">
        <v>210.459</v>
      </c>
      <c r="AQ91" s="157" t="e">
        <f t="shared" si="34"/>
        <v>#N/A</v>
      </c>
      <c r="AR91" s="157" t="e">
        <f t="shared" si="35"/>
        <v>#N/A</v>
      </c>
      <c r="AS91" s="31" t="e">
        <f t="shared" si="36"/>
        <v>#N/A</v>
      </c>
    </row>
    <row r="92" spans="1:45">
      <c r="A92" t="str">
        <f t="shared" si="25"/>
        <v>利群2660-10</v>
      </c>
      <c r="B92" t="str">
        <f t="shared" si="26"/>
        <v>福兴祥2660-10</v>
      </c>
      <c r="C92" t="str">
        <f t="shared" si="27"/>
        <v>福兴祥利群</v>
      </c>
      <c r="D92" s="2" t="s">
        <v>901</v>
      </c>
      <c r="E92" s="2" t="s">
        <v>908</v>
      </c>
      <c r="F92" s="2" t="s">
        <v>789</v>
      </c>
      <c r="G92" t="e">
        <f>VLOOKUP($J92,'mapping-Y26'!#REF!,2,0)</f>
        <v>#REF!</v>
      </c>
      <c r="H92" t="str">
        <f>VLOOKUP($J92,'mapping-Y26'!$F:$L,6,0)</f>
        <v>80P</v>
      </c>
      <c r="I92">
        <f>VLOOKUP($J92,'mapping-Y26'!$F:$L,5,0)</f>
        <v>14017865</v>
      </c>
      <c r="J92" t="s">
        <v>555</v>
      </c>
      <c r="K92" t="str">
        <f>VLOOKUP($J92,'mapping-Y26'!$F:$L,4,0)</f>
        <v xml:space="preserve">266010舒洁湿厕纸80片 </v>
      </c>
      <c r="L92" t="e">
        <f>VLOOKUP($J92,'mapping-Y26'!#REF!,4,0)</f>
        <v>#REF!</v>
      </c>
      <c r="M92" t="str">
        <f>VLOOKUP($J92,'mapping-Y26'!$H:$L,2,0)</f>
        <v xml:space="preserve">266010舒洁湿厕纸80片 </v>
      </c>
      <c r="N92" t="e">
        <f>VLOOKUP($J92,'mapping-Y26'!M:N,3,0)</f>
        <v>#N/A</v>
      </c>
      <c r="O92" s="2" t="e">
        <f>VLOOKUP($J92,'mapping-Y26'!$M:$N,5,0)</f>
        <v>#N/A</v>
      </c>
      <c r="P92" s="2" t="e">
        <f>VLOOKUP($J92,'mapping-Y26'!$M:$N,6,0)</f>
        <v>#N/A</v>
      </c>
      <c r="Q92" s="272" t="e">
        <f>VLOOKUP($J92,'mapping-Y26'!$M:$Q,7,0)</f>
        <v>#N/A</v>
      </c>
      <c r="R92" s="31" t="e">
        <f t="shared" si="37"/>
        <v>#N/A</v>
      </c>
      <c r="T92" s="2">
        <v>19.899999999999999</v>
      </c>
      <c r="U92" s="2">
        <v>9.9</v>
      </c>
      <c r="V92" s="2">
        <v>8.9</v>
      </c>
      <c r="W92" s="423">
        <v>0.05</v>
      </c>
      <c r="X92" s="423">
        <v>0.7</v>
      </c>
      <c r="Y92" s="423">
        <v>0.25</v>
      </c>
      <c r="Z92" s="397">
        <f t="shared" si="28"/>
        <v>10.15</v>
      </c>
      <c r="AA92" s="3">
        <v>0.18</v>
      </c>
      <c r="AB92" s="3">
        <v>0</v>
      </c>
      <c r="AC92" s="161">
        <f t="shared" si="22"/>
        <v>7.3654867256637182</v>
      </c>
      <c r="AE92" s="3">
        <v>0.06</v>
      </c>
      <c r="AF92" s="161">
        <f t="shared" si="38"/>
        <v>0</v>
      </c>
      <c r="AG92" s="3" t="e">
        <f t="shared" si="39"/>
        <v>#N/A</v>
      </c>
      <c r="AH92" s="395">
        <v>7.3999999999999996E-2</v>
      </c>
      <c r="AI92" s="395">
        <v>0.04</v>
      </c>
      <c r="AJ92" s="66" t="e">
        <f t="shared" si="40"/>
        <v>#N/A</v>
      </c>
      <c r="AK92" s="31" t="e">
        <f t="shared" si="32"/>
        <v>#N/A</v>
      </c>
      <c r="AL92" s="66" t="e">
        <f>VLOOKUP($J92,#REF!,12,0)</f>
        <v>#REF!</v>
      </c>
      <c r="AM92" s="68">
        <v>2.7E-2</v>
      </c>
      <c r="AN92" s="31" t="e">
        <f t="shared" si="33"/>
        <v>#N/A</v>
      </c>
      <c r="AO92" s="3" t="e">
        <f t="shared" si="30"/>
        <v>#N/A</v>
      </c>
      <c r="AP92" s="157">
        <v>648.72666666666657</v>
      </c>
      <c r="AQ92" s="157" t="e">
        <f t="shared" si="34"/>
        <v>#N/A</v>
      </c>
      <c r="AR92" s="157" t="e">
        <f t="shared" si="35"/>
        <v>#N/A</v>
      </c>
      <c r="AS92" s="31" t="e">
        <f t="shared" si="36"/>
        <v>#N/A</v>
      </c>
    </row>
    <row r="93" spans="1:45">
      <c r="A93" t="str">
        <f t="shared" si="25"/>
        <v>利群2701-90</v>
      </c>
      <c r="B93" t="str">
        <f t="shared" si="26"/>
        <v>福兴祥2701-90</v>
      </c>
      <c r="C93" t="str">
        <f t="shared" si="27"/>
        <v>福兴祥利群</v>
      </c>
      <c r="D93" s="2" t="s">
        <v>901</v>
      </c>
      <c r="E93" s="2" t="s">
        <v>908</v>
      </c>
      <c r="F93" s="2" t="s">
        <v>789</v>
      </c>
      <c r="G93" t="e">
        <f>VLOOKUP($J93,'mapping-Y26'!#REF!,2,0)</f>
        <v>#REF!</v>
      </c>
      <c r="I93">
        <f>VLOOKUP($J93,'mapping-Y26'!$F:$L,5,0)</f>
        <v>14016871</v>
      </c>
      <c r="J93" t="s">
        <v>227</v>
      </c>
      <c r="K93" t="str">
        <f>VLOOKUP($J93,'mapping-Y26'!$F:$L,4,0)</f>
        <v>270190舒洁小熊印花手帕纸3层10包FSC mix70%</v>
      </c>
      <c r="L93" t="e">
        <f>VLOOKUP($J93,'mapping-Y26'!#REF!,4,0)</f>
        <v>#REF!</v>
      </c>
      <c r="M93" t="str">
        <f>VLOOKUP($J93,'mapping-Y26'!$H:$L,2,0)</f>
        <v>270190舒洁小熊印花手帕纸3层10包FSC mix70%</v>
      </c>
      <c r="N93" t="e">
        <f>VLOOKUP($J93,'mapping-Y26'!M:N,3,0)</f>
        <v>#N/A</v>
      </c>
      <c r="O93" s="2" t="e">
        <f>VLOOKUP($J93,'mapping-Y26'!$M:$N,5,0)</f>
        <v>#N/A</v>
      </c>
      <c r="P93" s="2" t="e">
        <f>VLOOKUP($J93,'mapping-Y26'!$M:$N,6,0)</f>
        <v>#N/A</v>
      </c>
      <c r="Q93" s="272" t="e">
        <f>VLOOKUP($J93,'mapping-Y26'!$M:$Q,7,0)</f>
        <v>#N/A</v>
      </c>
      <c r="R93" s="31" t="e">
        <f t="shared" si="37"/>
        <v>#N/A</v>
      </c>
      <c r="T93" s="2">
        <v>7.5</v>
      </c>
      <c r="U93" s="2">
        <v>7.9</v>
      </c>
      <c r="V93" s="2">
        <v>6.9</v>
      </c>
      <c r="W93" s="423">
        <v>0.05</v>
      </c>
      <c r="X93" s="423">
        <v>0.6</v>
      </c>
      <c r="Y93" s="423">
        <v>0.35</v>
      </c>
      <c r="Z93" s="397">
        <f t="shared" si="28"/>
        <v>7.53</v>
      </c>
      <c r="AA93" s="3">
        <v>0.18</v>
      </c>
      <c r="AB93" s="3">
        <v>0</v>
      </c>
      <c r="AC93" s="161">
        <f t="shared" si="22"/>
        <v>5.4642477876106206</v>
      </c>
      <c r="AE93" s="3">
        <v>0.06</v>
      </c>
      <c r="AF93" s="161">
        <f t="shared" si="38"/>
        <v>0</v>
      </c>
      <c r="AG93" s="3" t="e">
        <f t="shared" si="39"/>
        <v>#N/A</v>
      </c>
      <c r="AH93" s="395">
        <v>7.3999999999999996E-2</v>
      </c>
      <c r="AI93" s="395">
        <v>0.04</v>
      </c>
      <c r="AJ93" s="66" t="e">
        <f t="shared" si="40"/>
        <v>#N/A</v>
      </c>
      <c r="AK93" s="31" t="e">
        <f t="shared" si="32"/>
        <v>#N/A</v>
      </c>
      <c r="AL93" s="66" t="e">
        <f>VLOOKUP($J93,#REF!,12,0)</f>
        <v>#REF!</v>
      </c>
      <c r="AM93" s="68">
        <v>2.7E-2</v>
      </c>
      <c r="AN93" s="31" t="e">
        <f t="shared" si="33"/>
        <v>#N/A</v>
      </c>
      <c r="AO93" s="3" t="e">
        <f t="shared" si="30"/>
        <v>#N/A</v>
      </c>
      <c r="AP93" s="157">
        <v>131.26258416311049</v>
      </c>
      <c r="AQ93" s="157" t="e">
        <f t="shared" si="34"/>
        <v>#N/A</v>
      </c>
      <c r="AR93" s="157" t="e">
        <f t="shared" si="35"/>
        <v>#N/A</v>
      </c>
      <c r="AS93" s="31" t="e">
        <f t="shared" si="36"/>
        <v>#N/A</v>
      </c>
    </row>
    <row r="94" spans="1:45">
      <c r="A94" t="str">
        <f t="shared" si="25"/>
        <v>利群2103-90</v>
      </c>
      <c r="B94" t="str">
        <f t="shared" si="26"/>
        <v>福兴祥2103-90</v>
      </c>
      <c r="C94" t="str">
        <f t="shared" si="27"/>
        <v>福兴祥利群</v>
      </c>
      <c r="D94" s="2" t="s">
        <v>901</v>
      </c>
      <c r="E94" s="2" t="s">
        <v>908</v>
      </c>
      <c r="F94" s="2" t="s">
        <v>789</v>
      </c>
      <c r="G94" t="e">
        <f>VLOOKUP($J94,'mapping-Y26'!#REF!,2,0)</f>
        <v>#REF!</v>
      </c>
      <c r="I94">
        <f>VLOOKUP($J94,'mapping-Y26'!$F:$L,5,0)</f>
        <v>14016868</v>
      </c>
      <c r="J94" t="s">
        <v>172</v>
      </c>
      <c r="K94" t="str">
        <f>VLOOKUP($J94,'mapping-Y26'!$F:$L,4,0)</f>
        <v>210390舒洁小熊印花抽纸3层80抽4包FSC mix70%</v>
      </c>
      <c r="L94" t="e">
        <f>VLOOKUP($J94,'mapping-Y26'!#REF!,4,0)</f>
        <v>#REF!</v>
      </c>
      <c r="M94" t="str">
        <f>VLOOKUP($J94,'mapping-Y26'!$H:$L,2,0)</f>
        <v>210390舒洁小熊印花抽纸3层80抽4包FSC mix70%</v>
      </c>
      <c r="N94" t="e">
        <f>VLOOKUP($J94,'mapping-Y26'!M:N,3,0)</f>
        <v>#N/A</v>
      </c>
      <c r="O94" s="2" t="e">
        <f>VLOOKUP($J94,'mapping-Y26'!$M:$N,5,0)</f>
        <v>#N/A</v>
      </c>
      <c r="P94" s="2" t="e">
        <f>VLOOKUP($J94,'mapping-Y26'!$M:$N,6,0)</f>
        <v>#N/A</v>
      </c>
      <c r="Q94" s="272" t="e">
        <f>VLOOKUP($J94,'mapping-Y26'!$M:$Q,7,0)</f>
        <v>#N/A</v>
      </c>
      <c r="R94" s="31" t="e">
        <f t="shared" si="37"/>
        <v>#N/A</v>
      </c>
      <c r="T94" s="2">
        <v>17.899999999999999</v>
      </c>
      <c r="U94" s="2">
        <v>13.9</v>
      </c>
      <c r="V94" s="2">
        <v>12.9</v>
      </c>
      <c r="W94" s="423">
        <v>0.05</v>
      </c>
      <c r="X94" s="423">
        <v>0.5</v>
      </c>
      <c r="Y94" s="423">
        <v>0.45</v>
      </c>
      <c r="Z94" s="397">
        <f t="shared" si="28"/>
        <v>13.650000000000002</v>
      </c>
      <c r="AA94" s="3">
        <v>0.18</v>
      </c>
      <c r="AB94" s="3">
        <v>0</v>
      </c>
      <c r="AC94" s="161">
        <f t="shared" si="22"/>
        <v>9.9053097345132777</v>
      </c>
      <c r="AE94" s="3">
        <v>0.06</v>
      </c>
      <c r="AF94" s="161">
        <f t="shared" si="38"/>
        <v>0</v>
      </c>
      <c r="AG94" s="3" t="e">
        <f t="shared" si="39"/>
        <v>#N/A</v>
      </c>
      <c r="AH94" s="395">
        <v>7.3999999999999996E-2</v>
      </c>
      <c r="AI94" s="395">
        <v>0.04</v>
      </c>
      <c r="AJ94" s="66" t="e">
        <f t="shared" si="40"/>
        <v>#N/A</v>
      </c>
      <c r="AK94" s="31" t="e">
        <f t="shared" si="32"/>
        <v>#N/A</v>
      </c>
      <c r="AL94" s="66" t="e">
        <f>VLOOKUP($J94,#REF!,12,0)</f>
        <v>#REF!</v>
      </c>
      <c r="AM94" s="68">
        <v>2.7E-2</v>
      </c>
      <c r="AN94" s="31" t="e">
        <f t="shared" si="33"/>
        <v>#N/A</v>
      </c>
      <c r="AO94" s="3" t="e">
        <f t="shared" si="30"/>
        <v>#N/A</v>
      </c>
      <c r="AP94" s="157">
        <v>157.2632454668551</v>
      </c>
      <c r="AQ94" s="157" t="e">
        <f t="shared" si="34"/>
        <v>#N/A</v>
      </c>
      <c r="AR94" s="157" t="e">
        <f t="shared" si="35"/>
        <v>#N/A</v>
      </c>
      <c r="AS94" s="31" t="e">
        <f t="shared" si="36"/>
        <v>#N/A</v>
      </c>
    </row>
    <row r="95" spans="1:45">
      <c r="A95" t="str">
        <f t="shared" si="25"/>
        <v>利群2155-03</v>
      </c>
      <c r="B95" t="str">
        <f t="shared" si="26"/>
        <v>福兴祥2155-03</v>
      </c>
      <c r="C95" t="str">
        <f t="shared" si="27"/>
        <v>福兴祥利群</v>
      </c>
      <c r="D95" s="2" t="s">
        <v>901</v>
      </c>
      <c r="E95" s="2" t="s">
        <v>908</v>
      </c>
      <c r="F95" s="2" t="s">
        <v>789</v>
      </c>
      <c r="G95" t="e">
        <f>VLOOKUP($J95,'mapping-Y26'!#REF!,2,0)</f>
        <v>#REF!</v>
      </c>
      <c r="I95">
        <f>VLOOKUP($J95,'mapping-Y26'!$F:$L,5,0)</f>
        <v>14016306</v>
      </c>
      <c r="J95" t="s">
        <v>136</v>
      </c>
      <c r="K95" t="str">
        <f>VLOOKUP($J95,'mapping-Y26'!$F:$L,4,0)</f>
        <v>215503舒洁®北海道轻牛乳系列乳霜纸面巾40抽3包装</v>
      </c>
      <c r="L95" t="e">
        <f>VLOOKUP($J95,'mapping-Y26'!#REF!,4,0)</f>
        <v>#REF!</v>
      </c>
      <c r="M95" t="str">
        <f>VLOOKUP($J95,'mapping-Y26'!$H:$L,2,0)</f>
        <v>215503舒洁®北海道轻牛乳系列乳霜纸面巾40抽3包装</v>
      </c>
      <c r="N95" t="e">
        <f>VLOOKUP($J95,'mapping-Y26'!M:N,3,0)</f>
        <v>#N/A</v>
      </c>
      <c r="O95" s="2" t="e">
        <f>VLOOKUP($J95,'mapping-Y26'!$M:$N,5,0)</f>
        <v>#N/A</v>
      </c>
      <c r="P95" s="2" t="e">
        <f>VLOOKUP($J95,'mapping-Y26'!$M:$N,6,0)</f>
        <v>#N/A</v>
      </c>
      <c r="Q95" s="272" t="e">
        <f>VLOOKUP($J95,'mapping-Y26'!$M:$Q,7,0)</f>
        <v>#N/A</v>
      </c>
      <c r="R95" s="31" t="e">
        <f t="shared" si="37"/>
        <v>#N/A</v>
      </c>
      <c r="T95" s="2">
        <v>17.899999999999999</v>
      </c>
      <c r="U95" s="2">
        <v>9.9</v>
      </c>
      <c r="V95" s="2">
        <v>8.9</v>
      </c>
      <c r="W95" s="423">
        <v>0.05</v>
      </c>
      <c r="X95" s="423">
        <v>0.7</v>
      </c>
      <c r="Y95" s="423">
        <v>0.25</v>
      </c>
      <c r="Z95" s="397">
        <f t="shared" si="28"/>
        <v>10.049999999999999</v>
      </c>
      <c r="AA95" s="3">
        <v>0.18</v>
      </c>
      <c r="AB95" s="3">
        <v>0</v>
      </c>
      <c r="AC95" s="161">
        <f t="shared" si="22"/>
        <v>7.2929203539823009</v>
      </c>
      <c r="AE95" s="3">
        <v>0.06</v>
      </c>
      <c r="AF95" s="161">
        <f t="shared" si="38"/>
        <v>0</v>
      </c>
      <c r="AG95" s="3" t="e">
        <f t="shared" si="39"/>
        <v>#N/A</v>
      </c>
      <c r="AH95" s="395">
        <v>7.3999999999999996E-2</v>
      </c>
      <c r="AI95" s="395">
        <v>0.04</v>
      </c>
      <c r="AJ95" s="66" t="e">
        <f t="shared" si="40"/>
        <v>#N/A</v>
      </c>
      <c r="AK95" s="31" t="e">
        <f t="shared" si="32"/>
        <v>#N/A</v>
      </c>
      <c r="AL95" s="66" t="e">
        <f>VLOOKUP($J95,#REF!,12,0)</f>
        <v>#REF!</v>
      </c>
      <c r="AM95" s="68">
        <v>2.7E-2</v>
      </c>
      <c r="AN95" s="31" t="e">
        <f t="shared" si="33"/>
        <v>#N/A</v>
      </c>
      <c r="AO95" s="3" t="e">
        <f t="shared" si="30"/>
        <v>#N/A</v>
      </c>
      <c r="AP95" s="157">
        <v>325.30624999999998</v>
      </c>
      <c r="AQ95" s="157" t="e">
        <f t="shared" si="34"/>
        <v>#N/A</v>
      </c>
      <c r="AR95" s="157" t="e">
        <f t="shared" si="35"/>
        <v>#N/A</v>
      </c>
      <c r="AS95" s="31" t="e">
        <f t="shared" si="36"/>
        <v>#N/A</v>
      </c>
    </row>
    <row r="96" spans="1:45">
      <c r="A96" t="str">
        <f t="shared" si="25"/>
        <v>比优特2103-90</v>
      </c>
      <c r="B96" t="str">
        <f t="shared" si="26"/>
        <v>真市美2103-90</v>
      </c>
      <c r="C96" t="str">
        <f t="shared" si="27"/>
        <v>真市美比优特</v>
      </c>
      <c r="D96" s="2" t="s">
        <v>901</v>
      </c>
      <c r="E96" s="2" t="s">
        <v>818</v>
      </c>
      <c r="F96" s="2" t="s">
        <v>790</v>
      </c>
      <c r="G96" t="e">
        <f>VLOOKUP($J96,'mapping-Y26'!#REF!,2,0)</f>
        <v>#REF!</v>
      </c>
      <c r="I96">
        <f>VLOOKUP($J96,'mapping-Y26'!$F:$L,5,0)</f>
        <v>14016868</v>
      </c>
      <c r="J96" t="s">
        <v>172</v>
      </c>
      <c r="K96" t="str">
        <f>VLOOKUP($J96,'mapping-Y26'!$F:$L,4,0)</f>
        <v>210390舒洁小熊印花抽纸3层80抽4包FSC mix70%</v>
      </c>
      <c r="L96" t="e">
        <f>VLOOKUP($J96,'mapping-Y26'!#REF!,4,0)</f>
        <v>#REF!</v>
      </c>
      <c r="M96" t="str">
        <f>VLOOKUP($J96,'mapping-Y26'!$H:$L,2,0)</f>
        <v>210390舒洁小熊印花抽纸3层80抽4包FSC mix70%</v>
      </c>
      <c r="N96" t="e">
        <f>VLOOKUP($J96,'mapping-Y26'!M:N,3,0)</f>
        <v>#N/A</v>
      </c>
      <c r="O96" s="2" t="e">
        <f>VLOOKUP($J96,'mapping-Y26'!$M:$N,5,0)</f>
        <v>#N/A</v>
      </c>
      <c r="P96" s="2" t="e">
        <f>VLOOKUP($J96,'mapping-Y26'!$M:$N,6,0)</f>
        <v>#N/A</v>
      </c>
      <c r="Q96" s="272" t="e">
        <f>VLOOKUP($J96,'mapping-Y26'!$M:$Q,7,0)</f>
        <v>#N/A</v>
      </c>
      <c r="R96" s="31" t="e">
        <f t="shared" si="37"/>
        <v>#N/A</v>
      </c>
      <c r="T96" s="2">
        <v>14.9</v>
      </c>
      <c r="U96" s="2">
        <v>12.9</v>
      </c>
      <c r="V96" s="2">
        <v>9.9</v>
      </c>
      <c r="W96" s="423">
        <v>0.2</v>
      </c>
      <c r="X96" s="423">
        <v>0.6</v>
      </c>
      <c r="Y96" s="423">
        <v>0.2</v>
      </c>
      <c r="Z96" s="397">
        <f t="shared" si="28"/>
        <v>12.700000000000001</v>
      </c>
      <c r="AA96" s="3">
        <v>0.15</v>
      </c>
      <c r="AB96" s="3">
        <v>0</v>
      </c>
      <c r="AC96" s="161">
        <f t="shared" si="22"/>
        <v>9.5530973451327448</v>
      </c>
      <c r="AE96" s="3">
        <v>0.08</v>
      </c>
      <c r="AF96" s="161">
        <f t="shared" si="38"/>
        <v>0</v>
      </c>
      <c r="AG96" s="3" t="e">
        <f t="shared" si="39"/>
        <v>#N/A</v>
      </c>
      <c r="AH96" s="395">
        <v>0.02</v>
      </c>
      <c r="AI96" s="395">
        <v>0.04</v>
      </c>
      <c r="AJ96" s="66" t="e">
        <f t="shared" si="40"/>
        <v>#N/A</v>
      </c>
      <c r="AK96" s="31" t="e">
        <f t="shared" si="32"/>
        <v>#N/A</v>
      </c>
      <c r="AL96" s="66" t="e">
        <f>VLOOKUP($J96,#REF!,12,0)</f>
        <v>#REF!</v>
      </c>
      <c r="AM96" s="68">
        <v>2.7E-2</v>
      </c>
      <c r="AN96" s="31" t="e">
        <f t="shared" si="33"/>
        <v>#N/A</v>
      </c>
      <c r="AO96" s="3" t="e">
        <f t="shared" si="30"/>
        <v>#N/A</v>
      </c>
      <c r="AP96" s="157">
        <v>400</v>
      </c>
      <c r="AQ96" s="157" t="e">
        <f t="shared" si="34"/>
        <v>#N/A</v>
      </c>
      <c r="AR96" s="157" t="e">
        <f t="shared" si="35"/>
        <v>#N/A</v>
      </c>
      <c r="AS96" s="31" t="e">
        <f t="shared" si="36"/>
        <v>#N/A</v>
      </c>
    </row>
    <row r="97" spans="1:45">
      <c r="A97" t="str">
        <f t="shared" si="25"/>
        <v>比优特2107-61</v>
      </c>
      <c r="B97" t="str">
        <f t="shared" si="26"/>
        <v>真市美2107-61</v>
      </c>
      <c r="C97" t="str">
        <f t="shared" si="27"/>
        <v>真市美比优特</v>
      </c>
      <c r="D97" s="2" t="s">
        <v>901</v>
      </c>
      <c r="E97" s="2" t="s">
        <v>818</v>
      </c>
      <c r="F97" s="2" t="s">
        <v>790</v>
      </c>
      <c r="G97" t="e">
        <f>VLOOKUP($J97,'mapping-Y26'!#REF!,2,0)</f>
        <v>#REF!</v>
      </c>
      <c r="I97">
        <f>VLOOKUP($J97,'mapping-Y26'!$F:$L,5,0)</f>
        <v>14014470</v>
      </c>
      <c r="J97" t="s">
        <v>187</v>
      </c>
      <c r="K97" t="str">
        <f>VLOOKUP($J97,'mapping-Y26'!$F:$L,4,0)</f>
        <v>210761舒洁卡通系列抽纸200抽3包 FSC mix70%</v>
      </c>
      <c r="L97" t="e">
        <f>VLOOKUP($J97,'mapping-Y26'!#REF!,4,0)</f>
        <v>#REF!</v>
      </c>
      <c r="M97" t="str">
        <f>VLOOKUP($J97,'mapping-Y26'!$H:$L,2,0)</f>
        <v>210761舒洁卡通系列抽纸200抽3包 FSC mix70%</v>
      </c>
      <c r="N97" t="e">
        <f>VLOOKUP($J97,'mapping-Y26'!M:N,3,0)</f>
        <v>#N/A</v>
      </c>
      <c r="O97" s="2" t="e">
        <f>VLOOKUP($J97,'mapping-Y26'!$M:$N,5,0)</f>
        <v>#N/A</v>
      </c>
      <c r="P97" s="2" t="e">
        <f>VLOOKUP($J97,'mapping-Y26'!$M:$N,6,0)</f>
        <v>#N/A</v>
      </c>
      <c r="Q97" s="272" t="e">
        <f>VLOOKUP($J97,'mapping-Y26'!$M:$Q,7,0)</f>
        <v>#N/A</v>
      </c>
      <c r="R97" s="31" t="e">
        <f t="shared" si="37"/>
        <v>#N/A</v>
      </c>
      <c r="T97" s="2">
        <v>21.9</v>
      </c>
      <c r="U97" s="2">
        <v>19.899999999999999</v>
      </c>
      <c r="V97" s="2">
        <v>17.899999999999999</v>
      </c>
      <c r="W97" s="423">
        <v>0.1</v>
      </c>
      <c r="X97" s="423">
        <v>0.5</v>
      </c>
      <c r="Y97" s="423">
        <v>0.4</v>
      </c>
      <c r="Z97" s="397">
        <f t="shared" si="28"/>
        <v>19.299999999999997</v>
      </c>
      <c r="AA97" s="3">
        <v>0.15</v>
      </c>
      <c r="AB97" s="3">
        <v>0</v>
      </c>
      <c r="AC97" s="161">
        <f t="shared" si="22"/>
        <v>14.517699115044246</v>
      </c>
      <c r="AE97" s="3">
        <v>0.08</v>
      </c>
      <c r="AF97" s="161">
        <f t="shared" si="38"/>
        <v>0</v>
      </c>
      <c r="AG97" s="3" t="e">
        <f t="shared" si="39"/>
        <v>#N/A</v>
      </c>
      <c r="AH97" s="395">
        <v>0.02</v>
      </c>
      <c r="AI97" s="395">
        <v>0.04</v>
      </c>
      <c r="AJ97" s="66" t="e">
        <f t="shared" si="40"/>
        <v>#N/A</v>
      </c>
      <c r="AK97" s="31" t="e">
        <f t="shared" ref="AK97:AK128" si="41">R97*(1-AJ97)</f>
        <v>#N/A</v>
      </c>
      <c r="AL97" s="66" t="e">
        <f>VLOOKUP($J97,#REF!,12,0)</f>
        <v>#REF!</v>
      </c>
      <c r="AM97" s="68">
        <v>2.7E-2</v>
      </c>
      <c r="AN97" s="31" t="e">
        <f t="shared" ref="AN97:AN128" si="42">AK97-R97*(AL97+AM97)</f>
        <v>#N/A</v>
      </c>
      <c r="AO97" s="3" t="e">
        <f t="shared" si="30"/>
        <v>#N/A</v>
      </c>
      <c r="AP97" s="157">
        <v>220</v>
      </c>
      <c r="AQ97" s="157" t="e">
        <f t="shared" ref="AQ97:AQ128" si="43">O97*AK97*AP97</f>
        <v>#N/A</v>
      </c>
      <c r="AR97" s="157" t="e">
        <f t="shared" ref="AR97:AR128" si="44">AP97*AN97*O97</f>
        <v>#N/A</v>
      </c>
      <c r="AS97" s="31" t="e">
        <f t="shared" ref="AS97:AS128" si="45">AP97*Q97</f>
        <v>#N/A</v>
      </c>
    </row>
    <row r="98" spans="1:45">
      <c r="A98" t="str">
        <f t="shared" si="25"/>
        <v>比优特2694-50</v>
      </c>
      <c r="B98" t="str">
        <f t="shared" si="26"/>
        <v>真市美2694-50</v>
      </c>
      <c r="C98" t="str">
        <f t="shared" si="27"/>
        <v>真市美比优特</v>
      </c>
      <c r="D98" s="2" t="s">
        <v>901</v>
      </c>
      <c r="E98" s="2" t="s">
        <v>818</v>
      </c>
      <c r="F98" s="2" t="s">
        <v>790</v>
      </c>
      <c r="G98" t="e">
        <f>VLOOKUP($J98,'mapping-Y26'!#REF!,2,0)</f>
        <v>#REF!</v>
      </c>
      <c r="H98" t="str">
        <f>VLOOKUP($J98,'mapping-Y26'!$F:$L,6,0)</f>
        <v>40P-55gsm</v>
      </c>
      <c r="I98">
        <f>VLOOKUP($J98,'mapping-Y26'!$F:$L,5,0)</f>
        <v>14017864</v>
      </c>
      <c r="J98" t="s">
        <v>559</v>
      </c>
      <c r="K98" t="str">
        <f>VLOOKUP($J98,'mapping-Y26'!$F:$L,4,0)</f>
        <v xml:space="preserve">D269450舒洁湿厕纸家庭装40抽 </v>
      </c>
      <c r="L98" t="e">
        <f>VLOOKUP($J98,'mapping-Y26'!#REF!,4,0)</f>
        <v>#REF!</v>
      </c>
      <c r="M98" t="str">
        <f>VLOOKUP($J98,'mapping-Y26'!$H:$L,2,0)</f>
        <v xml:space="preserve">D269450舒洁湿厕纸家庭装40抽 </v>
      </c>
      <c r="N98" t="e">
        <f>VLOOKUP($J98,'mapping-Y26'!M:N,3,0)</f>
        <v>#N/A</v>
      </c>
      <c r="O98" s="2" t="e">
        <f>VLOOKUP($J98,'mapping-Y26'!$M:$N,5,0)</f>
        <v>#N/A</v>
      </c>
      <c r="P98" s="2" t="e">
        <f>VLOOKUP($J98,'mapping-Y26'!$M:$N,6,0)</f>
        <v>#N/A</v>
      </c>
      <c r="Q98" s="272" t="e">
        <f>VLOOKUP($J98,'mapping-Y26'!$M:$Q,7,0)</f>
        <v>#N/A</v>
      </c>
      <c r="R98" s="31" t="e">
        <f t="shared" si="37"/>
        <v>#N/A</v>
      </c>
      <c r="T98" s="2">
        <v>6.9</v>
      </c>
      <c r="U98" s="2">
        <v>5.9</v>
      </c>
      <c r="V98" s="2">
        <v>5</v>
      </c>
      <c r="W98" s="423">
        <v>0.5</v>
      </c>
      <c r="X98" s="423">
        <v>0.35</v>
      </c>
      <c r="Y98" s="423">
        <v>0.15</v>
      </c>
      <c r="Z98" s="397">
        <f t="shared" si="28"/>
        <v>6.2650000000000006</v>
      </c>
      <c r="AA98" s="3">
        <v>0.15</v>
      </c>
      <c r="AB98" s="3">
        <v>0</v>
      </c>
      <c r="AC98" s="161">
        <f t="shared" si="22"/>
        <v>4.7126106194690278</v>
      </c>
      <c r="AE98" s="3">
        <v>0.08</v>
      </c>
      <c r="AF98" s="161">
        <f t="shared" si="38"/>
        <v>0</v>
      </c>
      <c r="AG98" s="3" t="e">
        <f t="shared" si="39"/>
        <v>#N/A</v>
      </c>
      <c r="AH98" s="395">
        <v>0.02</v>
      </c>
      <c r="AI98" s="395">
        <v>0.04</v>
      </c>
      <c r="AJ98" s="66" t="e">
        <f t="shared" si="40"/>
        <v>#N/A</v>
      </c>
      <c r="AK98" s="31" t="e">
        <f t="shared" si="41"/>
        <v>#N/A</v>
      </c>
      <c r="AL98" s="66" t="e">
        <f>VLOOKUP($J98,#REF!,12,0)</f>
        <v>#REF!</v>
      </c>
      <c r="AM98" s="68">
        <v>2.7E-2</v>
      </c>
      <c r="AN98" s="31" t="e">
        <f t="shared" si="42"/>
        <v>#N/A</v>
      </c>
      <c r="AO98" s="3" t="e">
        <f t="shared" si="30"/>
        <v>#N/A</v>
      </c>
      <c r="AP98" s="157">
        <v>600</v>
      </c>
      <c r="AQ98" s="157" t="e">
        <f t="shared" si="43"/>
        <v>#N/A</v>
      </c>
      <c r="AR98" s="157" t="e">
        <f t="shared" si="44"/>
        <v>#N/A</v>
      </c>
      <c r="AS98" s="31" t="e">
        <f t="shared" si="45"/>
        <v>#N/A</v>
      </c>
    </row>
    <row r="99" spans="1:45">
      <c r="A99" t="str">
        <f t="shared" si="25"/>
        <v>比优特2701-90</v>
      </c>
      <c r="B99" t="str">
        <f t="shared" si="26"/>
        <v>真市美2701-90</v>
      </c>
      <c r="C99" t="str">
        <f t="shared" si="27"/>
        <v>真市美比优特</v>
      </c>
      <c r="D99" s="2" t="s">
        <v>901</v>
      </c>
      <c r="E99" s="2" t="s">
        <v>818</v>
      </c>
      <c r="F99" s="2" t="s">
        <v>790</v>
      </c>
      <c r="G99" t="e">
        <f>VLOOKUP($J99,'mapping-Y26'!#REF!,2,0)</f>
        <v>#REF!</v>
      </c>
      <c r="I99">
        <f>VLOOKUP($J99,'mapping-Y26'!$F:$L,5,0)</f>
        <v>14016871</v>
      </c>
      <c r="J99" t="s">
        <v>227</v>
      </c>
      <c r="K99" t="str">
        <f>VLOOKUP($J99,'mapping-Y26'!$F:$L,4,0)</f>
        <v>270190舒洁小熊印花手帕纸3层10包FSC mix70%</v>
      </c>
      <c r="L99" t="e">
        <f>VLOOKUP($J99,'mapping-Y26'!#REF!,4,0)</f>
        <v>#REF!</v>
      </c>
      <c r="M99" t="str">
        <f>VLOOKUP($J99,'mapping-Y26'!$H:$L,2,0)</f>
        <v>270190舒洁小熊印花手帕纸3层10包FSC mix70%</v>
      </c>
      <c r="N99" t="e">
        <f>VLOOKUP($J99,'mapping-Y26'!M:N,3,0)</f>
        <v>#N/A</v>
      </c>
      <c r="O99" s="2" t="e">
        <f>VLOOKUP($J99,'mapping-Y26'!$M:$N,5,0)</f>
        <v>#N/A</v>
      </c>
      <c r="P99" s="2" t="e">
        <f>VLOOKUP($J99,'mapping-Y26'!$M:$N,6,0)</f>
        <v>#N/A</v>
      </c>
      <c r="Q99" s="272" t="e">
        <f>VLOOKUP($J99,'mapping-Y26'!$M:$Q,7,0)</f>
        <v>#N/A</v>
      </c>
      <c r="R99" s="31" t="e">
        <f t="shared" si="37"/>
        <v>#N/A</v>
      </c>
      <c r="T99" s="2">
        <v>7.9</v>
      </c>
      <c r="U99" s="2">
        <v>7.5</v>
      </c>
      <c r="V99" s="2">
        <v>6.9</v>
      </c>
      <c r="W99" s="423">
        <v>0.3</v>
      </c>
      <c r="X99" s="423">
        <v>0.5</v>
      </c>
      <c r="Y99" s="423">
        <v>0.2</v>
      </c>
      <c r="Z99" s="397">
        <f t="shared" si="28"/>
        <v>7.5</v>
      </c>
      <c r="AA99" s="3">
        <v>0.15</v>
      </c>
      <c r="AB99" s="3">
        <v>0</v>
      </c>
      <c r="AC99" s="161">
        <f t="shared" si="22"/>
        <v>5.6415929203539825</v>
      </c>
      <c r="AE99" s="3">
        <v>0.08</v>
      </c>
      <c r="AF99" s="161">
        <f t="shared" si="38"/>
        <v>0</v>
      </c>
      <c r="AG99" s="3" t="e">
        <f t="shared" si="39"/>
        <v>#N/A</v>
      </c>
      <c r="AH99" s="395">
        <v>0.02</v>
      </c>
      <c r="AI99" s="395">
        <v>0.04</v>
      </c>
      <c r="AJ99" s="66" t="e">
        <f t="shared" si="40"/>
        <v>#N/A</v>
      </c>
      <c r="AK99" s="31" t="e">
        <f t="shared" si="41"/>
        <v>#N/A</v>
      </c>
      <c r="AL99" s="66" t="e">
        <f>VLOOKUP($J99,#REF!,12,0)</f>
        <v>#REF!</v>
      </c>
      <c r="AM99" s="68">
        <v>2.7E-2</v>
      </c>
      <c r="AN99" s="31" t="e">
        <f t="shared" si="42"/>
        <v>#N/A</v>
      </c>
      <c r="AO99" s="3" t="e">
        <f t="shared" si="30"/>
        <v>#N/A</v>
      </c>
      <c r="AP99" s="157">
        <v>300</v>
      </c>
      <c r="AQ99" s="157" t="e">
        <f t="shared" si="43"/>
        <v>#N/A</v>
      </c>
      <c r="AR99" s="157" t="e">
        <f t="shared" si="44"/>
        <v>#N/A</v>
      </c>
      <c r="AS99" s="31" t="e">
        <f t="shared" si="45"/>
        <v>#N/A</v>
      </c>
    </row>
    <row r="100" spans="1:45">
      <c r="A100" t="str">
        <f t="shared" si="25"/>
        <v>比优特2291-60</v>
      </c>
      <c r="B100" t="str">
        <f t="shared" si="26"/>
        <v>真市美2291-60</v>
      </c>
      <c r="C100" t="str">
        <f t="shared" si="27"/>
        <v>真市美比优特</v>
      </c>
      <c r="D100" s="2" t="s">
        <v>901</v>
      </c>
      <c r="E100" s="2" t="s">
        <v>818</v>
      </c>
      <c r="F100" s="2" t="s">
        <v>790</v>
      </c>
      <c r="G100" t="e">
        <f>VLOOKUP($J100,'mapping-Y26'!#REF!,2,0)</f>
        <v>#REF!</v>
      </c>
      <c r="I100">
        <f>VLOOKUP($J100,'mapping-Y26'!$F:$L,5,0)</f>
        <v>14014479</v>
      </c>
      <c r="J100" t="s">
        <v>219</v>
      </c>
      <c r="K100" t="str">
        <f>VLOOKUP($J100,'mapping-Y26'!$F:$L,4,0)</f>
        <v xml:space="preserve">229160舒洁绿茶洋甘菊印花清香卷纸10粒 </v>
      </c>
      <c r="L100" t="e">
        <f>VLOOKUP($J100,'mapping-Y26'!#REF!,4,0)</f>
        <v>#REF!</v>
      </c>
      <c r="M100" t="str">
        <f>VLOOKUP($J100,'mapping-Y26'!$H:$L,2,0)</f>
        <v xml:space="preserve">229160舒洁绿茶洋甘菊印花清香卷纸10粒 </v>
      </c>
      <c r="N100" t="e">
        <f>VLOOKUP($J100,'mapping-Y26'!M:N,3,0)</f>
        <v>#N/A</v>
      </c>
      <c r="O100" s="2" t="e">
        <f>VLOOKUP($J100,'mapping-Y26'!$M:$N,5,0)</f>
        <v>#N/A</v>
      </c>
      <c r="P100" s="2" t="e">
        <f>VLOOKUP($J100,'mapping-Y26'!$M:$N,6,0)</f>
        <v>#N/A</v>
      </c>
      <c r="Q100" s="272" t="e">
        <f>VLOOKUP($J100,'mapping-Y26'!$M:$Q,7,0)</f>
        <v>#N/A</v>
      </c>
      <c r="R100" s="31" t="e">
        <f t="shared" si="37"/>
        <v>#N/A</v>
      </c>
      <c r="T100" s="2">
        <v>39.9</v>
      </c>
      <c r="U100" s="2">
        <v>35.9</v>
      </c>
      <c r="V100" s="2">
        <v>29.9</v>
      </c>
      <c r="W100" s="423">
        <v>0.05</v>
      </c>
      <c r="X100" s="423">
        <v>0.5</v>
      </c>
      <c r="Y100" s="423">
        <v>0.45</v>
      </c>
      <c r="Z100" s="397">
        <f t="shared" si="28"/>
        <v>33.4</v>
      </c>
      <c r="AA100" s="3">
        <v>0.15</v>
      </c>
      <c r="AB100" s="3">
        <v>0</v>
      </c>
      <c r="AC100" s="161">
        <f t="shared" si="22"/>
        <v>25.123893805309734</v>
      </c>
      <c r="AE100" s="3">
        <v>0.08</v>
      </c>
      <c r="AF100" s="161">
        <f t="shared" si="38"/>
        <v>0</v>
      </c>
      <c r="AG100" s="3" t="e">
        <f t="shared" si="39"/>
        <v>#N/A</v>
      </c>
      <c r="AH100" s="395">
        <v>0.02</v>
      </c>
      <c r="AI100" s="395">
        <v>0.04</v>
      </c>
      <c r="AJ100" s="66" t="e">
        <f t="shared" si="40"/>
        <v>#N/A</v>
      </c>
      <c r="AK100" s="31" t="e">
        <f t="shared" si="41"/>
        <v>#N/A</v>
      </c>
      <c r="AL100" s="66" t="e">
        <f>VLOOKUP($J100,#REF!,12,0)</f>
        <v>#REF!</v>
      </c>
      <c r="AM100" s="68">
        <v>2.7E-2</v>
      </c>
      <c r="AN100" s="31" t="e">
        <f t="shared" si="42"/>
        <v>#N/A</v>
      </c>
      <c r="AO100" s="3" t="e">
        <f t="shared" si="30"/>
        <v>#N/A</v>
      </c>
      <c r="AP100" s="157">
        <v>500</v>
      </c>
      <c r="AQ100" s="157" t="e">
        <f t="shared" si="43"/>
        <v>#N/A</v>
      </c>
      <c r="AR100" s="157" t="e">
        <f t="shared" si="44"/>
        <v>#N/A</v>
      </c>
      <c r="AS100" s="31" t="e">
        <f t="shared" si="45"/>
        <v>#N/A</v>
      </c>
    </row>
    <row r="101" spans="1:45">
      <c r="A101" t="str">
        <f t="shared" si="25"/>
        <v>比优特2216-35</v>
      </c>
      <c r="B101" t="str">
        <f t="shared" si="26"/>
        <v>真市美2216-35</v>
      </c>
      <c r="C101" t="str">
        <f t="shared" si="27"/>
        <v>真市美比优特</v>
      </c>
      <c r="D101" s="2" t="s">
        <v>901</v>
      </c>
      <c r="E101" s="2" t="s">
        <v>818</v>
      </c>
      <c r="F101" s="2" t="s">
        <v>790</v>
      </c>
      <c r="G101" t="e">
        <f>VLOOKUP($J101,'mapping-Y26'!#REF!,2,0)</f>
        <v>#REF!</v>
      </c>
      <c r="I101">
        <f>VLOOKUP($J101,'mapping-Y26'!$F:$L,5,0)</f>
        <v>14015861</v>
      </c>
      <c r="J101" t="s">
        <v>211</v>
      </c>
      <c r="K101" t="str">
        <f>VLOOKUP($J101,'mapping-Y26'!$F:$L,4,0)</f>
        <v xml:space="preserve">221635舒洁卷纸3层纯白10粒（蓝色） </v>
      </c>
      <c r="L101" t="e">
        <f>VLOOKUP($J101,'mapping-Y26'!#REF!,4,0)</f>
        <v>#REF!</v>
      </c>
      <c r="M101" t="str">
        <f>VLOOKUP($J101,'mapping-Y26'!$H:$L,2,0)</f>
        <v xml:space="preserve">221635舒洁卷纸3层纯白10粒（蓝色） </v>
      </c>
      <c r="N101" t="e">
        <f>VLOOKUP($J101,'mapping-Y26'!M:N,3,0)</f>
        <v>#N/A</v>
      </c>
      <c r="O101" s="2" t="e">
        <f>VLOOKUP($J101,'mapping-Y26'!$M:$N,5,0)</f>
        <v>#N/A</v>
      </c>
      <c r="P101" s="2" t="e">
        <f>VLOOKUP($J101,'mapping-Y26'!$M:$N,6,0)</f>
        <v>#N/A</v>
      </c>
      <c r="Q101" s="272" t="e">
        <f>VLOOKUP($J101,'mapping-Y26'!$M:$Q,7,0)</f>
        <v>#N/A</v>
      </c>
      <c r="R101" s="31" t="e">
        <f t="shared" si="37"/>
        <v>#N/A</v>
      </c>
      <c r="T101" s="2">
        <v>32.9</v>
      </c>
      <c r="U101" s="2">
        <v>24.9</v>
      </c>
      <c r="V101" s="2">
        <v>19.899999999999999</v>
      </c>
      <c r="W101" s="423">
        <v>0.05</v>
      </c>
      <c r="X101" s="423">
        <v>0.5</v>
      </c>
      <c r="Y101" s="423">
        <v>0.45</v>
      </c>
      <c r="Z101" s="397">
        <f t="shared" si="28"/>
        <v>23.049999999999997</v>
      </c>
      <c r="AA101" s="3">
        <v>0.15</v>
      </c>
      <c r="AB101" s="3">
        <v>0</v>
      </c>
      <c r="AC101" s="161">
        <f t="shared" si="22"/>
        <v>17.338495575221238</v>
      </c>
      <c r="AE101" s="3">
        <v>0.08</v>
      </c>
      <c r="AF101" s="161">
        <f t="shared" si="38"/>
        <v>0</v>
      </c>
      <c r="AG101" s="3" t="e">
        <f t="shared" si="39"/>
        <v>#N/A</v>
      </c>
      <c r="AH101" s="395">
        <v>0.02</v>
      </c>
      <c r="AI101" s="395">
        <v>0.04</v>
      </c>
      <c r="AJ101" s="66" t="e">
        <f t="shared" si="40"/>
        <v>#N/A</v>
      </c>
      <c r="AK101" s="31" t="e">
        <f t="shared" si="41"/>
        <v>#N/A</v>
      </c>
      <c r="AL101" s="66" t="e">
        <f>VLOOKUP($J101,#REF!,12,0)</f>
        <v>#REF!</v>
      </c>
      <c r="AM101" s="68">
        <v>2.7E-2</v>
      </c>
      <c r="AN101" s="31" t="e">
        <f t="shared" si="42"/>
        <v>#N/A</v>
      </c>
      <c r="AO101" s="3" t="e">
        <f t="shared" si="30"/>
        <v>#N/A</v>
      </c>
      <c r="AP101" s="157">
        <v>500</v>
      </c>
      <c r="AQ101" s="157" t="e">
        <f t="shared" si="43"/>
        <v>#N/A</v>
      </c>
      <c r="AR101" s="157" t="e">
        <f t="shared" si="44"/>
        <v>#N/A</v>
      </c>
      <c r="AS101" s="31" t="e">
        <f t="shared" si="45"/>
        <v>#N/A</v>
      </c>
    </row>
    <row r="102" spans="1:45">
      <c r="A102" t="str">
        <f t="shared" si="25"/>
        <v>半点半便利2660-10</v>
      </c>
      <c r="B102" t="str">
        <f t="shared" si="26"/>
        <v>八点半2660-10</v>
      </c>
      <c r="C102" t="str">
        <f t="shared" si="27"/>
        <v>八点半半点半便利</v>
      </c>
      <c r="D102" s="2" t="s">
        <v>901</v>
      </c>
      <c r="E102" s="2" t="s">
        <v>820</v>
      </c>
      <c r="F102" s="2" t="s">
        <v>819</v>
      </c>
      <c r="G102" t="e">
        <f>VLOOKUP($J102,'mapping-Y26'!#REF!,2,0)</f>
        <v>#REF!</v>
      </c>
      <c r="H102" t="str">
        <f>VLOOKUP($J102,'mapping-Y26'!$F:$L,6,0)</f>
        <v>80P</v>
      </c>
      <c r="I102">
        <f>VLOOKUP($J102,'mapping-Y26'!$F:$L,5,0)</f>
        <v>14017865</v>
      </c>
      <c r="J102" t="s">
        <v>555</v>
      </c>
      <c r="K102" t="str">
        <f>VLOOKUP($J102,'mapping-Y26'!$F:$L,4,0)</f>
        <v xml:space="preserve">266010舒洁湿厕纸80片 </v>
      </c>
      <c r="L102" t="e">
        <f>VLOOKUP($J102,'mapping-Y26'!#REF!,4,0)</f>
        <v>#REF!</v>
      </c>
      <c r="M102" t="str">
        <f>VLOOKUP($J102,'mapping-Y26'!$H:$L,2,0)</f>
        <v xml:space="preserve">266010舒洁湿厕纸80片 </v>
      </c>
      <c r="N102" t="e">
        <f>VLOOKUP($J102,'mapping-Y26'!M:N,3,0)</f>
        <v>#N/A</v>
      </c>
      <c r="O102" s="2" t="e">
        <f>VLOOKUP($J102,'mapping-Y26'!$M:$N,5,0)</f>
        <v>#N/A</v>
      </c>
      <c r="P102" s="2" t="e">
        <f>VLOOKUP($J102,'mapping-Y26'!$M:$N,6,0)</f>
        <v>#N/A</v>
      </c>
      <c r="Q102" s="272" t="e">
        <f>VLOOKUP($J102,'mapping-Y26'!$M:$Q,7,0)</f>
        <v>#N/A</v>
      </c>
      <c r="R102" s="31" t="e">
        <f t="shared" si="37"/>
        <v>#N/A</v>
      </c>
      <c r="T102" s="2">
        <v>15.9</v>
      </c>
      <c r="V102" s="2">
        <v>12.72</v>
      </c>
      <c r="W102" s="423">
        <v>0.7</v>
      </c>
      <c r="X102" s="423"/>
      <c r="Y102" s="423">
        <v>0.3</v>
      </c>
      <c r="Z102" s="397">
        <f t="shared" si="28"/>
        <v>14.945999999999998</v>
      </c>
      <c r="AA102" s="3">
        <v>0.434</v>
      </c>
      <c r="AB102" s="3">
        <v>0</v>
      </c>
      <c r="AC102" s="161">
        <f t="shared" si="22"/>
        <v>7.4862265486725672</v>
      </c>
      <c r="AE102" s="3">
        <v>0.1</v>
      </c>
      <c r="AF102" s="161">
        <f t="shared" si="38"/>
        <v>0</v>
      </c>
      <c r="AG102" s="3" t="e">
        <f t="shared" si="39"/>
        <v>#N/A</v>
      </c>
      <c r="AH102" s="395">
        <v>0</v>
      </c>
      <c r="AI102" s="395">
        <v>0.04</v>
      </c>
      <c r="AJ102" s="66" t="e">
        <f t="shared" si="40"/>
        <v>#N/A</v>
      </c>
      <c r="AK102" s="31" t="e">
        <f t="shared" si="41"/>
        <v>#N/A</v>
      </c>
      <c r="AL102" s="66" t="e">
        <f>VLOOKUP($J102,#REF!,12,0)</f>
        <v>#REF!</v>
      </c>
      <c r="AM102" s="68">
        <v>2.7E-2</v>
      </c>
      <c r="AN102" s="31" t="e">
        <f t="shared" si="42"/>
        <v>#N/A</v>
      </c>
      <c r="AO102" s="3" t="e">
        <f t="shared" si="30"/>
        <v>#N/A</v>
      </c>
      <c r="AP102" s="157">
        <v>1100</v>
      </c>
      <c r="AQ102" s="157" t="e">
        <f t="shared" si="43"/>
        <v>#N/A</v>
      </c>
      <c r="AR102" s="157" t="e">
        <f t="shared" si="44"/>
        <v>#N/A</v>
      </c>
      <c r="AS102" s="31" t="e">
        <f t="shared" si="45"/>
        <v>#N/A</v>
      </c>
    </row>
    <row r="103" spans="1:45">
      <c r="A103" t="str">
        <f t="shared" si="25"/>
        <v>半点半便利2670-40</v>
      </c>
      <c r="B103" t="str">
        <f t="shared" si="26"/>
        <v>八点半2670-40</v>
      </c>
      <c r="C103" t="str">
        <f t="shared" si="27"/>
        <v>八点半半点半便利</v>
      </c>
      <c r="D103" s="2" t="s">
        <v>901</v>
      </c>
      <c r="E103" s="2" t="s">
        <v>820</v>
      </c>
      <c r="F103" s="2" t="s">
        <v>819</v>
      </c>
      <c r="G103" t="e">
        <f>VLOOKUP($J103,'mapping-Y26'!#REF!,2,0)</f>
        <v>#REF!</v>
      </c>
      <c r="H103" t="str">
        <f>VLOOKUP($J103,'mapping-Y26'!$F:$L,6,0)</f>
        <v>10P-55gsm</v>
      </c>
      <c r="I103">
        <f>VLOOKUP($J103,'mapping-Y26'!$F:$L,5,0)</f>
        <v>14017871</v>
      </c>
      <c r="J103" t="s">
        <v>551</v>
      </c>
      <c r="K103" t="str">
        <f>VLOOKUP($J103,'mapping-Y26'!$F:$L,4,0)</f>
        <v>D267040舒洁湿厕纸旅行装10包装</v>
      </c>
      <c r="L103" t="e">
        <f>VLOOKUP($J103,'mapping-Y26'!#REF!,4,0)</f>
        <v>#REF!</v>
      </c>
      <c r="M103" t="str">
        <f>VLOOKUP($J103,'mapping-Y26'!$H:$L,2,0)</f>
        <v>D267040舒洁湿厕纸旅行装10包装</v>
      </c>
      <c r="N103" t="e">
        <f>VLOOKUP($J103,'mapping-Y26'!M:N,3,0)</f>
        <v>#N/A</v>
      </c>
      <c r="O103" s="2" t="e">
        <f>VLOOKUP($J103,'mapping-Y26'!$M:$N,5,0)</f>
        <v>#N/A</v>
      </c>
      <c r="P103" s="2" t="e">
        <f>VLOOKUP($J103,'mapping-Y26'!$M:$N,6,0)</f>
        <v>#N/A</v>
      </c>
      <c r="Q103" s="272" t="e">
        <f>VLOOKUP($J103,'mapping-Y26'!$M:$Q,7,0)</f>
        <v>#N/A</v>
      </c>
      <c r="R103" s="31" t="e">
        <f t="shared" si="37"/>
        <v>#N/A</v>
      </c>
      <c r="T103" s="2">
        <v>40</v>
      </c>
      <c r="V103" s="2">
        <v>25</v>
      </c>
      <c r="W103" s="423">
        <v>0.8</v>
      </c>
      <c r="X103" s="423"/>
      <c r="Y103" s="423">
        <v>0.2</v>
      </c>
      <c r="Z103" s="397">
        <f t="shared" si="28"/>
        <v>37</v>
      </c>
      <c r="AA103" s="3">
        <v>0.35</v>
      </c>
      <c r="AB103" s="3">
        <v>0</v>
      </c>
      <c r="AC103" s="161">
        <f t="shared" ref="AC103" si="46">Z103*(1-AA103-AB103)/1.13</f>
        <v>21.283185840707969</v>
      </c>
      <c r="AE103" s="3">
        <v>0.1</v>
      </c>
      <c r="AF103" s="161">
        <f t="shared" si="38"/>
        <v>0</v>
      </c>
      <c r="AG103" s="3" t="e">
        <f t="shared" si="39"/>
        <v>#N/A</v>
      </c>
      <c r="AH103" s="395">
        <v>0</v>
      </c>
      <c r="AI103" s="395">
        <v>0.04</v>
      </c>
      <c r="AJ103" s="66" t="e">
        <f t="shared" si="40"/>
        <v>#N/A</v>
      </c>
      <c r="AK103" s="31" t="e">
        <f t="shared" si="41"/>
        <v>#N/A</v>
      </c>
      <c r="AL103" s="66" t="e">
        <f>VLOOKUP($J103,#REF!,12,0)</f>
        <v>#REF!</v>
      </c>
      <c r="AM103" s="68">
        <v>2.7E-2</v>
      </c>
      <c r="AN103" s="31" t="e">
        <f t="shared" si="42"/>
        <v>#N/A</v>
      </c>
      <c r="AO103" s="3" t="e">
        <f t="shared" si="30"/>
        <v>#N/A</v>
      </c>
      <c r="AP103" s="157">
        <v>2100</v>
      </c>
      <c r="AQ103" s="157" t="e">
        <f t="shared" si="43"/>
        <v>#N/A</v>
      </c>
      <c r="AR103" s="157" t="e">
        <f t="shared" si="44"/>
        <v>#N/A</v>
      </c>
      <c r="AS103" s="31" t="e">
        <f t="shared" si="45"/>
        <v>#N/A</v>
      </c>
    </row>
    <row r="104" spans="1:45">
      <c r="D104" s="2" t="s">
        <v>918</v>
      </c>
      <c r="E104" s="2" t="s">
        <v>917</v>
      </c>
      <c r="G104" t="e">
        <f>VLOOKUP($J104,'mapping-Y26'!#REF!,2,0)</f>
        <v>#REF!</v>
      </c>
      <c r="H104" t="str">
        <f>VLOOKUP($J104,'mapping-Y26'!$F:$L,6,0)</f>
        <v>10P-55gsm</v>
      </c>
      <c r="I104">
        <f>VLOOKUP($J104,'mapping-Y26'!$F:$L,5,0)</f>
        <v>14017871</v>
      </c>
      <c r="J104" t="s">
        <v>551</v>
      </c>
      <c r="K104" t="str">
        <f>VLOOKUP($J104,'mapping-Y26'!$F:$L,4,0)</f>
        <v>D267040舒洁湿厕纸旅行装10包装</v>
      </c>
      <c r="L104" t="e">
        <f>VLOOKUP($J104,'mapping-Y26'!#REF!,4,0)</f>
        <v>#REF!</v>
      </c>
      <c r="M104" t="str">
        <f>VLOOKUP($J104,'mapping-Y26'!$H:$L,2,0)</f>
        <v>D267040舒洁湿厕纸旅行装10包装</v>
      </c>
      <c r="N104" t="e">
        <f>VLOOKUP($J104,'mapping-Y26'!M:N,3,0)</f>
        <v>#N/A</v>
      </c>
      <c r="O104" s="2" t="e">
        <f>VLOOKUP($J104,'mapping-Y26'!$M:$N,5,0)</f>
        <v>#N/A</v>
      </c>
      <c r="P104" s="2" t="e">
        <f>VLOOKUP($J104,'mapping-Y26'!$M:$N,6,0)</f>
        <v>#N/A</v>
      </c>
      <c r="Q104" s="272" t="e">
        <f>VLOOKUP($J104,'mapping-Y26'!$M:$Q,7,0)</f>
        <v>#N/A</v>
      </c>
      <c r="R104" s="31" t="e">
        <f t="shared" ref="R104:R128" si="47">Q104/O104</f>
        <v>#N/A</v>
      </c>
      <c r="T104" s="2">
        <v>22.9</v>
      </c>
      <c r="U104" s="2">
        <v>18.899999999999999</v>
      </c>
      <c r="V104" s="2">
        <v>15.9</v>
      </c>
      <c r="W104" s="423">
        <v>0.1</v>
      </c>
      <c r="X104" s="423">
        <v>0.6</v>
      </c>
      <c r="Y104" s="423">
        <v>0.3</v>
      </c>
      <c r="Z104" s="397">
        <f t="shared" si="28"/>
        <v>18.399999999999999</v>
      </c>
      <c r="AF104" s="161">
        <v>10.026548672566374</v>
      </c>
      <c r="AG104" s="3" t="e">
        <f t="shared" si="39"/>
        <v>#N/A</v>
      </c>
      <c r="AH104" s="395">
        <v>0.03</v>
      </c>
      <c r="AI104" s="395">
        <v>0.01</v>
      </c>
      <c r="AJ104" s="66" t="e">
        <f t="shared" si="40"/>
        <v>#N/A</v>
      </c>
      <c r="AK104" s="31" t="e">
        <f t="shared" si="41"/>
        <v>#N/A</v>
      </c>
      <c r="AL104" s="66" t="e">
        <f>VLOOKUP($J104,#REF!,12,0)</f>
        <v>#REF!</v>
      </c>
      <c r="AM104" s="68">
        <v>2.7E-2</v>
      </c>
      <c r="AN104" s="31" t="e">
        <f t="shared" si="42"/>
        <v>#N/A</v>
      </c>
      <c r="AO104" s="3" t="e">
        <f t="shared" si="30"/>
        <v>#N/A</v>
      </c>
      <c r="AP104" s="157">
        <v>144.94359289592958</v>
      </c>
      <c r="AQ104" s="157" t="e">
        <f t="shared" si="43"/>
        <v>#N/A</v>
      </c>
      <c r="AR104" s="157" t="e">
        <f t="shared" si="44"/>
        <v>#N/A</v>
      </c>
      <c r="AS104" s="31" t="e">
        <f t="shared" si="45"/>
        <v>#N/A</v>
      </c>
    </row>
    <row r="105" spans="1:45">
      <c r="D105" s="2" t="s">
        <v>918</v>
      </c>
      <c r="E105" s="2" t="s">
        <v>917</v>
      </c>
      <c r="G105" t="e">
        <f>VLOOKUP($J105,'mapping-Y26'!#REF!,2,0)</f>
        <v>#REF!</v>
      </c>
      <c r="H105" t="str">
        <f>VLOOKUP($J105,'mapping-Y26'!$F:$L,6,0)</f>
        <v>#</v>
      </c>
      <c r="I105">
        <f>VLOOKUP($J105,'mapping-Y26'!$F:$L,5,0)</f>
        <v>14014479</v>
      </c>
      <c r="J105" t="s">
        <v>219</v>
      </c>
      <c r="K105" t="str">
        <f>VLOOKUP($J105,'mapping-Y26'!$F:$L,4,0)</f>
        <v xml:space="preserve">229160舒洁绿茶洋甘菊印花清香卷纸10粒 </v>
      </c>
      <c r="L105" t="e">
        <f>VLOOKUP($J105,'mapping-Y26'!#REF!,4,0)</f>
        <v>#REF!</v>
      </c>
      <c r="M105" t="str">
        <f>VLOOKUP($J105,'mapping-Y26'!$H:$L,2,0)</f>
        <v xml:space="preserve">229160舒洁绿茶洋甘菊印花清香卷纸10粒 </v>
      </c>
      <c r="N105" t="e">
        <f>VLOOKUP($J105,'mapping-Y26'!M:N,3,0)</f>
        <v>#N/A</v>
      </c>
      <c r="O105" s="2" t="e">
        <f>VLOOKUP($J105,'mapping-Y26'!$M:$N,5,0)</f>
        <v>#N/A</v>
      </c>
      <c r="P105" s="2" t="e">
        <f>VLOOKUP($J105,'mapping-Y26'!$M:$N,6,0)</f>
        <v>#N/A</v>
      </c>
      <c r="Q105" s="272" t="e">
        <f>VLOOKUP($J105,'mapping-Y26'!$M:$Q,7,0)</f>
        <v>#N/A</v>
      </c>
      <c r="R105" s="31" t="e">
        <f t="shared" si="47"/>
        <v>#N/A</v>
      </c>
      <c r="T105" s="2">
        <v>40.9</v>
      </c>
      <c r="U105" s="2">
        <v>37.9</v>
      </c>
      <c r="V105" s="2">
        <v>36.9</v>
      </c>
      <c r="W105" s="423">
        <v>0.1</v>
      </c>
      <c r="X105" s="423">
        <v>0.6</v>
      </c>
      <c r="Y105" s="423">
        <v>0.3</v>
      </c>
      <c r="Z105" s="397">
        <f t="shared" si="28"/>
        <v>37.9</v>
      </c>
      <c r="AF105" s="161">
        <v>19.870796460176994</v>
      </c>
      <c r="AG105" s="3" t="e">
        <f t="shared" si="39"/>
        <v>#N/A</v>
      </c>
      <c r="AH105" s="395">
        <v>0.03</v>
      </c>
      <c r="AI105" s="395">
        <v>0.01</v>
      </c>
      <c r="AJ105" s="66" t="e">
        <f t="shared" si="40"/>
        <v>#N/A</v>
      </c>
      <c r="AK105" s="31" t="e">
        <f t="shared" si="41"/>
        <v>#N/A</v>
      </c>
      <c r="AL105" s="66" t="e">
        <f>VLOOKUP($J105,#REF!,12,0)</f>
        <v>#REF!</v>
      </c>
      <c r="AM105" s="68">
        <v>2.7E-2</v>
      </c>
      <c r="AN105" s="31" t="e">
        <f t="shared" si="42"/>
        <v>#N/A</v>
      </c>
      <c r="AO105" s="3" t="e">
        <f t="shared" si="30"/>
        <v>#N/A</v>
      </c>
      <c r="AP105" s="157">
        <v>6220.1834862385313</v>
      </c>
      <c r="AQ105" s="157" t="e">
        <f t="shared" si="43"/>
        <v>#N/A</v>
      </c>
      <c r="AR105" s="157" t="e">
        <f t="shared" si="44"/>
        <v>#N/A</v>
      </c>
      <c r="AS105" s="31" t="e">
        <f t="shared" si="45"/>
        <v>#N/A</v>
      </c>
    </row>
    <row r="106" spans="1:45">
      <c r="D106" s="2" t="s">
        <v>918</v>
      </c>
      <c r="E106" s="2" t="s">
        <v>917</v>
      </c>
      <c r="G106" t="e">
        <f>VLOOKUP($J106,'mapping-Y26'!#REF!,2,0)</f>
        <v>#REF!</v>
      </c>
      <c r="H106" t="str">
        <f>VLOOKUP($J106,'mapping-Y26'!$F:$L,6,0)</f>
        <v>#</v>
      </c>
      <c r="I106">
        <f>VLOOKUP($J106,'mapping-Y26'!$F:$L,5,0)</f>
        <v>14015043</v>
      </c>
      <c r="J106" t="s">
        <v>236</v>
      </c>
      <c r="K106" t="str">
        <f>VLOOKUP($J106,'mapping-Y26'!$F:$L,4,0)</f>
        <v>253000舒洁蚕丝洗脸巾80抽3包装</v>
      </c>
      <c r="L106" t="e">
        <f>VLOOKUP($J106,'mapping-Y26'!#REF!,4,0)</f>
        <v>#REF!</v>
      </c>
      <c r="M106" t="str">
        <f>VLOOKUP($J106,'mapping-Y26'!$H:$L,2,0)</f>
        <v>253000舒洁蚕丝洗脸巾80抽3包装</v>
      </c>
      <c r="N106" t="e">
        <f>VLOOKUP($J106,'mapping-Y26'!M:N,3,0)</f>
        <v>#N/A</v>
      </c>
      <c r="O106" s="2" t="e">
        <f>VLOOKUP($J106,'mapping-Y26'!$M:$N,5,0)</f>
        <v>#N/A</v>
      </c>
      <c r="P106" s="2" t="e">
        <f>VLOOKUP($J106,'mapping-Y26'!$M:$N,6,0)</f>
        <v>#N/A</v>
      </c>
      <c r="Q106" s="272" t="e">
        <f>VLOOKUP($J106,'mapping-Y26'!$M:$Q,7,0)</f>
        <v>#N/A</v>
      </c>
      <c r="R106" s="31" t="e">
        <f t="shared" si="47"/>
        <v>#N/A</v>
      </c>
      <c r="T106" s="2">
        <v>41.9</v>
      </c>
      <c r="U106" s="2">
        <v>38.9</v>
      </c>
      <c r="V106" s="2">
        <v>33.9</v>
      </c>
      <c r="W106" s="423">
        <v>0.1</v>
      </c>
      <c r="X106" s="423">
        <v>0.6</v>
      </c>
      <c r="Y106" s="423">
        <v>0.3</v>
      </c>
      <c r="Z106" s="397">
        <f t="shared" si="28"/>
        <v>37.700000000000003</v>
      </c>
      <c r="AF106" s="161">
        <v>20.843681592920351</v>
      </c>
      <c r="AG106" s="3" t="e">
        <f t="shared" si="39"/>
        <v>#N/A</v>
      </c>
      <c r="AH106" s="395">
        <v>0.03</v>
      </c>
      <c r="AI106" s="395">
        <v>0.01</v>
      </c>
      <c r="AJ106" s="66" t="e">
        <f t="shared" si="40"/>
        <v>#N/A</v>
      </c>
      <c r="AK106" s="31" t="e">
        <f t="shared" si="41"/>
        <v>#N/A</v>
      </c>
      <c r="AL106" s="66" t="e">
        <f>VLOOKUP($J106,#REF!,12,0)</f>
        <v>#REF!</v>
      </c>
      <c r="AM106" s="68">
        <v>2.7E-2</v>
      </c>
      <c r="AN106" s="31" t="e">
        <f t="shared" si="42"/>
        <v>#N/A</v>
      </c>
      <c r="AO106" s="3" t="e">
        <f t="shared" si="30"/>
        <v>#N/A</v>
      </c>
      <c r="AP106" s="157">
        <v>284.34829533012822</v>
      </c>
      <c r="AQ106" s="157" t="e">
        <f t="shared" si="43"/>
        <v>#N/A</v>
      </c>
      <c r="AR106" s="157" t="e">
        <f t="shared" si="44"/>
        <v>#N/A</v>
      </c>
      <c r="AS106" s="31" t="e">
        <f t="shared" si="45"/>
        <v>#N/A</v>
      </c>
    </row>
    <row r="107" spans="1:45">
      <c r="D107" s="2" t="s">
        <v>918</v>
      </c>
      <c r="E107" s="2" t="s">
        <v>917</v>
      </c>
      <c r="G107" t="e">
        <f>VLOOKUP($J107,'mapping-Y26'!#REF!,2,0)</f>
        <v>#REF!</v>
      </c>
      <c r="H107" t="str">
        <f>VLOOKUP($J107,'mapping-Y26'!$F:$L,6,0)</f>
        <v>#</v>
      </c>
      <c r="I107">
        <f>VLOOKUP($J107,'mapping-Y26'!$F:$L,5,0)</f>
        <v>14004626</v>
      </c>
      <c r="J107" t="s">
        <v>244</v>
      </c>
      <c r="K107" t="str">
        <f>VLOOKUP($J107,'mapping-Y26'!$F:$L,4,0)</f>
        <v xml:space="preserve">261300舒洁无香湿巾单包装 </v>
      </c>
      <c r="L107" t="e">
        <f>VLOOKUP($J107,'mapping-Y26'!#REF!,4,0)</f>
        <v>#REF!</v>
      </c>
      <c r="M107" t="str">
        <f>VLOOKUP($J107,'mapping-Y26'!$H:$L,2,0)</f>
        <v xml:space="preserve">261300舒洁无香湿巾单包装 </v>
      </c>
      <c r="N107" t="e">
        <f>VLOOKUP($J107,'mapping-Y26'!M:N,3,0)</f>
        <v>#N/A</v>
      </c>
      <c r="O107" s="2" t="e">
        <f>VLOOKUP($J107,'mapping-Y26'!$M:$N,5,0)</f>
        <v>#N/A</v>
      </c>
      <c r="P107" s="2" t="e">
        <f>VLOOKUP($J107,'mapping-Y26'!$M:$N,6,0)</f>
        <v>#N/A</v>
      </c>
      <c r="Q107" s="272" t="e">
        <f>VLOOKUP($J107,'mapping-Y26'!$M:$Q,7,0)</f>
        <v>#N/A</v>
      </c>
      <c r="R107" s="31" t="e">
        <f t="shared" si="47"/>
        <v>#N/A</v>
      </c>
      <c r="T107" s="2">
        <v>3.4</v>
      </c>
      <c r="U107" s="2">
        <v>2.9</v>
      </c>
      <c r="V107" s="2">
        <v>2.4</v>
      </c>
      <c r="W107" s="423">
        <v>0.1</v>
      </c>
      <c r="X107" s="423">
        <v>0.6</v>
      </c>
      <c r="Y107" s="423">
        <v>0.3</v>
      </c>
      <c r="Z107" s="397">
        <f t="shared" si="28"/>
        <v>2.8</v>
      </c>
      <c r="AF107" s="161">
        <v>1.458407079646018</v>
      </c>
      <c r="AG107" s="3" t="e">
        <f t="shared" si="39"/>
        <v>#N/A</v>
      </c>
      <c r="AH107" s="395">
        <v>0.03</v>
      </c>
      <c r="AI107" s="395">
        <v>0.01</v>
      </c>
      <c r="AJ107" s="66" t="e">
        <f t="shared" si="40"/>
        <v>#N/A</v>
      </c>
      <c r="AK107" s="31" t="e">
        <f t="shared" si="41"/>
        <v>#N/A</v>
      </c>
      <c r="AL107" s="66" t="e">
        <f>VLOOKUP($J107,#REF!,12,0)</f>
        <v>#REF!</v>
      </c>
      <c r="AM107" s="68">
        <v>2.7E-2</v>
      </c>
      <c r="AN107" s="31" t="e">
        <f t="shared" si="42"/>
        <v>#N/A</v>
      </c>
      <c r="AO107" s="3" t="e">
        <f t="shared" si="30"/>
        <v>#N/A</v>
      </c>
      <c r="AP107" s="157">
        <v>21377.067180099151</v>
      </c>
      <c r="AQ107" s="157" t="e">
        <f t="shared" si="43"/>
        <v>#N/A</v>
      </c>
      <c r="AR107" s="157" t="e">
        <f t="shared" si="44"/>
        <v>#N/A</v>
      </c>
      <c r="AS107" s="31" t="e">
        <f t="shared" si="45"/>
        <v>#N/A</v>
      </c>
    </row>
    <row r="108" spans="1:45">
      <c r="D108" s="2" t="s">
        <v>918</v>
      </c>
      <c r="E108" s="2" t="s">
        <v>917</v>
      </c>
      <c r="G108" t="e">
        <f>VLOOKUP($J108,'mapping-Y26'!#REF!,2,0)</f>
        <v>#REF!</v>
      </c>
      <c r="H108" t="str">
        <f>VLOOKUP($J108,'mapping-Y26'!$F:$L,6,0)</f>
        <v>80P</v>
      </c>
      <c r="I108">
        <f>VLOOKUP($J108,'mapping-Y26'!$F:$L,5,0)</f>
        <v>14017865</v>
      </c>
      <c r="J108" t="s">
        <v>555</v>
      </c>
      <c r="K108" t="str">
        <f>VLOOKUP($J108,'mapping-Y26'!$F:$L,4,0)</f>
        <v xml:space="preserve">266010舒洁湿厕纸80片 </v>
      </c>
      <c r="L108" t="e">
        <f>VLOOKUP($J108,'mapping-Y26'!#REF!,4,0)</f>
        <v>#REF!</v>
      </c>
      <c r="M108" t="str">
        <f>VLOOKUP($J108,'mapping-Y26'!$H:$L,2,0)</f>
        <v xml:space="preserve">266010舒洁湿厕纸80片 </v>
      </c>
      <c r="N108" t="e">
        <f>VLOOKUP($J108,'mapping-Y26'!M:N,3,0)</f>
        <v>#N/A</v>
      </c>
      <c r="O108" s="2" t="e">
        <f>VLOOKUP($J108,'mapping-Y26'!$M:$N,5,0)</f>
        <v>#N/A</v>
      </c>
      <c r="P108" s="2" t="e">
        <f>VLOOKUP($J108,'mapping-Y26'!$M:$N,6,0)</f>
        <v>#N/A</v>
      </c>
      <c r="Q108" s="272" t="e">
        <f>VLOOKUP($J108,'mapping-Y26'!$M:$Q,7,0)</f>
        <v>#N/A</v>
      </c>
      <c r="R108" s="31" t="e">
        <f t="shared" si="47"/>
        <v>#N/A</v>
      </c>
      <c r="T108" s="2">
        <v>9.9</v>
      </c>
      <c r="U108" s="2">
        <v>8.9</v>
      </c>
      <c r="V108" s="2">
        <v>6.69</v>
      </c>
      <c r="W108" s="423">
        <v>0.1</v>
      </c>
      <c r="X108" s="423">
        <v>0.45</v>
      </c>
      <c r="Y108" s="423">
        <v>0.45</v>
      </c>
      <c r="Z108" s="397">
        <f t="shared" si="28"/>
        <v>8.0055000000000014</v>
      </c>
      <c r="AF108" s="161">
        <v>5.0132743362831862</v>
      </c>
      <c r="AG108" s="3" t="e">
        <f t="shared" si="39"/>
        <v>#N/A</v>
      </c>
      <c r="AH108" s="395">
        <v>0.03</v>
      </c>
      <c r="AI108" s="395">
        <v>0.01</v>
      </c>
      <c r="AJ108" s="66" t="e">
        <f t="shared" si="40"/>
        <v>#N/A</v>
      </c>
      <c r="AK108" s="31" t="e">
        <f t="shared" si="41"/>
        <v>#N/A</v>
      </c>
      <c r="AL108" s="66" t="e">
        <f>VLOOKUP($J108,#REF!,12,0)</f>
        <v>#REF!</v>
      </c>
      <c r="AM108" s="68">
        <v>2.7E-2</v>
      </c>
      <c r="AN108" s="31" t="e">
        <f t="shared" si="42"/>
        <v>#N/A</v>
      </c>
      <c r="AO108" s="3" t="e">
        <f t="shared" si="30"/>
        <v>#N/A</v>
      </c>
      <c r="AP108" s="157">
        <v>8560.6060606060619</v>
      </c>
      <c r="AQ108" s="157" t="e">
        <f t="shared" si="43"/>
        <v>#N/A</v>
      </c>
      <c r="AR108" s="157" t="e">
        <f t="shared" si="44"/>
        <v>#N/A</v>
      </c>
      <c r="AS108" s="31" t="e">
        <f t="shared" si="45"/>
        <v>#N/A</v>
      </c>
    </row>
    <row r="109" spans="1:45">
      <c r="D109" s="2" t="s">
        <v>918</v>
      </c>
      <c r="E109" s="2" t="s">
        <v>917</v>
      </c>
      <c r="G109" t="e">
        <f>VLOOKUP($J109,'mapping-Y26'!#REF!,2,0)</f>
        <v>#REF!</v>
      </c>
      <c r="H109" t="str">
        <f>VLOOKUP($J109,'mapping-Y26'!$F:$L,6,0)</f>
        <v>80P</v>
      </c>
      <c r="I109">
        <f>VLOOKUP($J109,'mapping-Y26'!$F:$L,5,0)</f>
        <v>14017868</v>
      </c>
      <c r="J109" t="s">
        <v>563</v>
      </c>
      <c r="K109" t="str">
        <f>VLOOKUP($J109,'mapping-Y26'!$F:$L,4,0)</f>
        <v xml:space="preserve">266210舒洁湿厕纸80片x6包 </v>
      </c>
      <c r="L109" t="e">
        <f>VLOOKUP($J109,'mapping-Y26'!#REF!,4,0)</f>
        <v>#REF!</v>
      </c>
      <c r="M109" t="str">
        <f>VLOOKUP($J109,'mapping-Y26'!$H:$L,2,0)</f>
        <v xml:space="preserve">266210舒洁湿厕纸80片x6包 </v>
      </c>
      <c r="N109" t="e">
        <f>VLOOKUP($J109,'mapping-Y26'!M:N,3,0)</f>
        <v>#N/A</v>
      </c>
      <c r="O109" s="2" t="e">
        <f>VLOOKUP($J109,'mapping-Y26'!$M:$N,5,0)</f>
        <v>#N/A</v>
      </c>
      <c r="P109" s="2" t="e">
        <f>VLOOKUP($J109,'mapping-Y26'!$M:$N,6,0)</f>
        <v>#N/A</v>
      </c>
      <c r="Q109" s="272" t="e">
        <f>VLOOKUP($J109,'mapping-Y26'!$M:$Q,7,0)</f>
        <v>#N/A</v>
      </c>
      <c r="R109" s="31" t="e">
        <f t="shared" si="47"/>
        <v>#N/A</v>
      </c>
      <c r="T109" s="2">
        <v>54.9</v>
      </c>
      <c r="U109" s="2">
        <v>49.9</v>
      </c>
      <c r="V109" s="2">
        <v>39.9</v>
      </c>
      <c r="W109" s="423">
        <v>0.1</v>
      </c>
      <c r="X109" s="423">
        <v>0.7</v>
      </c>
      <c r="Y109" s="423">
        <v>0.2</v>
      </c>
      <c r="Z109" s="397">
        <f t="shared" ref="Z109:Z153" si="48">T109*W109+U109*X109+V109*Y109</f>
        <v>48.400000000000006</v>
      </c>
      <c r="AF109" s="161">
        <v>30.900000000000009</v>
      </c>
      <c r="AG109" s="3" t="e">
        <f t="shared" si="39"/>
        <v>#N/A</v>
      </c>
      <c r="AH109" s="395">
        <v>0.03</v>
      </c>
      <c r="AI109" s="395">
        <v>0.01</v>
      </c>
      <c r="AJ109" s="66" t="e">
        <f t="shared" si="40"/>
        <v>#N/A</v>
      </c>
      <c r="AK109" s="31" t="e">
        <f t="shared" si="41"/>
        <v>#N/A</v>
      </c>
      <c r="AL109" s="66" t="e">
        <f>VLOOKUP($J109,#REF!,12,0)</f>
        <v>#REF!</v>
      </c>
      <c r="AM109" s="68">
        <v>2.7E-2</v>
      </c>
      <c r="AN109" s="31" t="e">
        <f t="shared" si="42"/>
        <v>#N/A</v>
      </c>
      <c r="AO109" s="3" t="e">
        <f t="shared" ref="AO109:AO128" si="49">AN109/AK109</f>
        <v>#N/A</v>
      </c>
      <c r="AP109" s="157">
        <v>23333.333333333332</v>
      </c>
      <c r="AQ109" s="157" t="e">
        <f t="shared" si="43"/>
        <v>#N/A</v>
      </c>
      <c r="AR109" s="157" t="e">
        <f t="shared" si="44"/>
        <v>#N/A</v>
      </c>
      <c r="AS109" s="31" t="e">
        <f t="shared" si="45"/>
        <v>#N/A</v>
      </c>
    </row>
    <row r="110" spans="1:45">
      <c r="D110" s="2" t="s">
        <v>918</v>
      </c>
      <c r="E110" s="2" t="s">
        <v>917</v>
      </c>
      <c r="G110" t="e">
        <f>VLOOKUP($J110,'mapping-Y26'!#REF!,2,0)</f>
        <v>#REF!</v>
      </c>
      <c r="H110" t="str">
        <f>VLOOKUP($J110,'mapping-Y26'!$F:$L,6,0)</f>
        <v>Lotion 4Ply</v>
      </c>
      <c r="I110">
        <f>VLOOKUP($J110,'mapping-Y26'!$F:$L,5,0)</f>
        <v>14016307</v>
      </c>
      <c r="J110" t="s">
        <v>143</v>
      </c>
      <c r="K110" t="str">
        <f>VLOOKUP($J110,'mapping-Y26'!$F:$L,4,0)</f>
        <v>215610舒洁®北海道轻牛乳系列乳霜纸面巾100抽3包装</v>
      </c>
      <c r="L110" t="e">
        <f>VLOOKUP($J110,'mapping-Y26'!#REF!,4,0)</f>
        <v>#REF!</v>
      </c>
      <c r="M110" t="str">
        <f>VLOOKUP($J110,'mapping-Y26'!$H:$L,2,0)</f>
        <v>215610舒洁®北海道轻牛乳系列乳霜纸面巾100抽3包装</v>
      </c>
      <c r="N110" t="e">
        <f>VLOOKUP($J110,'mapping-Y26'!M:N,3,0)</f>
        <v>#N/A</v>
      </c>
      <c r="O110" s="2" t="e">
        <f>VLOOKUP($J110,'mapping-Y26'!$M:$N,5,0)</f>
        <v>#N/A</v>
      </c>
      <c r="P110" s="2" t="e">
        <f>VLOOKUP($J110,'mapping-Y26'!$M:$N,6,0)</f>
        <v>#N/A</v>
      </c>
      <c r="Q110" s="272" t="e">
        <f>VLOOKUP($J110,'mapping-Y26'!$M:$Q,7,0)</f>
        <v>#N/A</v>
      </c>
      <c r="R110" s="31" t="e">
        <f t="shared" si="47"/>
        <v>#N/A</v>
      </c>
      <c r="T110" s="2">
        <v>29.9</v>
      </c>
      <c r="U110" s="2">
        <v>23.9</v>
      </c>
      <c r="V110" s="2">
        <v>18.899999999999999</v>
      </c>
      <c r="W110" s="423">
        <v>0.1</v>
      </c>
      <c r="X110" s="423">
        <v>0.6</v>
      </c>
      <c r="Y110" s="423">
        <v>0.3</v>
      </c>
      <c r="Z110" s="397">
        <f t="shared" si="48"/>
        <v>22.999999999999996</v>
      </c>
      <c r="AF110" s="161">
        <v>12.852212389380533</v>
      </c>
      <c r="AG110" s="3" t="e">
        <f t="shared" si="39"/>
        <v>#N/A</v>
      </c>
      <c r="AH110" s="395">
        <v>0.03</v>
      </c>
      <c r="AI110" s="395">
        <v>0.01</v>
      </c>
      <c r="AJ110" s="66" t="e">
        <f t="shared" si="40"/>
        <v>#N/A</v>
      </c>
      <c r="AK110" s="31" t="e">
        <f t="shared" si="41"/>
        <v>#N/A</v>
      </c>
      <c r="AL110" s="66" t="e">
        <f>VLOOKUP($J110,#REF!,12,0)</f>
        <v>#REF!</v>
      </c>
      <c r="AM110" s="68">
        <v>2.7E-2</v>
      </c>
      <c r="AN110" s="31" t="e">
        <f t="shared" si="42"/>
        <v>#N/A</v>
      </c>
      <c r="AO110" s="3" t="e">
        <f t="shared" si="49"/>
        <v>#N/A</v>
      </c>
      <c r="AP110" s="157">
        <v>1335.6973995271867</v>
      </c>
      <c r="AQ110" s="157" t="e">
        <f t="shared" si="43"/>
        <v>#N/A</v>
      </c>
      <c r="AR110" s="157" t="e">
        <f t="shared" si="44"/>
        <v>#N/A</v>
      </c>
      <c r="AS110" s="31" t="e">
        <f t="shared" si="45"/>
        <v>#N/A</v>
      </c>
    </row>
    <row r="111" spans="1:45">
      <c r="D111" s="2" t="s">
        <v>918</v>
      </c>
      <c r="E111" s="2" t="s">
        <v>917</v>
      </c>
      <c r="G111" t="e">
        <f>VLOOKUP($J111,'mapping-Y26'!#REF!,2,0)</f>
        <v>#REF!</v>
      </c>
      <c r="H111" t="str">
        <f>VLOOKUP($J111,'mapping-Y26'!$F:$L,6,0)</f>
        <v>60P</v>
      </c>
      <c r="I111">
        <f>VLOOKUP($J111,'mapping-Y26'!$F:$L,5,0)</f>
        <v>14016684</v>
      </c>
      <c r="J111" t="s">
        <v>112</v>
      </c>
      <c r="K111" t="str">
        <f>VLOOKUP($J111,'mapping-Y26'!$F:$L,4,0)</f>
        <v xml:space="preserve">267400舒洁®山茶花系列湿巾（湿厕纸）60片x4包 </v>
      </c>
      <c r="L111" t="e">
        <f>VLOOKUP($J111,'mapping-Y26'!#REF!,4,0)</f>
        <v>#REF!</v>
      </c>
      <c r="M111" t="str">
        <f>VLOOKUP($J111,'mapping-Y26'!$H:$L,2,0)</f>
        <v xml:space="preserve">267400舒洁®山茶花系列湿巾（湿厕纸）60片x4包 </v>
      </c>
      <c r="N111" t="e">
        <f>VLOOKUP($J111,'mapping-Y26'!M:N,3,0)</f>
        <v>#N/A</v>
      </c>
      <c r="O111" s="2" t="e">
        <f>VLOOKUP($J111,'mapping-Y26'!$M:$N,5,0)</f>
        <v>#N/A</v>
      </c>
      <c r="P111" s="2" t="e">
        <f>VLOOKUP($J111,'mapping-Y26'!$M:$N,6,0)</f>
        <v>#N/A</v>
      </c>
      <c r="Q111" s="272" t="e">
        <f>VLOOKUP($J111,'mapping-Y26'!$M:$Q,7,0)</f>
        <v>#N/A</v>
      </c>
      <c r="R111" s="31" t="e">
        <f t="shared" si="47"/>
        <v>#N/A</v>
      </c>
      <c r="T111" s="2">
        <v>39.9</v>
      </c>
      <c r="U111" s="2">
        <v>36.9</v>
      </c>
      <c r="V111" s="2">
        <v>27.5</v>
      </c>
      <c r="W111" s="423">
        <v>0.1</v>
      </c>
      <c r="X111" s="423">
        <v>0.6</v>
      </c>
      <c r="Y111" s="423">
        <v>0.3</v>
      </c>
      <c r="Z111" s="397">
        <f t="shared" si="48"/>
        <v>34.379999999999995</v>
      </c>
      <c r="AF111" s="161">
        <v>20.417699115044247</v>
      </c>
      <c r="AG111" s="3" t="e">
        <f t="shared" si="39"/>
        <v>#N/A</v>
      </c>
      <c r="AH111" s="395">
        <v>0.03</v>
      </c>
      <c r="AI111" s="395">
        <v>0.01</v>
      </c>
      <c r="AJ111" s="66" t="e">
        <f t="shared" si="40"/>
        <v>#N/A</v>
      </c>
      <c r="AK111" s="31" t="e">
        <f t="shared" si="41"/>
        <v>#N/A</v>
      </c>
      <c r="AL111" s="66" t="e">
        <f>VLOOKUP($J111,#REF!,12,0)</f>
        <v>#REF!</v>
      </c>
      <c r="AM111" s="68">
        <v>2.7E-2</v>
      </c>
      <c r="AN111" s="31" t="e">
        <f t="shared" si="42"/>
        <v>#N/A</v>
      </c>
      <c r="AO111" s="3" t="e">
        <f>AN111/AK111</f>
        <v>#N/A</v>
      </c>
      <c r="AP111" s="157">
        <v>262.17314241134164</v>
      </c>
      <c r="AQ111" s="157" t="e">
        <f t="shared" si="43"/>
        <v>#N/A</v>
      </c>
      <c r="AR111" s="157" t="e">
        <f t="shared" si="44"/>
        <v>#N/A</v>
      </c>
      <c r="AS111" s="31" t="e">
        <f t="shared" si="45"/>
        <v>#N/A</v>
      </c>
    </row>
    <row r="112" spans="1:45">
      <c r="D112" s="2" t="s">
        <v>918</v>
      </c>
      <c r="E112" s="2" t="s">
        <v>917</v>
      </c>
      <c r="G112" t="e">
        <f>VLOOKUP($J112,'mapping-Y26'!#REF!,2,0)</f>
        <v>#REF!</v>
      </c>
      <c r="H112" t="str">
        <f>VLOOKUP($J112,'mapping-Y26'!$F:$L,6,0)</f>
        <v>#</v>
      </c>
      <c r="I112">
        <f>VLOOKUP($J112,'mapping-Y26'!$F:$L,5,0)</f>
        <v>14015861</v>
      </c>
      <c r="J112" t="s">
        <v>211</v>
      </c>
      <c r="K112" t="str">
        <f>VLOOKUP($J112,'mapping-Y26'!$F:$L,4,0)</f>
        <v xml:space="preserve">221635舒洁卷纸3层纯白10粒（蓝色） </v>
      </c>
      <c r="L112" t="e">
        <f>VLOOKUP($J112,'mapping-Y26'!#REF!,4,0)</f>
        <v>#REF!</v>
      </c>
      <c r="M112" t="str">
        <f>VLOOKUP($J112,'mapping-Y26'!$H:$L,2,0)</f>
        <v xml:space="preserve">221635舒洁卷纸3层纯白10粒（蓝色） </v>
      </c>
      <c r="N112" t="e">
        <f>VLOOKUP($J112,'mapping-Y26'!M:N,3,0)</f>
        <v>#N/A</v>
      </c>
      <c r="O112" s="2" t="e">
        <f>VLOOKUP($J112,'mapping-Y26'!$M:$N,5,0)</f>
        <v>#N/A</v>
      </c>
      <c r="P112" s="2" t="e">
        <f>VLOOKUP($J112,'mapping-Y26'!$M:$N,6,0)</f>
        <v>#N/A</v>
      </c>
      <c r="Q112" s="272" t="e">
        <f>VLOOKUP($J112,'mapping-Y26'!$M:$Q,7,0)</f>
        <v>#N/A</v>
      </c>
      <c r="R112" s="31" t="e">
        <f t="shared" si="47"/>
        <v>#N/A</v>
      </c>
      <c r="T112" s="2">
        <v>32.9</v>
      </c>
      <c r="U112" s="2">
        <v>29.9</v>
      </c>
      <c r="V112" s="2">
        <v>24.9</v>
      </c>
      <c r="W112" s="423">
        <v>0.1</v>
      </c>
      <c r="X112" s="423">
        <v>0.6</v>
      </c>
      <c r="Y112" s="423">
        <v>0.3</v>
      </c>
      <c r="Z112" s="397">
        <f t="shared" si="48"/>
        <v>28.699999999999996</v>
      </c>
      <c r="AF112" s="161">
        <v>15.495575221238939</v>
      </c>
      <c r="AG112" s="3" t="e">
        <f t="shared" si="39"/>
        <v>#N/A</v>
      </c>
      <c r="AH112" s="395">
        <v>0.03</v>
      </c>
      <c r="AI112" s="395">
        <v>0.01</v>
      </c>
      <c r="AJ112" s="66" t="e">
        <f t="shared" si="40"/>
        <v>#N/A</v>
      </c>
      <c r="AK112" s="31" t="e">
        <f t="shared" si="41"/>
        <v>#N/A</v>
      </c>
      <c r="AL112" s="66" t="e">
        <f>VLOOKUP($J112,#REF!,12,0)</f>
        <v>#REF!</v>
      </c>
      <c r="AM112" s="68">
        <v>2.7E-2</v>
      </c>
      <c r="AN112" s="31" t="e">
        <f t="shared" si="42"/>
        <v>#N/A</v>
      </c>
      <c r="AO112" s="3" t="e">
        <f t="shared" si="49"/>
        <v>#N/A</v>
      </c>
      <c r="AP112" s="157">
        <v>5317.6470588235297</v>
      </c>
      <c r="AQ112" s="157" t="e">
        <f t="shared" si="43"/>
        <v>#N/A</v>
      </c>
      <c r="AR112" s="157" t="e">
        <f t="shared" si="44"/>
        <v>#N/A</v>
      </c>
      <c r="AS112" s="31" t="e">
        <f t="shared" si="45"/>
        <v>#N/A</v>
      </c>
    </row>
    <row r="113" spans="4:45">
      <c r="D113" s="2" t="s">
        <v>918</v>
      </c>
      <c r="E113" s="2" t="s">
        <v>917</v>
      </c>
      <c r="G113" t="e">
        <f>VLOOKUP($J113,'mapping-Y26'!#REF!,2,0)</f>
        <v>#REF!</v>
      </c>
      <c r="H113" t="str">
        <f>VLOOKUP($J113,'mapping-Y26'!$F:$L,6,0)</f>
        <v>#</v>
      </c>
      <c r="I113">
        <f>VLOOKUP($J113,'mapping-Y26'!$F:$L,5,0)</f>
        <v>14016868</v>
      </c>
      <c r="J113" t="s">
        <v>172</v>
      </c>
      <c r="K113" t="str">
        <f>VLOOKUP($J113,'mapping-Y26'!$F:$L,4,0)</f>
        <v>210390舒洁小熊印花抽纸3层80抽4包FSC mix70%</v>
      </c>
      <c r="L113" t="e">
        <f>VLOOKUP($J113,'mapping-Y26'!#REF!,4,0)</f>
        <v>#REF!</v>
      </c>
      <c r="M113" t="str">
        <f>VLOOKUP($J113,'mapping-Y26'!$H:$L,2,0)</f>
        <v>210390舒洁小熊印花抽纸3层80抽4包FSC mix70%</v>
      </c>
      <c r="N113" t="e">
        <f>VLOOKUP($J113,'mapping-Y26'!M:N,3,0)</f>
        <v>#N/A</v>
      </c>
      <c r="O113" s="2" t="e">
        <f>VLOOKUP($J113,'mapping-Y26'!$M:$N,5,0)</f>
        <v>#N/A</v>
      </c>
      <c r="P113" s="2" t="e">
        <f>VLOOKUP($J113,'mapping-Y26'!$M:$N,6,0)</f>
        <v>#N/A</v>
      </c>
      <c r="Q113" s="272" t="e">
        <f>VLOOKUP($J113,'mapping-Y26'!$M:$Q,7,0)</f>
        <v>#N/A</v>
      </c>
      <c r="R113" s="31" t="e">
        <f t="shared" si="47"/>
        <v>#N/A</v>
      </c>
      <c r="T113" s="2">
        <v>17</v>
      </c>
      <c r="U113" s="2">
        <v>15</v>
      </c>
      <c r="V113" s="2">
        <v>12</v>
      </c>
      <c r="W113" s="423">
        <v>0.1</v>
      </c>
      <c r="X113" s="423">
        <v>0.6</v>
      </c>
      <c r="Y113" s="423">
        <v>0.3</v>
      </c>
      <c r="Z113" s="397">
        <f t="shared" si="48"/>
        <v>14.299999999999999</v>
      </c>
      <c r="AF113" s="161">
        <v>7.6566371681415939</v>
      </c>
      <c r="AG113" s="3" t="e">
        <f t="shared" si="39"/>
        <v>#N/A</v>
      </c>
      <c r="AH113" s="395">
        <v>0.03</v>
      </c>
      <c r="AI113" s="395">
        <v>0.01</v>
      </c>
      <c r="AJ113" s="66" t="e">
        <f t="shared" si="40"/>
        <v>#N/A</v>
      </c>
      <c r="AK113" s="31" t="e">
        <f t="shared" si="41"/>
        <v>#N/A</v>
      </c>
      <c r="AL113" s="66" t="e">
        <f>VLOOKUP($J113,#REF!,12,0)</f>
        <v>#REF!</v>
      </c>
      <c r="AM113" s="68">
        <v>2.7E-2</v>
      </c>
      <c r="AN113" s="31" t="e">
        <f t="shared" si="42"/>
        <v>#N/A</v>
      </c>
      <c r="AO113" s="3" t="e">
        <f t="shared" si="49"/>
        <v>#N/A</v>
      </c>
      <c r="AP113" s="157">
        <v>6165.6746031746015</v>
      </c>
      <c r="AQ113" s="157" t="e">
        <f t="shared" si="43"/>
        <v>#N/A</v>
      </c>
      <c r="AR113" s="157" t="e">
        <f t="shared" si="44"/>
        <v>#N/A</v>
      </c>
      <c r="AS113" s="31" t="e">
        <f t="shared" si="45"/>
        <v>#N/A</v>
      </c>
    </row>
    <row r="114" spans="4:45">
      <c r="D114" s="2" t="s">
        <v>918</v>
      </c>
      <c r="E114" s="2" t="s">
        <v>917</v>
      </c>
      <c r="G114" t="e">
        <f>VLOOKUP($J114,'mapping-Y26'!#REF!,2,0)</f>
        <v>#REF!</v>
      </c>
      <c r="H114" t="str">
        <f>VLOOKUP($J114,'mapping-Y26'!$F:$L,6,0)</f>
        <v>#</v>
      </c>
      <c r="I114">
        <f>VLOOKUP($J114,'mapping-Y26'!$F:$L,5,0)</f>
        <v>14016871</v>
      </c>
      <c r="J114" t="s">
        <v>227</v>
      </c>
      <c r="K114" t="str">
        <f>VLOOKUP($J114,'mapping-Y26'!$F:$L,4,0)</f>
        <v>270190舒洁小熊印花手帕纸3层10包FSC mix70%</v>
      </c>
      <c r="L114" t="e">
        <f>VLOOKUP($J114,'mapping-Y26'!#REF!,4,0)</f>
        <v>#REF!</v>
      </c>
      <c r="M114" t="str">
        <f>VLOOKUP($J114,'mapping-Y26'!$H:$L,2,0)</f>
        <v>270190舒洁小熊印花手帕纸3层10包FSC mix70%</v>
      </c>
      <c r="N114" t="e">
        <f>VLOOKUP($J114,'mapping-Y26'!M:N,3,0)</f>
        <v>#N/A</v>
      </c>
      <c r="O114" s="2" t="e">
        <f>VLOOKUP($J114,'mapping-Y26'!$M:$N,5,0)</f>
        <v>#N/A</v>
      </c>
      <c r="P114" s="2" t="e">
        <f>VLOOKUP($J114,'mapping-Y26'!$M:$N,6,0)</f>
        <v>#N/A</v>
      </c>
      <c r="Q114" s="272" t="e">
        <f>VLOOKUP($J114,'mapping-Y26'!$M:$Q,7,0)</f>
        <v>#N/A</v>
      </c>
      <c r="R114" s="31" t="e">
        <f t="shared" si="47"/>
        <v>#N/A</v>
      </c>
      <c r="T114" s="2">
        <v>17</v>
      </c>
      <c r="U114" s="2">
        <v>15</v>
      </c>
      <c r="V114" s="2">
        <v>12</v>
      </c>
      <c r="W114" s="423">
        <v>0.1</v>
      </c>
      <c r="X114" s="423">
        <v>0.6</v>
      </c>
      <c r="Y114" s="423">
        <v>0.3</v>
      </c>
      <c r="Z114" s="397">
        <f t="shared" si="48"/>
        <v>14.299999999999999</v>
      </c>
      <c r="AF114" s="161">
        <v>3.54</v>
      </c>
      <c r="AG114" s="3" t="e">
        <f t="shared" si="39"/>
        <v>#N/A</v>
      </c>
      <c r="AH114" s="395">
        <v>0.03</v>
      </c>
      <c r="AI114" s="395">
        <v>0.01</v>
      </c>
      <c r="AJ114" s="66" t="e">
        <f t="shared" si="40"/>
        <v>#N/A</v>
      </c>
      <c r="AK114" s="31" t="e">
        <f t="shared" si="41"/>
        <v>#N/A</v>
      </c>
      <c r="AL114" s="66" t="e">
        <f>VLOOKUP($J114,#REF!,12,0)</f>
        <v>#REF!</v>
      </c>
      <c r="AM114" s="68">
        <v>2.7E-2</v>
      </c>
      <c r="AN114" s="31" t="e">
        <f t="shared" si="42"/>
        <v>#N/A</v>
      </c>
      <c r="AO114" s="3" t="e">
        <f t="shared" si="49"/>
        <v>#N/A</v>
      </c>
      <c r="AP114" s="157">
        <v>144.87179487179486</v>
      </c>
      <c r="AQ114" s="157" t="e">
        <f t="shared" si="43"/>
        <v>#N/A</v>
      </c>
      <c r="AR114" s="157" t="e">
        <f t="shared" si="44"/>
        <v>#N/A</v>
      </c>
      <c r="AS114" s="31" t="e">
        <f t="shared" si="45"/>
        <v>#N/A</v>
      </c>
    </row>
    <row r="115" spans="4:45">
      <c r="D115" s="2" t="s">
        <v>918</v>
      </c>
      <c r="E115" s="2" t="s">
        <v>917</v>
      </c>
      <c r="G115" t="e">
        <f>VLOOKUP($J115,'mapping-Y26'!#REF!,2,0)</f>
        <v>#REF!</v>
      </c>
      <c r="H115" t="str">
        <f>VLOOKUP($J115,'mapping-Y26'!$F:$L,6,0)</f>
        <v>Lotion 3Ply</v>
      </c>
      <c r="I115">
        <f>VLOOKUP($J115,'mapping-Y26'!$F:$L,5,0)</f>
        <v>14014940</v>
      </c>
      <c r="J115" t="s">
        <v>127</v>
      </c>
      <c r="K115" t="str">
        <f>VLOOKUP($J115,'mapping-Y26'!$F:$L,4,0)</f>
        <v xml:space="preserve">215204舒洁鎏金系列乳霜纸巾40抽8包 </v>
      </c>
      <c r="L115" t="e">
        <f>VLOOKUP($J115,'mapping-Y26'!#REF!,4,0)</f>
        <v>#REF!</v>
      </c>
      <c r="M115" t="str">
        <f>VLOOKUP($J115,'mapping-Y26'!$H:$L,2,0)</f>
        <v xml:space="preserve">215204舒洁鎏金系列乳霜纸巾40抽8包 </v>
      </c>
      <c r="N115" t="e">
        <f>VLOOKUP($J115,'mapping-Y26'!M:N,3,0)</f>
        <v>#N/A</v>
      </c>
      <c r="O115" s="2" t="e">
        <f>VLOOKUP($J115,'mapping-Y26'!$M:$N,5,0)</f>
        <v>#N/A</v>
      </c>
      <c r="P115" s="2" t="e">
        <f>VLOOKUP($J115,'mapping-Y26'!$M:$N,6,0)</f>
        <v>#N/A</v>
      </c>
      <c r="Q115" s="272" t="e">
        <f>VLOOKUP($J115,'mapping-Y26'!$M:$Q,7,0)</f>
        <v>#N/A</v>
      </c>
      <c r="R115" s="31" t="e">
        <f t="shared" si="47"/>
        <v>#N/A</v>
      </c>
      <c r="T115" s="2">
        <v>26.9</v>
      </c>
      <c r="U115" s="2">
        <v>19.899999999999999</v>
      </c>
      <c r="V115" s="2">
        <v>18.899999999999999</v>
      </c>
      <c r="W115" s="423">
        <v>0.1</v>
      </c>
      <c r="X115" s="423">
        <v>0.6</v>
      </c>
      <c r="Y115" s="423">
        <v>0.3</v>
      </c>
      <c r="Z115" s="397">
        <f t="shared" si="48"/>
        <v>20.299999999999997</v>
      </c>
      <c r="AF115" s="161">
        <v>11.667256637168144</v>
      </c>
      <c r="AG115" s="3" t="e">
        <f t="shared" ref="AG115:AG146" si="50">(R115-AF115)/R115</f>
        <v>#N/A</v>
      </c>
      <c r="AH115" s="395">
        <v>0.03</v>
      </c>
      <c r="AI115" s="395">
        <v>0.01</v>
      </c>
      <c r="AJ115" s="66" t="e">
        <f t="shared" ref="AJ115:AJ146" si="51">(AH115+AI115)*AF115/R115+AG115</f>
        <v>#N/A</v>
      </c>
      <c r="AK115" s="31" t="e">
        <f t="shared" si="41"/>
        <v>#N/A</v>
      </c>
      <c r="AL115" s="66" t="e">
        <f>VLOOKUP($J115,#REF!,12,0)</f>
        <v>#REF!</v>
      </c>
      <c r="AM115" s="68">
        <v>2.7E-2</v>
      </c>
      <c r="AN115" s="31" t="e">
        <f t="shared" si="42"/>
        <v>#N/A</v>
      </c>
      <c r="AO115" s="3" t="e">
        <f t="shared" si="49"/>
        <v>#N/A</v>
      </c>
      <c r="AP115" s="157">
        <v>498.51838364260033</v>
      </c>
      <c r="AQ115" s="157" t="e">
        <f t="shared" si="43"/>
        <v>#N/A</v>
      </c>
      <c r="AR115" s="157" t="e">
        <f t="shared" si="44"/>
        <v>#N/A</v>
      </c>
      <c r="AS115" s="31" t="e">
        <f t="shared" si="45"/>
        <v>#N/A</v>
      </c>
    </row>
    <row r="116" spans="4:45">
      <c r="D116" s="2" t="s">
        <v>918</v>
      </c>
      <c r="E116" s="2" t="s">
        <v>917</v>
      </c>
      <c r="G116" t="e">
        <f>VLOOKUP($J116,'mapping-Y26'!#REF!,2,0)</f>
        <v>#REF!</v>
      </c>
      <c r="H116" t="str">
        <f>VLOOKUP($J116,'mapping-Y26'!$F:$L,6,0)</f>
        <v>40P-55gsm</v>
      </c>
      <c r="I116">
        <f>VLOOKUP($J116,'mapping-Y26'!$F:$L,5,0)</f>
        <v>14017872</v>
      </c>
      <c r="J116" t="s">
        <v>567</v>
      </c>
      <c r="K116" t="str">
        <f>VLOOKUP($J116,'mapping-Y26'!$F:$L,4,0)</f>
        <v>D269460舒洁湿厕纸家庭装40抽10包装</v>
      </c>
      <c r="L116" t="e">
        <f>VLOOKUP($J116,'mapping-Y26'!#REF!,4,0)</f>
        <v>#REF!</v>
      </c>
      <c r="M116" t="str">
        <f>VLOOKUP($J116,'mapping-Y26'!$H:$L,2,0)</f>
        <v>D269460舒洁湿厕纸家庭装40抽10包装</v>
      </c>
      <c r="N116" t="e">
        <f>VLOOKUP($J116,'mapping-Y26'!M:N,3,0)</f>
        <v>#N/A</v>
      </c>
      <c r="O116" s="2" t="e">
        <f>VLOOKUP($J116,'mapping-Y26'!$M:$N,5,0)</f>
        <v>#N/A</v>
      </c>
      <c r="P116" s="2" t="e">
        <f>VLOOKUP($J116,'mapping-Y26'!$M:$N,6,0)</f>
        <v>#N/A</v>
      </c>
      <c r="Q116" s="272" t="e">
        <f>VLOOKUP($J116,'mapping-Y26'!$M:$Q,7,0)</f>
        <v>#N/A</v>
      </c>
      <c r="R116" s="31" t="e">
        <f t="shared" si="47"/>
        <v>#N/A</v>
      </c>
      <c r="T116" s="2">
        <v>56.9</v>
      </c>
      <c r="U116" s="2">
        <v>52.9</v>
      </c>
      <c r="V116" s="2">
        <v>49.9</v>
      </c>
      <c r="W116" s="423">
        <v>0.1</v>
      </c>
      <c r="X116" s="423">
        <v>0.6</v>
      </c>
      <c r="Y116" s="423">
        <v>0.3</v>
      </c>
      <c r="Z116" s="397">
        <f t="shared" si="48"/>
        <v>52.4</v>
      </c>
      <c r="AF116" s="161">
        <v>32.358407079646021</v>
      </c>
      <c r="AG116" s="3" t="e">
        <f t="shared" si="50"/>
        <v>#N/A</v>
      </c>
      <c r="AH116" s="395">
        <v>0.03</v>
      </c>
      <c r="AI116" s="395">
        <v>0.01</v>
      </c>
      <c r="AJ116" s="66" t="e">
        <f t="shared" si="51"/>
        <v>#N/A</v>
      </c>
      <c r="AK116" s="31" t="e">
        <f t="shared" si="41"/>
        <v>#N/A</v>
      </c>
      <c r="AL116" s="66" t="e">
        <f>VLOOKUP($J116,#REF!,12,0)</f>
        <v>#REF!</v>
      </c>
      <c r="AM116" s="68">
        <v>2.7E-2</v>
      </c>
      <c r="AN116" s="31" t="e">
        <f t="shared" si="42"/>
        <v>#N/A</v>
      </c>
      <c r="AO116" s="3" t="e">
        <f t="shared" si="49"/>
        <v>#N/A</v>
      </c>
      <c r="AP116" s="157">
        <v>10345.070422535213</v>
      </c>
      <c r="AQ116" s="157" t="e">
        <f t="shared" si="43"/>
        <v>#N/A</v>
      </c>
      <c r="AR116" s="157" t="e">
        <f t="shared" si="44"/>
        <v>#N/A</v>
      </c>
      <c r="AS116" s="31" t="e">
        <f t="shared" si="45"/>
        <v>#N/A</v>
      </c>
    </row>
    <row r="117" spans="4:45">
      <c r="D117" s="2" t="s">
        <v>918</v>
      </c>
      <c r="E117" s="2" t="s">
        <v>917</v>
      </c>
      <c r="G117" t="e">
        <f>VLOOKUP($J117,'mapping-Y26'!#REF!,2,0)</f>
        <v>#REF!</v>
      </c>
      <c r="H117" t="str">
        <f>VLOOKUP($J117,'mapping-Y26'!$F:$L,6,0)</f>
        <v>40P-55gsm</v>
      </c>
      <c r="I117">
        <f>VLOOKUP($J117,'mapping-Y26'!$F:$L,5,0)</f>
        <v>14017864</v>
      </c>
      <c r="J117" t="s">
        <v>559</v>
      </c>
      <c r="K117" t="str">
        <f>VLOOKUP($J117,'mapping-Y26'!$F:$L,4,0)</f>
        <v xml:space="preserve">D269450舒洁湿厕纸家庭装40抽 </v>
      </c>
      <c r="L117" t="e">
        <f>VLOOKUP($J117,'mapping-Y26'!#REF!,4,0)</f>
        <v>#REF!</v>
      </c>
      <c r="M117" t="str">
        <f>VLOOKUP($J117,'mapping-Y26'!$H:$L,2,0)</f>
        <v xml:space="preserve">D269450舒洁湿厕纸家庭装40抽 </v>
      </c>
      <c r="N117" t="e">
        <f>VLOOKUP($J117,'mapping-Y26'!M:N,3,0)</f>
        <v>#N/A</v>
      </c>
      <c r="O117" s="2" t="e">
        <f>VLOOKUP($J117,'mapping-Y26'!$M:$N,5,0)</f>
        <v>#N/A</v>
      </c>
      <c r="P117" s="2" t="e">
        <f>VLOOKUP($J117,'mapping-Y26'!$M:$N,6,0)</f>
        <v>#N/A</v>
      </c>
      <c r="Q117" s="272" t="e">
        <f>VLOOKUP($J117,'mapping-Y26'!$M:$Q,7,0)</f>
        <v>#N/A</v>
      </c>
      <c r="R117" s="31" t="e">
        <f t="shared" si="47"/>
        <v>#N/A</v>
      </c>
      <c r="T117" s="2">
        <v>7.9799999999999995</v>
      </c>
      <c r="U117" s="2">
        <v>6.58</v>
      </c>
      <c r="V117" s="2">
        <v>5.9799999999999995</v>
      </c>
      <c r="W117" s="423">
        <v>0.1</v>
      </c>
      <c r="X117" s="423">
        <v>0.6</v>
      </c>
      <c r="Y117" s="423">
        <v>0.3</v>
      </c>
      <c r="Z117" s="397">
        <f t="shared" si="48"/>
        <v>6.54</v>
      </c>
      <c r="AF117" s="161">
        <v>3.5092920353982304</v>
      </c>
      <c r="AG117" s="3" t="e">
        <f t="shared" si="50"/>
        <v>#N/A</v>
      </c>
      <c r="AH117" s="395">
        <v>0.03</v>
      </c>
      <c r="AI117" s="395">
        <v>0.01</v>
      </c>
      <c r="AJ117" s="66" t="e">
        <f t="shared" si="51"/>
        <v>#N/A</v>
      </c>
      <c r="AK117" s="31" t="e">
        <f t="shared" si="41"/>
        <v>#N/A</v>
      </c>
      <c r="AL117" s="66" t="e">
        <f>VLOOKUP($J117,#REF!,12,0)</f>
        <v>#REF!</v>
      </c>
      <c r="AM117" s="68">
        <v>2.7E-2</v>
      </c>
      <c r="AN117" s="31" t="e">
        <f t="shared" si="42"/>
        <v>#N/A</v>
      </c>
      <c r="AO117" s="3" t="e">
        <f t="shared" si="49"/>
        <v>#N/A</v>
      </c>
      <c r="AP117" s="157">
        <v>5870.1298701298711</v>
      </c>
      <c r="AQ117" s="157" t="e">
        <f t="shared" si="43"/>
        <v>#N/A</v>
      </c>
      <c r="AR117" s="157" t="e">
        <f t="shared" si="44"/>
        <v>#N/A</v>
      </c>
      <c r="AS117" s="31" t="e">
        <f t="shared" si="45"/>
        <v>#N/A</v>
      </c>
    </row>
    <row r="118" spans="4:45">
      <c r="D118" s="2" t="s">
        <v>918</v>
      </c>
      <c r="E118" s="2" t="s">
        <v>917</v>
      </c>
      <c r="G118" t="e">
        <f>VLOOKUP($J118,'mapping-Y26'!#REF!,2,0)</f>
        <v>#REF!</v>
      </c>
      <c r="H118" t="str">
        <f>VLOOKUP($J118,'mapping-Y26'!$F:$L,6,0)</f>
        <v>100P</v>
      </c>
      <c r="I118">
        <f>VLOOKUP($J118,'mapping-Y26'!$F:$L,5,0)</f>
        <v>14016486</v>
      </c>
      <c r="J118" t="s">
        <v>70</v>
      </c>
      <c r="K118" t="str">
        <f>VLOOKUP($J118,'mapping-Y26'!$F:$L,4,0)</f>
        <v xml:space="preserve">266600舒洁湿厕纸100片x6包 </v>
      </c>
      <c r="L118" t="e">
        <f>VLOOKUP($J118,'mapping-Y26'!#REF!,4,0)</f>
        <v>#REF!</v>
      </c>
      <c r="M118" t="str">
        <f>VLOOKUP($J118,'mapping-Y26'!$H:$L,2,0)</f>
        <v xml:space="preserve">266600舒洁湿厕纸100片x6包 </v>
      </c>
      <c r="N118" t="e">
        <f>VLOOKUP($J118,'mapping-Y26'!M:N,3,0)</f>
        <v>#N/A</v>
      </c>
      <c r="O118" s="2" t="e">
        <f>VLOOKUP($J118,'mapping-Y26'!$M:$N,5,0)</f>
        <v>#N/A</v>
      </c>
      <c r="P118" s="2" t="e">
        <f>VLOOKUP($J118,'mapping-Y26'!$M:$N,6,0)</f>
        <v>#N/A</v>
      </c>
      <c r="Q118" s="272" t="e">
        <f>VLOOKUP($J118,'mapping-Y26'!$M:$Q,7,0)</f>
        <v>#N/A</v>
      </c>
      <c r="R118" s="31" t="e">
        <f t="shared" si="47"/>
        <v>#N/A</v>
      </c>
      <c r="T118" s="2">
        <v>79.900000000000006</v>
      </c>
      <c r="U118" s="2">
        <v>74.900000000000006</v>
      </c>
      <c r="V118" s="2">
        <v>69.900000000000006</v>
      </c>
      <c r="W118" s="423">
        <v>0.1</v>
      </c>
      <c r="X118" s="423">
        <v>0.6</v>
      </c>
      <c r="Y118" s="423">
        <v>0.3</v>
      </c>
      <c r="Z118" s="397">
        <f t="shared" si="48"/>
        <v>73.900000000000006</v>
      </c>
      <c r="AF118" s="161">
        <v>41.017699115044252</v>
      </c>
      <c r="AG118" s="3" t="e">
        <f t="shared" si="50"/>
        <v>#N/A</v>
      </c>
      <c r="AH118" s="395">
        <v>0.03</v>
      </c>
      <c r="AI118" s="395">
        <v>0.01</v>
      </c>
      <c r="AJ118" s="66" t="e">
        <f t="shared" si="51"/>
        <v>#N/A</v>
      </c>
      <c r="AK118" s="31" t="e">
        <f t="shared" si="41"/>
        <v>#N/A</v>
      </c>
      <c r="AL118" s="66" t="e">
        <f>VLOOKUP($J118,#REF!,12,0)</f>
        <v>#REF!</v>
      </c>
      <c r="AM118" s="68">
        <v>2.7E-2</v>
      </c>
      <c r="AN118" s="31" t="e">
        <f t="shared" si="42"/>
        <v>#N/A</v>
      </c>
      <c r="AO118" s="3" t="e">
        <f t="shared" si="49"/>
        <v>#N/A</v>
      </c>
      <c r="AP118" s="157">
        <v>229.39771515807911</v>
      </c>
      <c r="AQ118" s="157" t="e">
        <f t="shared" si="43"/>
        <v>#N/A</v>
      </c>
      <c r="AR118" s="157" t="e">
        <f t="shared" si="44"/>
        <v>#N/A</v>
      </c>
      <c r="AS118" s="31" t="e">
        <f t="shared" si="45"/>
        <v>#N/A</v>
      </c>
    </row>
    <row r="119" spans="4:45">
      <c r="D119" s="2" t="s">
        <v>918</v>
      </c>
      <c r="E119" s="2" t="s">
        <v>917</v>
      </c>
      <c r="G119" t="e">
        <f>VLOOKUP($J119,'mapping-Y26'!#REF!,2,0)</f>
        <v>#REF!</v>
      </c>
      <c r="H119" t="str">
        <f>VLOOKUP($J119,'mapping-Y26'!$F:$L,6,0)</f>
        <v>24P</v>
      </c>
      <c r="I119">
        <f>VLOOKUP($J119,'mapping-Y26'!$F:$L,5,0)</f>
        <v>14014250</v>
      </c>
      <c r="J119" t="s">
        <v>118</v>
      </c>
      <c r="K119" t="str">
        <f>VLOOKUP($J119,'mapping-Y26'!$F:$L,4,0)</f>
        <v>268220舒洁女性湿厕纸10包装</v>
      </c>
      <c r="L119" t="e">
        <f>VLOOKUP($J119,'mapping-Y26'!#REF!,4,0)</f>
        <v>#REF!</v>
      </c>
      <c r="M119" t="str">
        <f>VLOOKUP($J119,'mapping-Y26'!$H:$L,2,0)</f>
        <v>268220舒洁女性湿厕纸10包装</v>
      </c>
      <c r="N119" t="e">
        <f>VLOOKUP($J119,'mapping-Y26'!M:N,3,0)</f>
        <v>#N/A</v>
      </c>
      <c r="O119" s="2" t="e">
        <f>VLOOKUP($J119,'mapping-Y26'!$M:$N,5,0)</f>
        <v>#N/A</v>
      </c>
      <c r="P119" s="2" t="e">
        <f>VLOOKUP($J119,'mapping-Y26'!$M:$N,6,0)</f>
        <v>#N/A</v>
      </c>
      <c r="Q119" s="272" t="e">
        <f>VLOOKUP($J119,'mapping-Y26'!$M:$Q,7,0)</f>
        <v>#N/A</v>
      </c>
      <c r="R119" s="31" t="e">
        <f t="shared" si="47"/>
        <v>#N/A</v>
      </c>
      <c r="T119" s="2">
        <v>45.9</v>
      </c>
      <c r="U119" s="2">
        <v>42.9</v>
      </c>
      <c r="V119" s="2">
        <v>39.9</v>
      </c>
      <c r="W119" s="423">
        <v>0.1</v>
      </c>
      <c r="X119" s="423">
        <v>0.6</v>
      </c>
      <c r="Y119" s="423">
        <v>0.3</v>
      </c>
      <c r="Z119" s="397">
        <f t="shared" si="48"/>
        <v>42.3</v>
      </c>
      <c r="AF119" s="161">
        <v>23.699115044247794</v>
      </c>
      <c r="AG119" s="3" t="e">
        <f t="shared" si="50"/>
        <v>#N/A</v>
      </c>
      <c r="AH119" s="395">
        <v>0.03</v>
      </c>
      <c r="AI119" s="395">
        <v>0.01</v>
      </c>
      <c r="AJ119" s="66" t="e">
        <f t="shared" si="51"/>
        <v>#N/A</v>
      </c>
      <c r="AK119" s="31" t="e">
        <f t="shared" si="41"/>
        <v>#N/A</v>
      </c>
      <c r="AL119" s="66" t="e">
        <f>VLOOKUP($J119,#REF!,12,0)</f>
        <v>#REF!</v>
      </c>
      <c r="AM119" s="68">
        <v>2.7E-2</v>
      </c>
      <c r="AN119" s="31" t="e">
        <f t="shared" si="42"/>
        <v>#N/A</v>
      </c>
      <c r="AO119" s="3" t="e">
        <f t="shared" si="49"/>
        <v>#N/A</v>
      </c>
      <c r="AP119" s="157">
        <v>212.22014764482651</v>
      </c>
      <c r="AQ119" s="157" t="e">
        <f t="shared" si="43"/>
        <v>#N/A</v>
      </c>
      <c r="AR119" s="157" t="e">
        <f t="shared" si="44"/>
        <v>#N/A</v>
      </c>
      <c r="AS119" s="31" t="e">
        <f t="shared" si="45"/>
        <v>#N/A</v>
      </c>
    </row>
    <row r="120" spans="4:45">
      <c r="D120" s="2" t="s">
        <v>918</v>
      </c>
      <c r="E120" s="2" t="s">
        <v>917</v>
      </c>
      <c r="G120" t="e">
        <f>VLOOKUP($J120,'mapping-Y26'!#REF!,2,0)</f>
        <v>#REF!</v>
      </c>
      <c r="H120" t="str">
        <f>VLOOKUP($J120,'mapping-Y26'!$F:$L,6,0)</f>
        <v>60P</v>
      </c>
      <c r="I120">
        <f>VLOOKUP($J120,'mapping-Y26'!$F:$L,5,0)</f>
        <v>14016683</v>
      </c>
      <c r="J120" t="s">
        <v>104</v>
      </c>
      <c r="K120" t="str">
        <f>VLOOKUP($J120,'mapping-Y26'!$F:$L,4,0)</f>
        <v xml:space="preserve">267300舒洁®山茶花系列湿巾（湿厕纸）60片 </v>
      </c>
      <c r="L120" t="e">
        <f>VLOOKUP($J120,'mapping-Y26'!#REF!,4,0)</f>
        <v>#REF!</v>
      </c>
      <c r="M120" t="str">
        <f>VLOOKUP($J120,'mapping-Y26'!$H:$L,2,0)</f>
        <v xml:space="preserve">267300舒洁®山茶花系列湿巾（湿厕纸）60片 </v>
      </c>
      <c r="N120" t="e">
        <f>VLOOKUP($J120,'mapping-Y26'!M:N,3,0)</f>
        <v>#N/A</v>
      </c>
      <c r="O120" s="2" t="e">
        <f>VLOOKUP($J120,'mapping-Y26'!$M:$N,5,0)</f>
        <v>#N/A</v>
      </c>
      <c r="P120" s="2" t="e">
        <f>VLOOKUP($J120,'mapping-Y26'!$M:$N,6,0)</f>
        <v>#N/A</v>
      </c>
      <c r="Q120" s="272" t="e">
        <f>VLOOKUP($J120,'mapping-Y26'!$M:$Q,7,0)</f>
        <v>#N/A</v>
      </c>
      <c r="R120" s="31" t="e">
        <f t="shared" si="47"/>
        <v>#N/A</v>
      </c>
      <c r="T120" s="2">
        <v>11.9</v>
      </c>
      <c r="U120" s="2">
        <v>9.9</v>
      </c>
      <c r="V120" s="2">
        <v>6.9</v>
      </c>
      <c r="W120" s="423">
        <v>0.1</v>
      </c>
      <c r="X120" s="423">
        <v>0.6</v>
      </c>
      <c r="Y120" s="423">
        <v>0.3</v>
      </c>
      <c r="Z120" s="397">
        <f t="shared" si="48"/>
        <v>9.2000000000000011</v>
      </c>
      <c r="AF120" s="161">
        <v>5.3778761061946909</v>
      </c>
      <c r="AG120" s="3" t="e">
        <f t="shared" si="50"/>
        <v>#N/A</v>
      </c>
      <c r="AH120" s="395">
        <v>0.03</v>
      </c>
      <c r="AI120" s="395">
        <v>0.01</v>
      </c>
      <c r="AJ120" s="66" t="e">
        <f t="shared" si="51"/>
        <v>#N/A</v>
      </c>
      <c r="AK120" s="31" t="e">
        <f t="shared" si="41"/>
        <v>#N/A</v>
      </c>
      <c r="AL120" s="66" t="e">
        <f>VLOOKUP($J120,#REF!,12,0)</f>
        <v>#REF!</v>
      </c>
      <c r="AM120" s="68">
        <v>2.7E-2</v>
      </c>
      <c r="AN120" s="31" t="e">
        <f t="shared" si="42"/>
        <v>#N/A</v>
      </c>
      <c r="AO120" s="3" t="e">
        <f t="shared" si="49"/>
        <v>#N/A</v>
      </c>
      <c r="AP120" s="157">
        <v>280.95833984936729</v>
      </c>
      <c r="AQ120" s="157" t="e">
        <f t="shared" si="43"/>
        <v>#N/A</v>
      </c>
      <c r="AR120" s="157" t="e">
        <f t="shared" si="44"/>
        <v>#N/A</v>
      </c>
      <c r="AS120" s="31" t="e">
        <f t="shared" si="45"/>
        <v>#N/A</v>
      </c>
    </row>
    <row r="121" spans="4:45">
      <c r="D121" s="2" t="s">
        <v>918</v>
      </c>
      <c r="E121" s="2" t="s">
        <v>917</v>
      </c>
      <c r="G121" t="e">
        <f>VLOOKUP($J121,'mapping-Y26'!#REF!,2,0)</f>
        <v>#REF!</v>
      </c>
      <c r="H121" t="str">
        <f>VLOOKUP($J121,'mapping-Y26'!$F:$L,6,0)</f>
        <v>#</v>
      </c>
      <c r="I121">
        <f>VLOOKUP($J121,'mapping-Y26'!$F:$L,5,0)</f>
        <v>14014470</v>
      </c>
      <c r="J121" t="s">
        <v>187</v>
      </c>
      <c r="K121" t="str">
        <f>VLOOKUP($J121,'mapping-Y26'!$F:$L,4,0)</f>
        <v>210761舒洁卡通系列抽纸200抽3包 FSC mix70%</v>
      </c>
      <c r="L121" t="e">
        <f>VLOOKUP($J121,'mapping-Y26'!#REF!,4,0)</f>
        <v>#REF!</v>
      </c>
      <c r="M121" t="str">
        <f>VLOOKUP($J121,'mapping-Y26'!$H:$L,2,0)</f>
        <v>210761舒洁卡通系列抽纸200抽3包 FSC mix70%</v>
      </c>
      <c r="N121" t="e">
        <f>VLOOKUP($J121,'mapping-Y26'!M:N,3,0)</f>
        <v>#N/A</v>
      </c>
      <c r="O121" s="2" t="e">
        <f>VLOOKUP($J121,'mapping-Y26'!$M:$N,5,0)</f>
        <v>#N/A</v>
      </c>
      <c r="P121" s="2" t="e">
        <f>VLOOKUP($J121,'mapping-Y26'!$M:$N,6,0)</f>
        <v>#N/A</v>
      </c>
      <c r="Q121" s="272" t="e">
        <f>VLOOKUP($J121,'mapping-Y26'!$M:$Q,7,0)</f>
        <v>#N/A</v>
      </c>
      <c r="R121" s="31" t="e">
        <f t="shared" si="47"/>
        <v>#N/A</v>
      </c>
      <c r="T121" s="2">
        <v>21.9</v>
      </c>
      <c r="U121" s="2">
        <v>19.899999999999999</v>
      </c>
      <c r="V121" s="2">
        <v>17.899999999999999</v>
      </c>
      <c r="W121" s="423">
        <v>0.1</v>
      </c>
      <c r="X121" s="423">
        <v>0.6</v>
      </c>
      <c r="Y121" s="423">
        <v>0.3</v>
      </c>
      <c r="Z121" s="397">
        <f t="shared" si="48"/>
        <v>19.5</v>
      </c>
      <c r="AF121" s="161">
        <v>11.484955752212391</v>
      </c>
      <c r="AG121" s="3" t="e">
        <f t="shared" si="50"/>
        <v>#N/A</v>
      </c>
      <c r="AH121" s="395">
        <v>0.03</v>
      </c>
      <c r="AI121" s="395">
        <v>0.01</v>
      </c>
      <c r="AJ121" s="66" t="e">
        <f t="shared" si="51"/>
        <v>#N/A</v>
      </c>
      <c r="AK121" s="31" t="e">
        <f t="shared" si="41"/>
        <v>#N/A</v>
      </c>
      <c r="AL121" s="66" t="e">
        <f>VLOOKUP($J121,#REF!,12,0)</f>
        <v>#REF!</v>
      </c>
      <c r="AM121" s="68">
        <v>2.7E-2</v>
      </c>
      <c r="AN121" s="31" t="e">
        <f t="shared" si="42"/>
        <v>#N/A</v>
      </c>
      <c r="AO121" s="3" t="e">
        <f t="shared" si="49"/>
        <v>#N/A</v>
      </c>
      <c r="AP121" s="157">
        <v>5380.9523809523798</v>
      </c>
      <c r="AQ121" s="157" t="e">
        <f t="shared" si="43"/>
        <v>#N/A</v>
      </c>
      <c r="AR121" s="157" t="e">
        <f t="shared" si="44"/>
        <v>#N/A</v>
      </c>
      <c r="AS121" s="31" t="e">
        <f t="shared" si="45"/>
        <v>#N/A</v>
      </c>
    </row>
    <row r="122" spans="4:45">
      <c r="D122" s="2" t="s">
        <v>918</v>
      </c>
      <c r="E122" s="2" t="s">
        <v>917</v>
      </c>
      <c r="G122" t="e">
        <f>VLOOKUP($J122,'mapping-Y26'!#REF!,2,0)</f>
        <v>#REF!</v>
      </c>
      <c r="H122" t="str">
        <f>VLOOKUP($J122,'mapping-Y26'!$F:$L,6,0)</f>
        <v>Lotion 4Ply</v>
      </c>
      <c r="I122">
        <f>VLOOKUP($J122,'mapping-Y26'!$F:$L,5,0)</f>
        <v>14016306</v>
      </c>
      <c r="J122" t="s">
        <v>136</v>
      </c>
      <c r="K122" t="str">
        <f>VLOOKUP($J122,'mapping-Y26'!$F:$L,4,0)</f>
        <v>215503舒洁®北海道轻牛乳系列乳霜纸面巾40抽3包装</v>
      </c>
      <c r="L122" t="e">
        <f>VLOOKUP($J122,'mapping-Y26'!#REF!,4,0)</f>
        <v>#REF!</v>
      </c>
      <c r="M122" t="str">
        <f>VLOOKUP($J122,'mapping-Y26'!$H:$L,2,0)</f>
        <v>215503舒洁®北海道轻牛乳系列乳霜纸面巾40抽3包装</v>
      </c>
      <c r="N122" t="e">
        <f>VLOOKUP($J122,'mapping-Y26'!M:N,3,0)</f>
        <v>#N/A</v>
      </c>
      <c r="O122" s="2" t="e">
        <f>VLOOKUP($J122,'mapping-Y26'!$M:$N,5,0)</f>
        <v>#N/A</v>
      </c>
      <c r="P122" s="2" t="e">
        <f>VLOOKUP($J122,'mapping-Y26'!$M:$N,6,0)</f>
        <v>#N/A</v>
      </c>
      <c r="Q122" s="272" t="e">
        <f>VLOOKUP($J122,'mapping-Y26'!$M:$Q,7,0)</f>
        <v>#N/A</v>
      </c>
      <c r="R122" s="31" t="e">
        <f t="shared" si="47"/>
        <v>#N/A</v>
      </c>
      <c r="T122" s="2">
        <v>11.9</v>
      </c>
      <c r="U122" s="2">
        <v>9.9</v>
      </c>
      <c r="V122" s="2">
        <v>8.9</v>
      </c>
      <c r="W122" s="423">
        <v>0.1</v>
      </c>
      <c r="X122" s="423">
        <v>0.6</v>
      </c>
      <c r="Y122" s="423">
        <v>0.3</v>
      </c>
      <c r="Z122" s="397">
        <f t="shared" si="48"/>
        <v>9.8000000000000007</v>
      </c>
      <c r="AF122" s="161">
        <v>5.4690265486725664</v>
      </c>
      <c r="AG122" s="3" t="e">
        <f t="shared" si="50"/>
        <v>#N/A</v>
      </c>
      <c r="AH122" s="395">
        <v>0.03</v>
      </c>
      <c r="AI122" s="395">
        <v>0.01</v>
      </c>
      <c r="AJ122" s="66" t="e">
        <f t="shared" si="51"/>
        <v>#N/A</v>
      </c>
      <c r="AK122" s="31" t="e">
        <f t="shared" si="41"/>
        <v>#N/A</v>
      </c>
      <c r="AL122" s="66" t="e">
        <f>VLOOKUP($J122,#REF!,12,0)</f>
        <v>#REF!</v>
      </c>
      <c r="AM122" s="68">
        <v>2.7E-2</v>
      </c>
      <c r="AN122" s="31" t="e">
        <f t="shared" si="42"/>
        <v>#N/A</v>
      </c>
      <c r="AO122" s="3" t="e">
        <f t="shared" si="49"/>
        <v>#N/A</v>
      </c>
      <c r="AP122" s="157">
        <v>706.25</v>
      </c>
      <c r="AQ122" s="157" t="e">
        <f t="shared" si="43"/>
        <v>#N/A</v>
      </c>
      <c r="AR122" s="157" t="e">
        <f t="shared" si="44"/>
        <v>#N/A</v>
      </c>
      <c r="AS122" s="31" t="e">
        <f t="shared" si="45"/>
        <v>#N/A</v>
      </c>
    </row>
    <row r="123" spans="4:45">
      <c r="D123" s="2" t="s">
        <v>918</v>
      </c>
      <c r="E123" s="2" t="s">
        <v>917</v>
      </c>
      <c r="G123" t="e">
        <f>VLOOKUP($J123,'mapping-Y26'!#REF!,2,0)</f>
        <v>#REF!</v>
      </c>
      <c r="H123" t="str">
        <f>VLOOKUP($J123,'mapping-Y26'!$F:$L,6,0)</f>
        <v>Lotion 6Ply</v>
      </c>
      <c r="I123">
        <f>VLOOKUP($J123,'mapping-Y26'!$F:$L,5,0)</f>
        <v>14015110</v>
      </c>
      <c r="J123" t="s">
        <v>150</v>
      </c>
      <c r="K123" t="str">
        <f>VLOOKUP($J123,'mapping-Y26'!$F:$L,4,0)</f>
        <v>216208舒洁®北海道牛乳系列乳霜纸面巾20抽8包装</v>
      </c>
      <c r="L123" t="e">
        <f>VLOOKUP($J123,'mapping-Y26'!#REF!,4,0)</f>
        <v>#REF!</v>
      </c>
      <c r="M123" t="str">
        <f>VLOOKUP($J123,'mapping-Y26'!$H:$L,2,0)</f>
        <v>216208舒洁®北海道牛乳系列乳霜纸面巾20抽8包装</v>
      </c>
      <c r="N123" t="e">
        <f>VLOOKUP($J123,'mapping-Y26'!M:N,3,0)</f>
        <v>#N/A</v>
      </c>
      <c r="O123" s="2" t="e">
        <f>VLOOKUP($J123,'mapping-Y26'!$M:$N,5,0)</f>
        <v>#N/A</v>
      </c>
      <c r="P123" s="2" t="e">
        <f>VLOOKUP($J123,'mapping-Y26'!$M:$N,6,0)</f>
        <v>#N/A</v>
      </c>
      <c r="Q123" s="272" t="e">
        <f>VLOOKUP($J123,'mapping-Y26'!$M:$Q,7,0)</f>
        <v>#N/A</v>
      </c>
      <c r="R123" s="31" t="e">
        <f t="shared" si="47"/>
        <v>#N/A</v>
      </c>
      <c r="T123" s="2">
        <v>23.9</v>
      </c>
      <c r="U123" s="2">
        <v>21.9</v>
      </c>
      <c r="V123" s="2">
        <v>19.899999999999999</v>
      </c>
      <c r="W123" s="423">
        <v>0.1</v>
      </c>
      <c r="X123" s="423">
        <v>0.6</v>
      </c>
      <c r="Y123" s="423">
        <v>0.3</v>
      </c>
      <c r="Z123" s="397">
        <f t="shared" si="48"/>
        <v>21.5</v>
      </c>
      <c r="AF123" s="161">
        <v>12.323539823008851</v>
      </c>
      <c r="AG123" s="3" t="e">
        <f t="shared" si="50"/>
        <v>#N/A</v>
      </c>
      <c r="AH123" s="395">
        <v>0.03</v>
      </c>
      <c r="AI123" s="395">
        <v>0.01</v>
      </c>
      <c r="AJ123" s="66" t="e">
        <f t="shared" si="51"/>
        <v>#N/A</v>
      </c>
      <c r="AK123" s="31" t="e">
        <f t="shared" si="41"/>
        <v>#N/A</v>
      </c>
      <c r="AL123" s="66" t="e">
        <f>VLOOKUP($J123,#REF!,12,0)</f>
        <v>#REF!</v>
      </c>
      <c r="AM123" s="68">
        <v>2.7E-2</v>
      </c>
      <c r="AN123" s="31" t="e">
        <f t="shared" si="42"/>
        <v>#N/A</v>
      </c>
      <c r="AO123" s="3" t="e">
        <f t="shared" si="49"/>
        <v>#N/A</v>
      </c>
      <c r="AP123" s="157">
        <v>1044.7485207100592</v>
      </c>
      <c r="AQ123" s="157" t="e">
        <f t="shared" si="43"/>
        <v>#N/A</v>
      </c>
      <c r="AR123" s="157" t="e">
        <f t="shared" si="44"/>
        <v>#N/A</v>
      </c>
      <c r="AS123" s="31" t="e">
        <f t="shared" si="45"/>
        <v>#N/A</v>
      </c>
    </row>
    <row r="124" spans="4:45">
      <c r="D124" s="2" t="s">
        <v>918</v>
      </c>
      <c r="E124" s="2" t="s">
        <v>917</v>
      </c>
      <c r="G124" t="e">
        <f>VLOOKUP($J124,'mapping-Y26'!#REF!,2,0)</f>
        <v>#REF!</v>
      </c>
      <c r="H124" t="str">
        <f>VLOOKUP($J124,'mapping-Y26'!$F:$L,6,0)</f>
        <v>80P-55gsm</v>
      </c>
      <c r="I124">
        <f>VLOOKUP($J124,'mapping-Y26'!$F:$L,5,0)</f>
        <v>14017866</v>
      </c>
      <c r="J124" t="s">
        <v>571</v>
      </c>
      <c r="K124" t="str">
        <f>VLOOKUP($J124,'mapping-Y26'!$F:$L,4,0)</f>
        <v xml:space="preserve">266110舒洁湿厕纸80片x3包 </v>
      </c>
      <c r="L124" t="e">
        <f>VLOOKUP($J124,'mapping-Y26'!#REF!,4,0)</f>
        <v>#REF!</v>
      </c>
      <c r="M124" t="str">
        <f>VLOOKUP($J124,'mapping-Y26'!$H:$L,2,0)</f>
        <v xml:space="preserve">266110舒洁湿厕纸80片x3包 </v>
      </c>
      <c r="N124" t="e">
        <f>VLOOKUP($J124,'mapping-Y26'!M:N,3,0)</f>
        <v>#N/A</v>
      </c>
      <c r="O124" s="2" t="e">
        <f>VLOOKUP($J124,'mapping-Y26'!$M:$N,5,0)</f>
        <v>#N/A</v>
      </c>
      <c r="P124" s="2" t="e">
        <f>VLOOKUP($J124,'mapping-Y26'!$M:$N,6,0)</f>
        <v>#N/A</v>
      </c>
      <c r="Q124" s="272" t="e">
        <f>VLOOKUP($J124,'mapping-Y26'!$M:$Q,7,0)</f>
        <v>#N/A</v>
      </c>
      <c r="R124" s="31" t="e">
        <f t="shared" si="47"/>
        <v>#N/A</v>
      </c>
      <c r="T124" s="2">
        <v>36.9</v>
      </c>
      <c r="U124" s="2">
        <v>32.9</v>
      </c>
      <c r="V124" s="2">
        <v>29.9</v>
      </c>
      <c r="W124" s="423">
        <v>0.1</v>
      </c>
      <c r="X124" s="423">
        <v>0.6</v>
      </c>
      <c r="Y124" s="423">
        <v>0.3</v>
      </c>
      <c r="Z124" s="397">
        <f t="shared" si="48"/>
        <v>32.4</v>
      </c>
      <c r="AF124" s="161">
        <v>18.561586247787606</v>
      </c>
      <c r="AG124" s="3" t="e">
        <f t="shared" si="50"/>
        <v>#N/A</v>
      </c>
      <c r="AH124" s="395">
        <v>0.03</v>
      </c>
      <c r="AI124" s="395">
        <v>0.01</v>
      </c>
      <c r="AJ124" s="66" t="e">
        <f t="shared" si="51"/>
        <v>#N/A</v>
      </c>
      <c r="AK124" s="31" t="e">
        <f t="shared" si="41"/>
        <v>#N/A</v>
      </c>
      <c r="AL124" s="66" t="e">
        <f>VLOOKUP($J124,#REF!,12,0)</f>
        <v>#REF!</v>
      </c>
      <c r="AM124" s="68">
        <v>2.7E-2</v>
      </c>
      <c r="AN124" s="31" t="e">
        <f t="shared" si="42"/>
        <v>#N/A</v>
      </c>
      <c r="AO124" s="3" t="e">
        <f t="shared" si="49"/>
        <v>#N/A</v>
      </c>
      <c r="AP124" s="157">
        <v>314.67957830232871</v>
      </c>
      <c r="AQ124" s="157" t="e">
        <f t="shared" si="43"/>
        <v>#N/A</v>
      </c>
      <c r="AR124" s="157" t="e">
        <f t="shared" si="44"/>
        <v>#N/A</v>
      </c>
      <c r="AS124" s="31" t="e">
        <f t="shared" si="45"/>
        <v>#N/A</v>
      </c>
    </row>
    <row r="125" spans="4:45">
      <c r="D125" s="2" t="s">
        <v>918</v>
      </c>
      <c r="E125" s="2" t="s">
        <v>917</v>
      </c>
      <c r="G125" t="e">
        <f>VLOOKUP($J125,'mapping-Y26'!#REF!,2,0)</f>
        <v>#REF!</v>
      </c>
      <c r="H125" t="str">
        <f>VLOOKUP($J125,'mapping-Y26'!$F:$L,6,0)</f>
        <v>#</v>
      </c>
      <c r="I125">
        <f>VLOOKUP($J125,'mapping-Y26'!$F:$L,5,0)</f>
        <v>14014482</v>
      </c>
      <c r="J125" t="s">
        <v>195</v>
      </c>
      <c r="K125" t="str">
        <f>VLOOKUP($J125,'mapping-Y26'!$F:$L,4,0)</f>
        <v>231216 舒洁马蹄莲盒面纸200抽3盒 FSC mix70%</v>
      </c>
      <c r="L125" t="e">
        <f>VLOOKUP($J125,'mapping-Y26'!#REF!,4,0)</f>
        <v>#REF!</v>
      </c>
      <c r="M125" t="str">
        <f>VLOOKUP($J125,'mapping-Y26'!$H:$L,2,0)</f>
        <v>231216 舒洁马蹄莲盒面纸200抽3盒 FSC mix70%</v>
      </c>
      <c r="N125" t="e">
        <f>VLOOKUP($J125,'mapping-Y26'!M:N,3,0)</f>
        <v>#N/A</v>
      </c>
      <c r="O125" s="2" t="e">
        <f>VLOOKUP($J125,'mapping-Y26'!$M:$N,5,0)</f>
        <v>#N/A</v>
      </c>
      <c r="P125" s="2" t="e">
        <f>VLOOKUP($J125,'mapping-Y26'!$M:$N,6,0)</f>
        <v>#N/A</v>
      </c>
      <c r="Q125" s="272" t="e">
        <f>VLOOKUP($J125,'mapping-Y26'!$M:$Q,7,0)</f>
        <v>#N/A</v>
      </c>
      <c r="R125" s="31" t="e">
        <f t="shared" si="47"/>
        <v>#N/A</v>
      </c>
      <c r="T125" s="2">
        <v>29.9</v>
      </c>
      <c r="U125" s="2">
        <v>27.9</v>
      </c>
      <c r="V125" s="2">
        <v>24.9</v>
      </c>
      <c r="W125" s="423">
        <v>0.1</v>
      </c>
      <c r="X125" s="423">
        <v>0.6</v>
      </c>
      <c r="Y125" s="423">
        <v>0.3</v>
      </c>
      <c r="Z125" s="397">
        <f t="shared" si="48"/>
        <v>27.199999999999996</v>
      </c>
      <c r="AF125" s="161">
        <v>15.586725663716816</v>
      </c>
      <c r="AG125" s="3" t="e">
        <f t="shared" si="50"/>
        <v>#N/A</v>
      </c>
      <c r="AH125" s="395">
        <v>0.03</v>
      </c>
      <c r="AI125" s="395">
        <v>0.01</v>
      </c>
      <c r="AJ125" s="66" t="e">
        <f t="shared" si="51"/>
        <v>#N/A</v>
      </c>
      <c r="AK125" s="31" t="e">
        <f t="shared" si="41"/>
        <v>#N/A</v>
      </c>
      <c r="AL125" s="66" t="e">
        <f>VLOOKUP($J125,#REF!,12,0)</f>
        <v>#REF!</v>
      </c>
      <c r="AM125" s="68">
        <v>2.7E-2</v>
      </c>
      <c r="AN125" s="31" t="e">
        <f t="shared" si="42"/>
        <v>#N/A</v>
      </c>
      <c r="AO125" s="3" t="e">
        <f t="shared" si="49"/>
        <v>#N/A</v>
      </c>
      <c r="AP125" s="157">
        <v>4625.7309941520471</v>
      </c>
      <c r="AQ125" s="157" t="e">
        <f t="shared" si="43"/>
        <v>#N/A</v>
      </c>
      <c r="AR125" s="157" t="e">
        <f t="shared" si="44"/>
        <v>#N/A</v>
      </c>
      <c r="AS125" s="31" t="e">
        <f t="shared" si="45"/>
        <v>#N/A</v>
      </c>
    </row>
    <row r="126" spans="4:45">
      <c r="D126" s="2" t="s">
        <v>918</v>
      </c>
      <c r="E126" s="2" t="s">
        <v>917</v>
      </c>
      <c r="G126" t="e">
        <f>VLOOKUP($J126,'mapping-Y26'!#REF!,2,0)</f>
        <v>#REF!</v>
      </c>
      <c r="H126" t="str">
        <f>VLOOKUP($J126,'mapping-Y26'!$F:$L,6,0)</f>
        <v>Lotion 6Ply</v>
      </c>
      <c r="I126">
        <f>VLOOKUP($J126,'mapping-Y26'!$F:$L,5,0)</f>
        <v>14015111</v>
      </c>
      <c r="J126" t="s">
        <v>164</v>
      </c>
      <c r="K126" t="str">
        <f>VLOOKUP($J126,'mapping-Y26'!$F:$L,4,0)</f>
        <v>216805舒洁®北海道牛乳系列乳霜纸面巾80抽5包装</v>
      </c>
      <c r="L126" t="e">
        <f>VLOOKUP($J126,'mapping-Y26'!#REF!,4,0)</f>
        <v>#REF!</v>
      </c>
      <c r="M126" t="str">
        <f>VLOOKUP($J126,'mapping-Y26'!$H:$L,2,0)</f>
        <v>216805舒洁®北海道牛乳系列乳霜纸面巾80抽5包装</v>
      </c>
      <c r="N126" t="e">
        <f>VLOOKUP($J126,'mapping-Y26'!M:N,3,0)</f>
        <v>#N/A</v>
      </c>
      <c r="O126" s="2" t="e">
        <f>VLOOKUP($J126,'mapping-Y26'!$M:$N,5,0)</f>
        <v>#N/A</v>
      </c>
      <c r="P126" s="2" t="e">
        <f>VLOOKUP($J126,'mapping-Y26'!$M:$N,6,0)</f>
        <v>#N/A</v>
      </c>
      <c r="Q126" s="272" t="e">
        <f>VLOOKUP($J126,'mapping-Y26'!$M:$Q,7,0)</f>
        <v>#N/A</v>
      </c>
      <c r="R126" s="31" t="e">
        <f t="shared" si="47"/>
        <v>#N/A</v>
      </c>
      <c r="T126" s="2">
        <v>62.9</v>
      </c>
      <c r="U126" s="2">
        <v>59.9</v>
      </c>
      <c r="V126" s="2">
        <v>57.9</v>
      </c>
      <c r="W126" s="423">
        <v>0.1</v>
      </c>
      <c r="X126" s="423">
        <v>0.6</v>
      </c>
      <c r="Y126" s="423">
        <v>0.3</v>
      </c>
      <c r="Z126" s="397">
        <f t="shared" si="48"/>
        <v>59.599999999999994</v>
      </c>
      <c r="AF126" s="161">
        <v>33.725663716814168</v>
      </c>
      <c r="AG126" s="3" t="e">
        <f t="shared" si="50"/>
        <v>#N/A</v>
      </c>
      <c r="AH126" s="395">
        <v>0.03</v>
      </c>
      <c r="AI126" s="395">
        <v>0.01</v>
      </c>
      <c r="AJ126" s="66" t="e">
        <f t="shared" si="51"/>
        <v>#N/A</v>
      </c>
      <c r="AK126" s="31" t="e">
        <f t="shared" si="41"/>
        <v>#N/A</v>
      </c>
      <c r="AL126" s="66" t="e">
        <f>VLOOKUP($J126,#REF!,12,0)</f>
        <v>#REF!</v>
      </c>
      <c r="AM126" s="68">
        <v>2.7E-2</v>
      </c>
      <c r="AN126" s="31" t="e">
        <f t="shared" si="42"/>
        <v>#N/A</v>
      </c>
      <c r="AO126" s="3" t="e">
        <f t="shared" si="49"/>
        <v>#N/A</v>
      </c>
      <c r="AP126" s="157">
        <v>2363.4627768007845</v>
      </c>
      <c r="AQ126" s="157" t="e">
        <f t="shared" si="43"/>
        <v>#N/A</v>
      </c>
      <c r="AR126" s="157" t="e">
        <f t="shared" si="44"/>
        <v>#N/A</v>
      </c>
      <c r="AS126" s="31" t="e">
        <f t="shared" si="45"/>
        <v>#N/A</v>
      </c>
    </row>
    <row r="127" spans="4:45">
      <c r="D127" s="2" t="s">
        <v>918</v>
      </c>
      <c r="E127" s="2" t="s">
        <v>917</v>
      </c>
      <c r="G127" t="e">
        <f>VLOOKUP($J127,'mapping-Y26'!#REF!,2,0)</f>
        <v>#REF!</v>
      </c>
      <c r="H127" t="str">
        <f>VLOOKUP($J127,'mapping-Y26'!$F:$L,6,0)</f>
        <v>Lotion 6Ply</v>
      </c>
      <c r="I127">
        <f>VLOOKUP($J127,'mapping-Y26'!$F:$L,5,0)</f>
        <v>14016042</v>
      </c>
      <c r="J127" t="s">
        <v>157</v>
      </c>
      <c r="K127" t="str">
        <f>VLOOKUP($J127,'mapping-Y26'!$F:$L,4,0)</f>
        <v>216710舒洁®牛乳系列乳霜纸面巾口袋包7抽10包装</v>
      </c>
      <c r="L127" t="e">
        <f>VLOOKUP($J127,'mapping-Y26'!#REF!,4,0)</f>
        <v>#REF!</v>
      </c>
      <c r="M127" t="str">
        <f>VLOOKUP($J127,'mapping-Y26'!$H:$L,2,0)</f>
        <v>216710舒洁®牛乳系列乳霜纸面巾口袋包7抽10包装</v>
      </c>
      <c r="N127" t="e">
        <f>VLOOKUP($J127,'mapping-Y26'!M:N,3,0)</f>
        <v>#N/A</v>
      </c>
      <c r="O127" s="2" t="e">
        <f>VLOOKUP($J127,'mapping-Y26'!$M:$N,5,0)</f>
        <v>#N/A</v>
      </c>
      <c r="P127" s="2" t="e">
        <f>VLOOKUP($J127,'mapping-Y26'!$M:$N,6,0)</f>
        <v>#N/A</v>
      </c>
      <c r="Q127" s="272" t="e">
        <f>VLOOKUP($J127,'mapping-Y26'!$M:$Q,7,0)</f>
        <v>#N/A</v>
      </c>
      <c r="R127" s="31" t="e">
        <f t="shared" si="47"/>
        <v>#N/A</v>
      </c>
      <c r="T127" s="2">
        <v>16.899999999999999</v>
      </c>
      <c r="U127" s="2">
        <v>13.9</v>
      </c>
      <c r="V127" s="2">
        <v>9.9</v>
      </c>
      <c r="W127" s="423">
        <v>0.1</v>
      </c>
      <c r="X127" s="423">
        <v>0.6</v>
      </c>
      <c r="Y127" s="423">
        <v>0.3</v>
      </c>
      <c r="Z127" s="397">
        <f t="shared" si="48"/>
        <v>13</v>
      </c>
      <c r="AF127" s="161">
        <v>8.2035398230088514</v>
      </c>
      <c r="AG127" s="3" t="e">
        <f t="shared" si="50"/>
        <v>#N/A</v>
      </c>
      <c r="AH127" s="395">
        <v>0.03</v>
      </c>
      <c r="AI127" s="395">
        <v>0.01</v>
      </c>
      <c r="AJ127" s="66" t="e">
        <f t="shared" si="51"/>
        <v>#N/A</v>
      </c>
      <c r="AK127" s="31" t="e">
        <f t="shared" si="41"/>
        <v>#N/A</v>
      </c>
      <c r="AL127" s="66" t="e">
        <f>VLOOKUP($J127,#REF!,12,0)</f>
        <v>#REF!</v>
      </c>
      <c r="AM127" s="68">
        <v>2.7E-2</v>
      </c>
      <c r="AN127" s="31" t="e">
        <f t="shared" si="42"/>
        <v>#N/A</v>
      </c>
      <c r="AO127" s="3" t="e">
        <f t="shared" si="49"/>
        <v>#N/A</v>
      </c>
      <c r="AP127" s="157">
        <v>523.14814814814815</v>
      </c>
      <c r="AQ127" s="157" t="e">
        <f t="shared" si="43"/>
        <v>#N/A</v>
      </c>
      <c r="AR127" s="157" t="e">
        <f t="shared" si="44"/>
        <v>#N/A</v>
      </c>
      <c r="AS127" s="31" t="e">
        <f t="shared" si="45"/>
        <v>#N/A</v>
      </c>
    </row>
    <row r="128" spans="4:45">
      <c r="D128" s="2" t="s">
        <v>918</v>
      </c>
      <c r="E128" s="2" t="s">
        <v>917</v>
      </c>
      <c r="G128" t="e">
        <f>VLOOKUP($J128,'mapping-Y26'!#REF!,2,0)</f>
        <v>#REF!</v>
      </c>
      <c r="H128" t="str">
        <f>VLOOKUP($J128,'mapping-Y26'!$F:$L,6,0)</f>
        <v>7P-55gsm</v>
      </c>
      <c r="I128">
        <f>VLOOKUP($J128,'mapping-Y26'!$F:$L,5,0)</f>
        <v>14017863</v>
      </c>
      <c r="J128" t="s">
        <v>681</v>
      </c>
      <c r="K128" t="str">
        <f>VLOOKUP($J128,'mapping-Y26'!$F:$L,4,0)</f>
        <v>265510舒洁湿厕纸7抽6包装</v>
      </c>
      <c r="L128" t="e">
        <f>VLOOKUP($J128,'mapping-Y26'!#REF!,4,0)</f>
        <v>#REF!</v>
      </c>
      <c r="M128" t="str">
        <f>VLOOKUP($J128,'mapping-Y26'!$H:$L,2,0)</f>
        <v>265510舒洁湿厕纸7抽6包装</v>
      </c>
      <c r="N128" t="e">
        <f>VLOOKUP($J128,'mapping-Y26'!M:N,3,0)</f>
        <v>#N/A</v>
      </c>
      <c r="O128" s="2" t="e">
        <f>VLOOKUP($J128,'mapping-Y26'!$M:$N,5,0)</f>
        <v>#N/A</v>
      </c>
      <c r="P128" s="2" t="e">
        <f>VLOOKUP($J128,'mapping-Y26'!$M:$N,6,0)</f>
        <v>#N/A</v>
      </c>
      <c r="Q128" s="272" t="e">
        <f>VLOOKUP($J128,'mapping-Y26'!$M:$Q,7,0)</f>
        <v>#N/A</v>
      </c>
      <c r="R128" s="31" t="e">
        <f t="shared" si="47"/>
        <v>#N/A</v>
      </c>
      <c r="T128" s="2">
        <v>11.9</v>
      </c>
      <c r="U128" s="2">
        <v>10.9</v>
      </c>
      <c r="V128" s="2">
        <v>8.9</v>
      </c>
      <c r="W128" s="423">
        <v>0.1</v>
      </c>
      <c r="X128" s="423">
        <v>0.6</v>
      </c>
      <c r="Y128" s="423">
        <v>0.3</v>
      </c>
      <c r="Z128" s="397">
        <f t="shared" si="48"/>
        <v>10.4</v>
      </c>
      <c r="AF128" s="161">
        <v>6.9216000000000006</v>
      </c>
      <c r="AG128" s="3" t="e">
        <f t="shared" si="50"/>
        <v>#N/A</v>
      </c>
      <c r="AH128" s="395">
        <v>0.03</v>
      </c>
      <c r="AI128" s="395">
        <v>0.01</v>
      </c>
      <c r="AJ128" s="66" t="e">
        <f t="shared" si="51"/>
        <v>#N/A</v>
      </c>
      <c r="AK128" s="31" t="e">
        <f t="shared" si="41"/>
        <v>#N/A</v>
      </c>
      <c r="AL128" s="66" t="e">
        <f>VLOOKUP($J128,#REF!,12,0)</f>
        <v>#REF!</v>
      </c>
      <c r="AM128" s="68">
        <v>2.7E-2</v>
      </c>
      <c r="AN128" s="31" t="e">
        <f t="shared" si="42"/>
        <v>#N/A</v>
      </c>
      <c r="AO128" s="3" t="e">
        <f t="shared" si="49"/>
        <v>#N/A</v>
      </c>
      <c r="AP128" s="157">
        <v>372.02380952380958</v>
      </c>
      <c r="AQ128" s="157" t="e">
        <f t="shared" si="43"/>
        <v>#N/A</v>
      </c>
      <c r="AR128" s="157" t="e">
        <f t="shared" si="44"/>
        <v>#N/A</v>
      </c>
      <c r="AS128" s="31" t="e">
        <f t="shared" si="45"/>
        <v>#N/A</v>
      </c>
    </row>
    <row r="129" spans="4:45">
      <c r="D129" s="2" t="s">
        <v>918</v>
      </c>
      <c r="E129" s="2" t="s">
        <v>922</v>
      </c>
      <c r="G129" t="e">
        <f>VLOOKUP($J129,'mapping-Y26'!#REF!,2,0)</f>
        <v>#REF!</v>
      </c>
      <c r="H129" t="str">
        <f>VLOOKUP($J129,'mapping-Y26'!$F:$L,6,0)</f>
        <v>#</v>
      </c>
      <c r="I129">
        <f>VLOOKUP($J129,'mapping-Y26'!$F:$L,5,0)</f>
        <v>14016871</v>
      </c>
      <c r="J129" t="s">
        <v>227</v>
      </c>
      <c r="K129" t="str">
        <f>VLOOKUP($J129,'mapping-Y26'!$F:$L,4,0)</f>
        <v>270190舒洁小熊印花手帕纸3层10包FSC mix70%</v>
      </c>
      <c r="L129" t="e">
        <f>VLOOKUP($J129,'mapping-Y26'!#REF!,4,0)</f>
        <v>#REF!</v>
      </c>
      <c r="M129" t="str">
        <f>VLOOKUP($J129,'mapping-Y26'!$H:$L,2,0)</f>
        <v>270190舒洁小熊印花手帕纸3层10包FSC mix70%</v>
      </c>
      <c r="N129" t="e">
        <f>VLOOKUP($J129,'mapping-Y26'!M:N,3,0)</f>
        <v>#N/A</v>
      </c>
      <c r="O129" s="2" t="e">
        <f>VLOOKUP($J129,'mapping-Y26'!$M:$N,5,0)</f>
        <v>#N/A</v>
      </c>
      <c r="P129" s="2" t="e">
        <f>VLOOKUP($J129,'mapping-Y26'!$M:$N,6,0)</f>
        <v>#N/A</v>
      </c>
      <c r="Q129" s="272" t="e">
        <f>VLOOKUP($J129,'mapping-Y26'!$M:$Q,7,0)</f>
        <v>#N/A</v>
      </c>
      <c r="R129" s="31" t="e">
        <f t="shared" ref="R129:R153" si="52">Q129/O129</f>
        <v>#N/A</v>
      </c>
      <c r="T129" s="2">
        <v>17</v>
      </c>
      <c r="U129" s="2">
        <v>15</v>
      </c>
      <c r="V129" s="2">
        <v>12</v>
      </c>
      <c r="W129" s="423">
        <v>0.1</v>
      </c>
      <c r="X129" s="423">
        <v>0.6</v>
      </c>
      <c r="Y129" s="423">
        <v>0.3</v>
      </c>
      <c r="Z129" s="397">
        <f t="shared" si="48"/>
        <v>14.299999999999999</v>
      </c>
      <c r="AF129" s="161">
        <v>3.7326106194690274</v>
      </c>
      <c r="AG129" s="3" t="e">
        <f t="shared" si="50"/>
        <v>#N/A</v>
      </c>
      <c r="AH129" s="395">
        <v>0.03</v>
      </c>
      <c r="AI129" s="395">
        <v>0.01</v>
      </c>
      <c r="AJ129" s="66" t="e">
        <f t="shared" si="51"/>
        <v>#N/A</v>
      </c>
      <c r="AK129" s="31" t="e">
        <f t="shared" ref="AK129:AK159" si="53">R129*(1-AJ129)</f>
        <v>#N/A</v>
      </c>
      <c r="AL129" s="66" t="e">
        <f>VLOOKUP($J129,#REF!,12,0)</f>
        <v>#REF!</v>
      </c>
      <c r="AM129" s="68">
        <v>2.7E-2</v>
      </c>
      <c r="AN129" s="31" t="e">
        <f t="shared" ref="AN129:AN159" si="54">AK129-R129*(AL129+AM129)</f>
        <v>#N/A</v>
      </c>
      <c r="AO129" s="3" t="e">
        <f t="shared" ref="AO129:AO153" si="55">AN129/AK129</f>
        <v>#N/A</v>
      </c>
      <c r="AP129" s="157">
        <v>746.96935446766304</v>
      </c>
      <c r="AQ129" s="157" t="e">
        <f t="shared" ref="AQ129:AQ159" si="56">O129*AK129*AP129</f>
        <v>#N/A</v>
      </c>
      <c r="AR129" s="157" t="e">
        <f t="shared" ref="AR129:AR159" si="57">AP129*AN129*O129</f>
        <v>#N/A</v>
      </c>
      <c r="AS129" s="31" t="e">
        <f t="shared" ref="AS129:AS159" si="58">AP129*Q129</f>
        <v>#N/A</v>
      </c>
    </row>
    <row r="130" spans="4:45">
      <c r="D130" s="2" t="s">
        <v>918</v>
      </c>
      <c r="E130" s="2" t="s">
        <v>922</v>
      </c>
      <c r="G130" t="e">
        <f>VLOOKUP($J130,'mapping-Y26'!#REF!,2,0)</f>
        <v>#REF!</v>
      </c>
      <c r="H130" t="str">
        <f>VLOOKUP($J130,'mapping-Y26'!$F:$L,6,0)</f>
        <v>40P-55gsm</v>
      </c>
      <c r="I130">
        <f>VLOOKUP($J130,'mapping-Y26'!$F:$L,5,0)</f>
        <v>14017872</v>
      </c>
      <c r="J130" t="s">
        <v>567</v>
      </c>
      <c r="K130" t="str">
        <f>VLOOKUP($J130,'mapping-Y26'!$F:$L,4,0)</f>
        <v>D269460舒洁湿厕纸家庭装40抽10包装</v>
      </c>
      <c r="L130" t="e">
        <f>VLOOKUP($J130,'mapping-Y26'!#REF!,4,0)</f>
        <v>#REF!</v>
      </c>
      <c r="M130" t="str">
        <f>VLOOKUP($J130,'mapping-Y26'!$H:$L,2,0)</f>
        <v>D269460舒洁湿厕纸家庭装40抽10包装</v>
      </c>
      <c r="N130" t="e">
        <f>VLOOKUP($J130,'mapping-Y26'!M:N,3,0)</f>
        <v>#N/A</v>
      </c>
      <c r="O130" s="2" t="e">
        <f>VLOOKUP($J130,'mapping-Y26'!$M:$N,5,0)</f>
        <v>#N/A</v>
      </c>
      <c r="P130" s="2" t="e">
        <f>VLOOKUP($J130,'mapping-Y26'!$M:$N,6,0)</f>
        <v>#N/A</v>
      </c>
      <c r="Q130" s="272" t="e">
        <f>VLOOKUP($J130,'mapping-Y26'!$M:$Q,7,0)</f>
        <v>#N/A</v>
      </c>
      <c r="R130" s="31" t="e">
        <f t="shared" si="52"/>
        <v>#N/A</v>
      </c>
      <c r="T130" s="2">
        <v>56.9</v>
      </c>
      <c r="U130" s="2">
        <v>52.9</v>
      </c>
      <c r="V130" s="2">
        <v>49.9</v>
      </c>
      <c r="W130" s="423">
        <v>0.1</v>
      </c>
      <c r="X130" s="423">
        <v>0.6</v>
      </c>
      <c r="Y130" s="423">
        <v>0.3</v>
      </c>
      <c r="Z130" s="397">
        <f t="shared" si="48"/>
        <v>52.4</v>
      </c>
      <c r="AF130" s="161">
        <v>33.497787610619469</v>
      </c>
      <c r="AG130" s="3" t="e">
        <f t="shared" si="50"/>
        <v>#N/A</v>
      </c>
      <c r="AH130" s="395">
        <v>0.03</v>
      </c>
      <c r="AI130" s="395">
        <v>0.01</v>
      </c>
      <c r="AJ130" s="66" t="e">
        <f t="shared" si="51"/>
        <v>#N/A</v>
      </c>
      <c r="AK130" s="31" t="e">
        <f t="shared" si="53"/>
        <v>#N/A</v>
      </c>
      <c r="AL130" s="66" t="e">
        <f>VLOOKUP($J130,#REF!,12,0)</f>
        <v>#REF!</v>
      </c>
      <c r="AM130" s="68">
        <v>2.7E-2</v>
      </c>
      <c r="AN130" s="31" t="e">
        <f t="shared" si="54"/>
        <v>#N/A</v>
      </c>
      <c r="AO130" s="3" t="e">
        <f t="shared" si="55"/>
        <v>#N/A</v>
      </c>
      <c r="AP130" s="157">
        <v>1089.4158484132317</v>
      </c>
      <c r="AQ130" s="157" t="e">
        <f t="shared" si="56"/>
        <v>#N/A</v>
      </c>
      <c r="AR130" s="157" t="e">
        <f t="shared" si="57"/>
        <v>#N/A</v>
      </c>
      <c r="AS130" s="31" t="e">
        <f t="shared" si="58"/>
        <v>#N/A</v>
      </c>
    </row>
    <row r="131" spans="4:45">
      <c r="D131" s="2" t="s">
        <v>918</v>
      </c>
      <c r="E131" s="2" t="s">
        <v>922</v>
      </c>
      <c r="G131" t="e">
        <f>VLOOKUP($J131,'mapping-Y26'!#REF!,2,0)</f>
        <v>#REF!</v>
      </c>
      <c r="H131" t="str">
        <f>VLOOKUP($J131,'mapping-Y26'!$F:$L,6,0)</f>
        <v>40P-55gsm</v>
      </c>
      <c r="I131">
        <f>VLOOKUP($J131,'mapping-Y26'!$F:$L,5,0)</f>
        <v>14017864</v>
      </c>
      <c r="J131" t="s">
        <v>559</v>
      </c>
      <c r="K131" t="str">
        <f>VLOOKUP($J131,'mapping-Y26'!$F:$L,4,0)</f>
        <v xml:space="preserve">D269450舒洁湿厕纸家庭装40抽 </v>
      </c>
      <c r="L131" t="e">
        <f>VLOOKUP($J131,'mapping-Y26'!#REF!,4,0)</f>
        <v>#REF!</v>
      </c>
      <c r="M131" t="str">
        <f>VLOOKUP($J131,'mapping-Y26'!$H:$L,2,0)</f>
        <v xml:space="preserve">D269450舒洁湿厕纸家庭装40抽 </v>
      </c>
      <c r="N131" t="e">
        <f>VLOOKUP($J131,'mapping-Y26'!M:N,3,0)</f>
        <v>#N/A</v>
      </c>
      <c r="O131" s="2" t="e">
        <f>VLOOKUP($J131,'mapping-Y26'!$M:$N,5,0)</f>
        <v>#N/A</v>
      </c>
      <c r="P131" s="2" t="e">
        <f>VLOOKUP($J131,'mapping-Y26'!$M:$N,6,0)</f>
        <v>#N/A</v>
      </c>
      <c r="Q131" s="272" t="e">
        <f>VLOOKUP($J131,'mapping-Y26'!$M:$Q,7,0)</f>
        <v>#N/A</v>
      </c>
      <c r="R131" s="31" t="e">
        <f t="shared" si="52"/>
        <v>#N/A</v>
      </c>
      <c r="T131" s="2">
        <v>7.9799999999999995</v>
      </c>
      <c r="U131" s="2">
        <v>6.58</v>
      </c>
      <c r="V131" s="2">
        <v>5.9799999999999995</v>
      </c>
      <c r="W131" s="423">
        <v>0.1</v>
      </c>
      <c r="X131" s="423">
        <v>0.6</v>
      </c>
      <c r="Y131" s="423">
        <v>0.3</v>
      </c>
      <c r="Z131" s="397">
        <f t="shared" si="48"/>
        <v>6.54</v>
      </c>
      <c r="AF131" s="161">
        <v>3.68</v>
      </c>
      <c r="AG131" s="3" t="e">
        <f t="shared" si="50"/>
        <v>#N/A</v>
      </c>
      <c r="AH131" s="395">
        <v>0.03</v>
      </c>
      <c r="AI131" s="395">
        <v>0.01</v>
      </c>
      <c r="AJ131" s="66" t="e">
        <f t="shared" si="51"/>
        <v>#N/A</v>
      </c>
      <c r="AK131" s="31" t="e">
        <f t="shared" si="53"/>
        <v>#N/A</v>
      </c>
      <c r="AL131" s="66" t="e">
        <f>VLOOKUP($J131,#REF!,12,0)</f>
        <v>#REF!</v>
      </c>
      <c r="AM131" s="68">
        <v>2.7E-2</v>
      </c>
      <c r="AN131" s="31" t="e">
        <f t="shared" si="54"/>
        <v>#N/A</v>
      </c>
      <c r="AO131" s="3" t="e">
        <f t="shared" si="55"/>
        <v>#N/A</v>
      </c>
      <c r="AP131" s="157">
        <v>1980.7560880240578</v>
      </c>
      <c r="AQ131" s="157" t="e">
        <f t="shared" si="56"/>
        <v>#N/A</v>
      </c>
      <c r="AR131" s="157" t="e">
        <f t="shared" si="57"/>
        <v>#N/A</v>
      </c>
      <c r="AS131" s="31" t="e">
        <f t="shared" si="58"/>
        <v>#N/A</v>
      </c>
    </row>
    <row r="132" spans="4:45">
      <c r="D132" s="2" t="s">
        <v>918</v>
      </c>
      <c r="E132" s="2" t="s">
        <v>922</v>
      </c>
      <c r="G132" t="e">
        <f>VLOOKUP($J132,'mapping-Y26'!#REF!,2,0)</f>
        <v>#REF!</v>
      </c>
      <c r="H132" t="str">
        <f>VLOOKUP($J132,'mapping-Y26'!$F:$L,6,0)</f>
        <v>24P</v>
      </c>
      <c r="I132">
        <f>VLOOKUP($J132,'mapping-Y26'!$F:$L,5,0)</f>
        <v>14014250</v>
      </c>
      <c r="J132" t="s">
        <v>118</v>
      </c>
      <c r="K132" t="str">
        <f>VLOOKUP($J132,'mapping-Y26'!$F:$L,4,0)</f>
        <v>268220舒洁女性湿厕纸10包装</v>
      </c>
      <c r="L132" t="e">
        <f>VLOOKUP($J132,'mapping-Y26'!#REF!,4,0)</f>
        <v>#REF!</v>
      </c>
      <c r="M132" t="str">
        <f>VLOOKUP($J132,'mapping-Y26'!$H:$L,2,0)</f>
        <v>268220舒洁女性湿厕纸10包装</v>
      </c>
      <c r="N132" t="e">
        <f>VLOOKUP($J132,'mapping-Y26'!M:N,3,0)</f>
        <v>#N/A</v>
      </c>
      <c r="O132" s="2" t="e">
        <f>VLOOKUP($J132,'mapping-Y26'!$M:$N,5,0)</f>
        <v>#N/A</v>
      </c>
      <c r="P132" s="2" t="e">
        <f>VLOOKUP($J132,'mapping-Y26'!$M:$N,6,0)</f>
        <v>#N/A</v>
      </c>
      <c r="Q132" s="272" t="e">
        <f>VLOOKUP($J132,'mapping-Y26'!$M:$Q,7,0)</f>
        <v>#N/A</v>
      </c>
      <c r="R132" s="31" t="e">
        <f t="shared" si="52"/>
        <v>#N/A</v>
      </c>
      <c r="T132" s="2">
        <v>45.9</v>
      </c>
      <c r="U132" s="2">
        <v>42.9</v>
      </c>
      <c r="V132" s="2">
        <v>39.9</v>
      </c>
      <c r="W132" s="423">
        <v>0.1</v>
      </c>
      <c r="X132" s="423">
        <v>0.6</v>
      </c>
      <c r="Y132" s="423">
        <v>0.3</v>
      </c>
      <c r="Z132" s="397">
        <f t="shared" si="48"/>
        <v>42.3</v>
      </c>
      <c r="AF132" s="161">
        <v>25.197218501764777</v>
      </c>
      <c r="AG132" s="3" t="e">
        <f t="shared" si="50"/>
        <v>#N/A</v>
      </c>
      <c r="AH132" s="395">
        <v>0.03</v>
      </c>
      <c r="AI132" s="395">
        <v>0.01</v>
      </c>
      <c r="AJ132" s="66" t="e">
        <f t="shared" si="51"/>
        <v>#N/A</v>
      </c>
      <c r="AK132" s="31" t="e">
        <f t="shared" si="53"/>
        <v>#N/A</v>
      </c>
      <c r="AL132" s="66" t="e">
        <f>VLOOKUP($J132,#REF!,12,0)</f>
        <v>#REF!</v>
      </c>
      <c r="AM132" s="68">
        <v>2.7E-2</v>
      </c>
      <c r="AN132" s="31" t="e">
        <f t="shared" si="54"/>
        <v>#N/A</v>
      </c>
      <c r="AO132" s="3" t="e">
        <f t="shared" si="55"/>
        <v>#N/A</v>
      </c>
      <c r="AP132" s="157">
        <v>70.719426215886443</v>
      </c>
      <c r="AQ132" s="157" t="e">
        <f t="shared" si="56"/>
        <v>#N/A</v>
      </c>
      <c r="AR132" s="157" t="e">
        <f t="shared" si="57"/>
        <v>#N/A</v>
      </c>
      <c r="AS132" s="31" t="e">
        <f t="shared" si="58"/>
        <v>#N/A</v>
      </c>
    </row>
    <row r="133" spans="4:45">
      <c r="D133" s="2" t="s">
        <v>918</v>
      </c>
      <c r="E133" s="2" t="s">
        <v>922</v>
      </c>
      <c r="G133" t="e">
        <f>VLOOKUP($J133,'mapping-Y26'!#REF!,2,0)</f>
        <v>#REF!</v>
      </c>
      <c r="H133" t="str">
        <f>VLOOKUP($J133,'mapping-Y26'!$F:$L,6,0)</f>
        <v>60P</v>
      </c>
      <c r="I133">
        <f>VLOOKUP($J133,'mapping-Y26'!$F:$L,5,0)</f>
        <v>14016684</v>
      </c>
      <c r="J133" t="s">
        <v>112</v>
      </c>
      <c r="K133" t="str">
        <f>VLOOKUP($J133,'mapping-Y26'!$F:$L,4,0)</f>
        <v xml:space="preserve">267400舒洁®山茶花系列湿巾（湿厕纸）60片x4包 </v>
      </c>
      <c r="L133" t="e">
        <f>VLOOKUP($J133,'mapping-Y26'!#REF!,4,0)</f>
        <v>#REF!</v>
      </c>
      <c r="M133" t="str">
        <f>VLOOKUP($J133,'mapping-Y26'!$H:$L,2,0)</f>
        <v xml:space="preserve">267400舒洁®山茶花系列湿巾（湿厕纸）60片x4包 </v>
      </c>
      <c r="N133" t="e">
        <f>VLOOKUP($J133,'mapping-Y26'!M:N,3,0)</f>
        <v>#N/A</v>
      </c>
      <c r="O133" s="2" t="e">
        <f>VLOOKUP($J133,'mapping-Y26'!$M:$N,5,0)</f>
        <v>#N/A</v>
      </c>
      <c r="P133" s="2" t="e">
        <f>VLOOKUP($J133,'mapping-Y26'!$M:$N,6,0)</f>
        <v>#N/A</v>
      </c>
      <c r="Q133" s="272" t="e">
        <f>VLOOKUP($J133,'mapping-Y26'!$M:$Q,7,0)</f>
        <v>#N/A</v>
      </c>
      <c r="R133" s="31" t="e">
        <f t="shared" si="52"/>
        <v>#N/A</v>
      </c>
      <c r="T133" s="2">
        <v>39.9</v>
      </c>
      <c r="U133" s="2">
        <v>36.9</v>
      </c>
      <c r="V133" s="2">
        <v>27.5</v>
      </c>
      <c r="W133" s="423">
        <v>0.1</v>
      </c>
      <c r="X133" s="423">
        <v>0.6</v>
      </c>
      <c r="Y133" s="423">
        <v>0.3</v>
      </c>
      <c r="Z133" s="397">
        <f t="shared" si="48"/>
        <v>34.379999999999995</v>
      </c>
      <c r="AF133" s="161">
        <v>21.263575221238941</v>
      </c>
      <c r="AG133" s="3" t="e">
        <f t="shared" si="50"/>
        <v>#N/A</v>
      </c>
      <c r="AH133" s="395">
        <v>0.03</v>
      </c>
      <c r="AI133" s="395">
        <v>0.01</v>
      </c>
      <c r="AJ133" s="66" t="e">
        <f t="shared" si="51"/>
        <v>#N/A</v>
      </c>
      <c r="AK133" s="31" t="e">
        <f t="shared" si="53"/>
        <v>#N/A</v>
      </c>
      <c r="AL133" s="66" t="e">
        <f>VLOOKUP($J133,#REF!,12,0)</f>
        <v>#REF!</v>
      </c>
      <c r="AM133" s="68">
        <v>2.7E-2</v>
      </c>
      <c r="AN133" s="31" t="e">
        <f t="shared" si="54"/>
        <v>#N/A</v>
      </c>
      <c r="AO133" s="3" t="e">
        <f t="shared" si="55"/>
        <v>#N/A</v>
      </c>
      <c r="AP133" s="157">
        <v>89.193108539392043</v>
      </c>
      <c r="AQ133" s="157" t="e">
        <f t="shared" si="56"/>
        <v>#N/A</v>
      </c>
      <c r="AR133" s="157" t="e">
        <f t="shared" si="57"/>
        <v>#N/A</v>
      </c>
      <c r="AS133" s="31" t="e">
        <f t="shared" si="58"/>
        <v>#N/A</v>
      </c>
    </row>
    <row r="134" spans="4:45">
      <c r="D134" s="2" t="s">
        <v>918</v>
      </c>
      <c r="E134" s="2" t="s">
        <v>922</v>
      </c>
      <c r="G134" t="e">
        <f>VLOOKUP($J134,'mapping-Y26'!#REF!,2,0)</f>
        <v>#REF!</v>
      </c>
      <c r="H134" t="str">
        <f>VLOOKUP($J134,'mapping-Y26'!$F:$L,6,0)</f>
        <v>60P</v>
      </c>
      <c r="I134">
        <f>VLOOKUP($J134,'mapping-Y26'!$F:$L,5,0)</f>
        <v>14016683</v>
      </c>
      <c r="J134" t="s">
        <v>104</v>
      </c>
      <c r="K134" t="str">
        <f>VLOOKUP($J134,'mapping-Y26'!$F:$L,4,0)</f>
        <v xml:space="preserve">267300舒洁®山茶花系列湿巾（湿厕纸）60片 </v>
      </c>
      <c r="L134" t="e">
        <f>VLOOKUP($J134,'mapping-Y26'!#REF!,4,0)</f>
        <v>#REF!</v>
      </c>
      <c r="M134" t="str">
        <f>VLOOKUP($J134,'mapping-Y26'!$H:$L,2,0)</f>
        <v xml:space="preserve">267300舒洁®山茶花系列湿巾（湿厕纸）60片 </v>
      </c>
      <c r="N134" t="e">
        <f>VLOOKUP($J134,'mapping-Y26'!M:N,3,0)</f>
        <v>#N/A</v>
      </c>
      <c r="O134" s="2" t="e">
        <f>VLOOKUP($J134,'mapping-Y26'!$M:$N,5,0)</f>
        <v>#N/A</v>
      </c>
      <c r="P134" s="2" t="e">
        <f>VLOOKUP($J134,'mapping-Y26'!$M:$N,6,0)</f>
        <v>#N/A</v>
      </c>
      <c r="Q134" s="272" t="e">
        <f>VLOOKUP($J134,'mapping-Y26'!$M:$Q,7,0)</f>
        <v>#N/A</v>
      </c>
      <c r="R134" s="31" t="e">
        <f t="shared" si="52"/>
        <v>#N/A</v>
      </c>
      <c r="T134" s="2">
        <v>11.9</v>
      </c>
      <c r="U134" s="2">
        <v>9.9</v>
      </c>
      <c r="V134" s="2">
        <v>6.9</v>
      </c>
      <c r="W134" s="423">
        <v>0.1</v>
      </c>
      <c r="X134" s="423">
        <v>0.6</v>
      </c>
      <c r="Y134" s="423">
        <v>0.3</v>
      </c>
      <c r="Z134" s="397">
        <f t="shared" si="48"/>
        <v>9.2000000000000011</v>
      </c>
      <c r="AF134" s="161">
        <v>5.8081061946902679</v>
      </c>
      <c r="AG134" s="3" t="e">
        <f t="shared" si="50"/>
        <v>#N/A</v>
      </c>
      <c r="AH134" s="395">
        <v>0.03</v>
      </c>
      <c r="AI134" s="395">
        <v>0.01</v>
      </c>
      <c r="AJ134" s="66" t="e">
        <f t="shared" si="51"/>
        <v>#N/A</v>
      </c>
      <c r="AK134" s="31" t="e">
        <f t="shared" si="53"/>
        <v>#N/A</v>
      </c>
      <c r="AL134" s="66" t="e">
        <f>VLOOKUP($J134,#REF!,12,0)</f>
        <v>#REF!</v>
      </c>
      <c r="AM134" s="68">
        <v>2.7E-2</v>
      </c>
      <c r="AN134" s="31" t="e">
        <f t="shared" si="54"/>
        <v>#N/A</v>
      </c>
      <c r="AO134" s="3" t="e">
        <f t="shared" si="55"/>
        <v>#N/A</v>
      </c>
      <c r="AP134" s="157">
        <v>92.170249143392354</v>
      </c>
      <c r="AQ134" s="157" t="e">
        <f t="shared" si="56"/>
        <v>#N/A</v>
      </c>
      <c r="AR134" s="157" t="e">
        <f t="shared" si="57"/>
        <v>#N/A</v>
      </c>
      <c r="AS134" s="31" t="e">
        <f t="shared" si="58"/>
        <v>#N/A</v>
      </c>
    </row>
    <row r="135" spans="4:45">
      <c r="D135" s="2" t="s">
        <v>918</v>
      </c>
      <c r="E135" s="2" t="s">
        <v>922</v>
      </c>
      <c r="G135" t="e">
        <f>VLOOKUP($J135,'mapping-Y26'!#REF!,2,0)</f>
        <v>#REF!</v>
      </c>
      <c r="H135" t="str">
        <f>VLOOKUP($J135,'mapping-Y26'!$F:$L,6,0)</f>
        <v>10P-55gsm</v>
      </c>
      <c r="I135">
        <f>VLOOKUP($J135,'mapping-Y26'!$F:$L,5,0)</f>
        <v>14017871</v>
      </c>
      <c r="J135" t="s">
        <v>551</v>
      </c>
      <c r="K135" t="str">
        <f>VLOOKUP($J135,'mapping-Y26'!$F:$L,4,0)</f>
        <v>D267040舒洁湿厕纸旅行装10包装</v>
      </c>
      <c r="L135" t="e">
        <f>VLOOKUP($J135,'mapping-Y26'!#REF!,4,0)</f>
        <v>#REF!</v>
      </c>
      <c r="M135" t="str">
        <f>VLOOKUP($J135,'mapping-Y26'!$H:$L,2,0)</f>
        <v>D267040舒洁湿厕纸旅行装10包装</v>
      </c>
      <c r="N135" t="e">
        <f>VLOOKUP($J135,'mapping-Y26'!M:N,3,0)</f>
        <v>#N/A</v>
      </c>
      <c r="O135" s="2" t="e">
        <f>VLOOKUP($J135,'mapping-Y26'!$M:$N,5,0)</f>
        <v>#N/A</v>
      </c>
      <c r="P135" s="2" t="e">
        <f>VLOOKUP($J135,'mapping-Y26'!$M:$N,6,0)</f>
        <v>#N/A</v>
      </c>
      <c r="Q135" s="272" t="e">
        <f>VLOOKUP($J135,'mapping-Y26'!$M:$Q,7,0)</f>
        <v>#N/A</v>
      </c>
      <c r="R135" s="31" t="e">
        <f t="shared" si="52"/>
        <v>#N/A</v>
      </c>
      <c r="T135" s="2">
        <v>22.9</v>
      </c>
      <c r="U135" s="2">
        <v>18.899999999999999</v>
      </c>
      <c r="V135" s="2">
        <v>15.9</v>
      </c>
      <c r="W135" s="423">
        <v>0.1</v>
      </c>
      <c r="X135" s="423">
        <v>0.6</v>
      </c>
      <c r="Y135" s="423">
        <v>0.3</v>
      </c>
      <c r="Z135" s="397">
        <f t="shared" si="48"/>
        <v>18.399999999999999</v>
      </c>
      <c r="AF135" s="161">
        <v>10.464349692732213</v>
      </c>
      <c r="AG135" s="3" t="e">
        <f t="shared" si="50"/>
        <v>#N/A</v>
      </c>
      <c r="AH135" s="395">
        <v>0.03</v>
      </c>
      <c r="AI135" s="395">
        <v>0.01</v>
      </c>
      <c r="AJ135" s="66" t="e">
        <f t="shared" si="51"/>
        <v>#N/A</v>
      </c>
      <c r="AK135" s="31" t="e">
        <f t="shared" si="53"/>
        <v>#N/A</v>
      </c>
      <c r="AL135" s="66" t="e">
        <f>VLOOKUP($J135,#REF!,12,0)</f>
        <v>#REF!</v>
      </c>
      <c r="AM135" s="68">
        <v>2.7E-2</v>
      </c>
      <c r="AN135" s="31" t="e">
        <f t="shared" si="54"/>
        <v>#N/A</v>
      </c>
      <c r="AO135" s="3" t="e">
        <f t="shared" si="55"/>
        <v>#N/A</v>
      </c>
      <c r="AP135" s="157">
        <v>49.20518097775166</v>
      </c>
      <c r="AQ135" s="157" t="e">
        <f t="shared" si="56"/>
        <v>#N/A</v>
      </c>
      <c r="AR135" s="157" t="e">
        <f t="shared" si="57"/>
        <v>#N/A</v>
      </c>
      <c r="AS135" s="31" t="e">
        <f t="shared" si="58"/>
        <v>#N/A</v>
      </c>
    </row>
    <row r="136" spans="4:45">
      <c r="D136" s="2" t="s">
        <v>918</v>
      </c>
      <c r="E136" s="2" t="s">
        <v>922</v>
      </c>
      <c r="G136" t="e">
        <f>VLOOKUP($J136,'mapping-Y26'!#REF!,2,0)</f>
        <v>#REF!</v>
      </c>
      <c r="H136" t="str">
        <f>VLOOKUP($J136,'mapping-Y26'!$F:$L,6,0)</f>
        <v>100P</v>
      </c>
      <c r="I136">
        <f>VLOOKUP($J136,'mapping-Y26'!$F:$L,5,0)</f>
        <v>14016486</v>
      </c>
      <c r="J136" t="s">
        <v>70</v>
      </c>
      <c r="K136" t="str">
        <f>VLOOKUP($J136,'mapping-Y26'!$F:$L,4,0)</f>
        <v xml:space="preserve">266600舒洁湿厕纸100片x6包 </v>
      </c>
      <c r="L136" t="e">
        <f>VLOOKUP($J136,'mapping-Y26'!#REF!,4,0)</f>
        <v>#REF!</v>
      </c>
      <c r="M136" t="str">
        <f>VLOOKUP($J136,'mapping-Y26'!$H:$L,2,0)</f>
        <v xml:space="preserve">266600舒洁湿厕纸100片x6包 </v>
      </c>
      <c r="N136" t="e">
        <f>VLOOKUP($J136,'mapping-Y26'!M:N,3,0)</f>
        <v>#N/A</v>
      </c>
      <c r="O136" s="2" t="e">
        <f>VLOOKUP($J136,'mapping-Y26'!$M:$N,5,0)</f>
        <v>#N/A</v>
      </c>
      <c r="P136" s="2" t="e">
        <f>VLOOKUP($J136,'mapping-Y26'!$M:$N,6,0)</f>
        <v>#N/A</v>
      </c>
      <c r="Q136" s="272" t="e">
        <f>VLOOKUP($J136,'mapping-Y26'!$M:$Q,7,0)</f>
        <v>#N/A</v>
      </c>
      <c r="R136" s="31" t="e">
        <f t="shared" si="52"/>
        <v>#N/A</v>
      </c>
      <c r="T136" s="2">
        <v>79.900000000000006</v>
      </c>
      <c r="U136" s="2">
        <v>74.900000000000006</v>
      </c>
      <c r="V136" s="2">
        <v>69.900000000000006</v>
      </c>
      <c r="W136" s="423">
        <v>0.1</v>
      </c>
      <c r="X136" s="423">
        <v>0.6</v>
      </c>
      <c r="Y136" s="423">
        <v>0.3</v>
      </c>
      <c r="Z136" s="397">
        <f t="shared" si="48"/>
        <v>73.900000000000006</v>
      </c>
      <c r="AF136" s="161">
        <v>44.389353982300896</v>
      </c>
      <c r="AG136" s="3" t="e">
        <f t="shared" si="50"/>
        <v>#N/A</v>
      </c>
      <c r="AH136" s="395">
        <v>0.03</v>
      </c>
      <c r="AI136" s="395">
        <v>0.01</v>
      </c>
      <c r="AJ136" s="66" t="e">
        <f t="shared" si="51"/>
        <v>#N/A</v>
      </c>
      <c r="AK136" s="31" t="e">
        <f t="shared" si="53"/>
        <v>#N/A</v>
      </c>
      <c r="AL136" s="66" t="e">
        <f>VLOOKUP($J136,#REF!,12,0)</f>
        <v>#REF!</v>
      </c>
      <c r="AM136" s="68">
        <v>2.7E-2</v>
      </c>
      <c r="AN136" s="31" t="e">
        <f t="shared" si="54"/>
        <v>#N/A</v>
      </c>
      <c r="AO136" s="3" t="e">
        <f t="shared" si="55"/>
        <v>#N/A</v>
      </c>
      <c r="AP136" s="157">
        <v>75.102457328402551</v>
      </c>
      <c r="AQ136" s="157" t="e">
        <f t="shared" si="56"/>
        <v>#N/A</v>
      </c>
      <c r="AR136" s="157" t="e">
        <f t="shared" si="57"/>
        <v>#N/A</v>
      </c>
      <c r="AS136" s="31" t="e">
        <f t="shared" si="58"/>
        <v>#N/A</v>
      </c>
    </row>
    <row r="137" spans="4:45">
      <c r="D137" s="2" t="s">
        <v>918</v>
      </c>
      <c r="E137" s="2" t="s">
        <v>922</v>
      </c>
      <c r="G137" t="e">
        <f>VLOOKUP($J137,'mapping-Y26'!#REF!,2,0)</f>
        <v>#REF!</v>
      </c>
      <c r="H137" t="str">
        <f>VLOOKUP($J137,'mapping-Y26'!$F:$L,6,0)</f>
        <v>80P</v>
      </c>
      <c r="I137">
        <f>VLOOKUP($J137,'mapping-Y26'!$F:$L,5,0)</f>
        <v>14017865</v>
      </c>
      <c r="J137" t="s">
        <v>923</v>
      </c>
      <c r="K137" t="str">
        <f>VLOOKUP($J137,'mapping-Y26'!$F:$L,4,0)</f>
        <v xml:space="preserve">266010舒洁湿厕纸80片 </v>
      </c>
      <c r="L137" t="e">
        <f>VLOOKUP($J137,'mapping-Y26'!#REF!,4,0)</f>
        <v>#REF!</v>
      </c>
      <c r="M137" t="str">
        <f>VLOOKUP($J137,'mapping-Y26'!$H:$L,2,0)</f>
        <v xml:space="preserve">266010舒洁湿厕纸80片 </v>
      </c>
      <c r="N137" t="e">
        <f>VLOOKUP($J137,'mapping-Y26'!M:N,3,0)</f>
        <v>#N/A</v>
      </c>
      <c r="O137" s="2" t="e">
        <f>VLOOKUP($J137,'mapping-Y26'!$M:$N,5,0)</f>
        <v>#N/A</v>
      </c>
      <c r="P137" s="2" t="e">
        <f>VLOOKUP($J137,'mapping-Y26'!$M:$N,6,0)</f>
        <v>#N/A</v>
      </c>
      <c r="Q137" s="272" t="e">
        <f>VLOOKUP($J137,'mapping-Y26'!$M:$Q,7,0)</f>
        <v>#N/A</v>
      </c>
      <c r="R137" s="31" t="e">
        <f t="shared" si="52"/>
        <v>#N/A</v>
      </c>
      <c r="T137" s="2">
        <v>9.9</v>
      </c>
      <c r="U137" s="2">
        <v>8.9</v>
      </c>
      <c r="V137" s="2">
        <v>6.69</v>
      </c>
      <c r="W137" s="423">
        <v>0.1</v>
      </c>
      <c r="X137" s="423">
        <v>0.6</v>
      </c>
      <c r="Y137" s="423">
        <v>0.3</v>
      </c>
      <c r="Z137" s="397">
        <f t="shared" si="48"/>
        <v>8.3369999999999997</v>
      </c>
      <c r="AF137" s="161">
        <v>5.2871681415929217</v>
      </c>
      <c r="AG137" s="3" t="e">
        <f t="shared" si="50"/>
        <v>#N/A</v>
      </c>
      <c r="AH137" s="395">
        <v>0.03</v>
      </c>
      <c r="AI137" s="395">
        <v>0.01</v>
      </c>
      <c r="AJ137" s="66" t="e">
        <f t="shared" si="51"/>
        <v>#N/A</v>
      </c>
      <c r="AK137" s="31" t="e">
        <f t="shared" si="53"/>
        <v>#N/A</v>
      </c>
      <c r="AL137" s="66" t="e">
        <f>VLOOKUP($J137,#REF!,12,0)</f>
        <v>#REF!</v>
      </c>
      <c r="AM137" s="68">
        <v>2.7E-2</v>
      </c>
      <c r="AN137" s="31" t="e">
        <f t="shared" si="54"/>
        <v>#N/A</v>
      </c>
      <c r="AO137" s="3" t="e">
        <f t="shared" si="55"/>
        <v>#N/A</v>
      </c>
      <c r="AP137" s="157">
        <v>4601.4576842761562</v>
      </c>
      <c r="AQ137" s="157" t="e">
        <f t="shared" si="56"/>
        <v>#N/A</v>
      </c>
      <c r="AR137" s="157" t="e">
        <f t="shared" si="57"/>
        <v>#N/A</v>
      </c>
      <c r="AS137" s="31" t="e">
        <f t="shared" si="58"/>
        <v>#N/A</v>
      </c>
    </row>
    <row r="138" spans="4:45">
      <c r="D138" s="2" t="s">
        <v>918</v>
      </c>
      <c r="E138" s="2" t="s">
        <v>922</v>
      </c>
      <c r="G138" t="e">
        <f>VLOOKUP($J138,'mapping-Y26'!#REF!,2,0)</f>
        <v>#REF!</v>
      </c>
      <c r="H138" t="str">
        <f>VLOOKUP($J138,'mapping-Y26'!$F:$L,6,0)</f>
        <v>80P</v>
      </c>
      <c r="I138">
        <f>VLOOKUP($J138,'mapping-Y26'!$F:$L,5,0)</f>
        <v>14017868</v>
      </c>
      <c r="J138" t="s">
        <v>563</v>
      </c>
      <c r="K138" t="str">
        <f>VLOOKUP($J138,'mapping-Y26'!$F:$L,4,0)</f>
        <v xml:space="preserve">266210舒洁湿厕纸80片x6包 </v>
      </c>
      <c r="L138" t="e">
        <f>VLOOKUP($J138,'mapping-Y26'!#REF!,4,0)</f>
        <v>#REF!</v>
      </c>
      <c r="M138" t="str">
        <f>VLOOKUP($J138,'mapping-Y26'!$H:$L,2,0)</f>
        <v xml:space="preserve">266210舒洁湿厕纸80片x6包 </v>
      </c>
      <c r="N138" t="e">
        <f>VLOOKUP($J138,'mapping-Y26'!M:N,3,0)</f>
        <v>#N/A</v>
      </c>
      <c r="O138" s="2" t="e">
        <f>VLOOKUP($J138,'mapping-Y26'!$M:$N,5,0)</f>
        <v>#N/A</v>
      </c>
      <c r="P138" s="2" t="e">
        <f>VLOOKUP($J138,'mapping-Y26'!$M:$N,6,0)</f>
        <v>#N/A</v>
      </c>
      <c r="Q138" s="272" t="e">
        <f>VLOOKUP($J138,'mapping-Y26'!$M:$Q,7,0)</f>
        <v>#N/A</v>
      </c>
      <c r="R138" s="31" t="e">
        <f t="shared" si="52"/>
        <v>#N/A</v>
      </c>
      <c r="T138" s="2">
        <v>54.9</v>
      </c>
      <c r="U138" s="2">
        <v>49.9</v>
      </c>
      <c r="V138" s="2">
        <v>39.9</v>
      </c>
      <c r="W138" s="423">
        <v>0.1</v>
      </c>
      <c r="X138" s="423">
        <v>0.6</v>
      </c>
      <c r="Y138" s="423">
        <v>0.3</v>
      </c>
      <c r="Z138" s="397">
        <f t="shared" si="48"/>
        <v>47.4</v>
      </c>
      <c r="AF138" s="161">
        <v>32.100451327433632</v>
      </c>
      <c r="AG138" s="3" t="e">
        <f t="shared" si="50"/>
        <v>#N/A</v>
      </c>
      <c r="AH138" s="395">
        <v>0.03</v>
      </c>
      <c r="AI138" s="395">
        <v>0.01</v>
      </c>
      <c r="AJ138" s="66" t="e">
        <f t="shared" si="51"/>
        <v>#N/A</v>
      </c>
      <c r="AK138" s="31" t="e">
        <f t="shared" si="53"/>
        <v>#N/A</v>
      </c>
      <c r="AL138" s="66" t="e">
        <f>VLOOKUP($J138,#REF!,12,0)</f>
        <v>#REF!</v>
      </c>
      <c r="AM138" s="68">
        <v>2.7E-2</v>
      </c>
      <c r="AN138" s="31" t="e">
        <f t="shared" si="54"/>
        <v>#N/A</v>
      </c>
      <c r="AO138" s="3" t="e">
        <f t="shared" si="55"/>
        <v>#N/A</v>
      </c>
      <c r="AP138" s="157">
        <v>9094.7059497824957</v>
      </c>
      <c r="AQ138" s="157" t="e">
        <f t="shared" si="56"/>
        <v>#N/A</v>
      </c>
      <c r="AR138" s="157" t="e">
        <f t="shared" si="57"/>
        <v>#N/A</v>
      </c>
      <c r="AS138" s="31" t="e">
        <f t="shared" si="58"/>
        <v>#N/A</v>
      </c>
    </row>
    <row r="139" spans="4:45">
      <c r="D139" s="2" t="s">
        <v>918</v>
      </c>
      <c r="E139" s="2" t="s">
        <v>922</v>
      </c>
      <c r="G139" t="e">
        <f>VLOOKUP($J139,'mapping-Y26'!#REF!,2,0)</f>
        <v>#REF!</v>
      </c>
      <c r="H139" t="str">
        <f>VLOOKUP($J139,'mapping-Y26'!$F:$L,6,0)</f>
        <v>80P-55gsm</v>
      </c>
      <c r="I139">
        <f>VLOOKUP($J139,'mapping-Y26'!$F:$L,5,0)</f>
        <v>14017866</v>
      </c>
      <c r="J139" t="s">
        <v>571</v>
      </c>
      <c r="K139" t="str">
        <f>VLOOKUP($J139,'mapping-Y26'!$F:$L,4,0)</f>
        <v xml:space="preserve">266110舒洁湿厕纸80片x3包 </v>
      </c>
      <c r="L139" t="e">
        <f>VLOOKUP($J139,'mapping-Y26'!#REF!,4,0)</f>
        <v>#REF!</v>
      </c>
      <c r="M139" t="str">
        <f>VLOOKUP($J139,'mapping-Y26'!$H:$L,2,0)</f>
        <v xml:space="preserve">266110舒洁湿厕纸80片x3包 </v>
      </c>
      <c r="N139" t="e">
        <f>VLOOKUP($J139,'mapping-Y26'!M:N,3,0)</f>
        <v>#N/A</v>
      </c>
      <c r="O139" s="2" t="e">
        <f>VLOOKUP($J139,'mapping-Y26'!$M:$N,5,0)</f>
        <v>#N/A</v>
      </c>
      <c r="P139" s="2" t="e">
        <f>VLOOKUP($J139,'mapping-Y26'!$M:$N,6,0)</f>
        <v>#N/A</v>
      </c>
      <c r="Q139" s="272" t="e">
        <f>VLOOKUP($J139,'mapping-Y26'!$M:$Q,7,0)</f>
        <v>#N/A</v>
      </c>
      <c r="R139" s="31" t="e">
        <f t="shared" si="52"/>
        <v>#N/A</v>
      </c>
      <c r="T139" s="2">
        <v>36.9</v>
      </c>
      <c r="U139" s="2">
        <v>32.9</v>
      </c>
      <c r="V139" s="2">
        <v>29.9</v>
      </c>
      <c r="W139" s="423">
        <v>0.1</v>
      </c>
      <c r="X139" s="423">
        <v>0.6</v>
      </c>
      <c r="Y139" s="423">
        <v>0.3</v>
      </c>
      <c r="Z139" s="397">
        <f t="shared" si="48"/>
        <v>32.4</v>
      </c>
      <c r="AF139" s="161">
        <v>20.046513147610614</v>
      </c>
      <c r="AG139" s="3" t="e">
        <f t="shared" si="50"/>
        <v>#N/A</v>
      </c>
      <c r="AH139" s="395">
        <v>0.03</v>
      </c>
      <c r="AI139" s="395">
        <v>0.01</v>
      </c>
      <c r="AJ139" s="66" t="e">
        <f t="shared" si="51"/>
        <v>#N/A</v>
      </c>
      <c r="AK139" s="31" t="e">
        <f t="shared" si="53"/>
        <v>#N/A</v>
      </c>
      <c r="AL139" s="66" t="e">
        <f>VLOOKUP($J139,#REF!,12,0)</f>
        <v>#REF!</v>
      </c>
      <c r="AM139" s="68">
        <v>2.7E-2</v>
      </c>
      <c r="AN139" s="31" t="e">
        <f t="shared" si="54"/>
        <v>#N/A</v>
      </c>
      <c r="AO139" s="3" t="e">
        <f t="shared" si="55"/>
        <v>#N/A</v>
      </c>
      <c r="AP139" s="157">
        <v>103.23272535000567</v>
      </c>
      <c r="AQ139" s="157" t="e">
        <f t="shared" si="56"/>
        <v>#N/A</v>
      </c>
      <c r="AR139" s="157" t="e">
        <f t="shared" si="57"/>
        <v>#N/A</v>
      </c>
      <c r="AS139" s="31" t="e">
        <f t="shared" si="58"/>
        <v>#N/A</v>
      </c>
    </row>
    <row r="140" spans="4:45">
      <c r="D140" s="2" t="s">
        <v>918</v>
      </c>
      <c r="E140" s="2" t="s">
        <v>922</v>
      </c>
      <c r="G140" t="e">
        <f>VLOOKUP($J140,'mapping-Y26'!#REF!,2,0)</f>
        <v>#REF!</v>
      </c>
      <c r="H140" t="str">
        <f>VLOOKUP($J140,'mapping-Y26'!$F:$L,6,0)</f>
        <v>7P-55gsm</v>
      </c>
      <c r="I140">
        <f>VLOOKUP($J140,'mapping-Y26'!$F:$L,5,0)</f>
        <v>14017863</v>
      </c>
      <c r="J140" t="s">
        <v>681</v>
      </c>
      <c r="K140" t="str">
        <f>VLOOKUP($J140,'mapping-Y26'!$F:$L,4,0)</f>
        <v>265510舒洁湿厕纸7抽6包装</v>
      </c>
      <c r="L140" t="e">
        <f>VLOOKUP($J140,'mapping-Y26'!#REF!,4,0)</f>
        <v>#REF!</v>
      </c>
      <c r="M140" t="str">
        <f>VLOOKUP($J140,'mapping-Y26'!$H:$L,2,0)</f>
        <v>265510舒洁湿厕纸7抽6包装</v>
      </c>
      <c r="N140" t="e">
        <f>VLOOKUP($J140,'mapping-Y26'!M:N,3,0)</f>
        <v>#N/A</v>
      </c>
      <c r="O140" s="2" t="e">
        <f>VLOOKUP($J140,'mapping-Y26'!$M:$N,5,0)</f>
        <v>#N/A</v>
      </c>
      <c r="P140" s="2" t="e">
        <f>VLOOKUP($J140,'mapping-Y26'!$M:$N,6,0)</f>
        <v>#N/A</v>
      </c>
      <c r="Q140" s="272" t="e">
        <f>VLOOKUP($J140,'mapping-Y26'!$M:$Q,7,0)</f>
        <v>#N/A</v>
      </c>
      <c r="R140" s="31" t="e">
        <f t="shared" si="52"/>
        <v>#N/A</v>
      </c>
      <c r="T140" s="2">
        <v>11.9</v>
      </c>
      <c r="U140" s="2">
        <v>10.9</v>
      </c>
      <c r="V140" s="2">
        <v>8.9</v>
      </c>
      <c r="W140" s="423">
        <v>0.1</v>
      </c>
      <c r="X140" s="423">
        <v>0.6</v>
      </c>
      <c r="Y140" s="423">
        <v>0.3</v>
      </c>
      <c r="Z140" s="397">
        <f t="shared" si="48"/>
        <v>10.4</v>
      </c>
      <c r="AF140" s="161">
        <v>7.2450000000000001</v>
      </c>
      <c r="AG140" s="3" t="e">
        <f t="shared" si="50"/>
        <v>#N/A</v>
      </c>
      <c r="AH140" s="395">
        <v>0.03</v>
      </c>
      <c r="AI140" s="395">
        <v>0.01</v>
      </c>
      <c r="AJ140" s="66" t="e">
        <f t="shared" si="51"/>
        <v>#N/A</v>
      </c>
      <c r="AK140" s="31" t="e">
        <f t="shared" si="53"/>
        <v>#N/A</v>
      </c>
      <c r="AL140" s="66" t="e">
        <f>VLOOKUP($J140,#REF!,12,0)</f>
        <v>#REF!</v>
      </c>
      <c r="AM140" s="68">
        <v>2.7E-2</v>
      </c>
      <c r="AN140" s="31" t="e">
        <f t="shared" si="54"/>
        <v>#N/A</v>
      </c>
      <c r="AO140" s="3" t="e">
        <f t="shared" si="55"/>
        <v>#N/A</v>
      </c>
      <c r="AP140" s="157">
        <v>629.38207268104156</v>
      </c>
      <c r="AQ140" s="157" t="e">
        <f t="shared" si="56"/>
        <v>#N/A</v>
      </c>
      <c r="AR140" s="157" t="e">
        <f t="shared" si="57"/>
        <v>#N/A</v>
      </c>
      <c r="AS140" s="31" t="e">
        <f t="shared" si="58"/>
        <v>#N/A</v>
      </c>
    </row>
    <row r="141" spans="4:45">
      <c r="D141" s="2" t="s">
        <v>918</v>
      </c>
      <c r="E141" s="2" t="s">
        <v>922</v>
      </c>
      <c r="G141" t="e">
        <f>VLOOKUP($J141,'mapping-Y26'!#REF!,2,0)</f>
        <v>#REF!</v>
      </c>
      <c r="H141" t="str">
        <f>VLOOKUP($J141,'mapping-Y26'!$F:$L,6,0)</f>
        <v>#</v>
      </c>
      <c r="I141">
        <f>VLOOKUP($J141,'mapping-Y26'!$F:$L,5,0)</f>
        <v>14004626</v>
      </c>
      <c r="J141" t="s">
        <v>244</v>
      </c>
      <c r="K141" t="str">
        <f>VLOOKUP($J141,'mapping-Y26'!$F:$L,4,0)</f>
        <v xml:space="preserve">261300舒洁无香湿巾单包装 </v>
      </c>
      <c r="L141" t="e">
        <f>VLOOKUP($J141,'mapping-Y26'!#REF!,4,0)</f>
        <v>#REF!</v>
      </c>
      <c r="M141" t="str">
        <f>VLOOKUP($J141,'mapping-Y26'!$H:$L,2,0)</f>
        <v xml:space="preserve">261300舒洁无香湿巾单包装 </v>
      </c>
      <c r="N141" t="e">
        <f>VLOOKUP($J141,'mapping-Y26'!M:N,3,0)</f>
        <v>#N/A</v>
      </c>
      <c r="O141" s="2" t="e">
        <f>VLOOKUP($J141,'mapping-Y26'!$M:$N,5,0)</f>
        <v>#N/A</v>
      </c>
      <c r="P141" s="2" t="e">
        <f>VLOOKUP($J141,'mapping-Y26'!$M:$N,6,0)</f>
        <v>#N/A</v>
      </c>
      <c r="Q141" s="272" t="e">
        <f>VLOOKUP($J141,'mapping-Y26'!$M:$Q,7,0)</f>
        <v>#N/A</v>
      </c>
      <c r="R141" s="31" t="e">
        <f t="shared" si="52"/>
        <v>#N/A</v>
      </c>
      <c r="T141" s="2">
        <v>3.4</v>
      </c>
      <c r="U141" s="2">
        <v>2.9</v>
      </c>
      <c r="V141" s="2">
        <v>2.4</v>
      </c>
      <c r="W141" s="423">
        <v>0.1</v>
      </c>
      <c r="X141" s="423">
        <v>0.6</v>
      </c>
      <c r="Y141" s="423">
        <v>0.3</v>
      </c>
      <c r="Z141" s="397">
        <f t="shared" si="48"/>
        <v>2.8</v>
      </c>
      <c r="AF141" s="161">
        <v>1.4643318584070799</v>
      </c>
      <c r="AG141" s="3" t="e">
        <f t="shared" si="50"/>
        <v>#N/A</v>
      </c>
      <c r="AH141" s="395">
        <v>0.03</v>
      </c>
      <c r="AI141" s="395">
        <v>0.01</v>
      </c>
      <c r="AJ141" s="66" t="e">
        <f t="shared" si="51"/>
        <v>#N/A</v>
      </c>
      <c r="AK141" s="31" t="e">
        <f t="shared" si="53"/>
        <v>#N/A</v>
      </c>
      <c r="AL141" s="66" t="e">
        <f>VLOOKUP($J141,#REF!,12,0)</f>
        <v>#REF!</v>
      </c>
      <c r="AM141" s="68">
        <v>2.7E-2</v>
      </c>
      <c r="AN141" s="31" t="e">
        <f t="shared" si="54"/>
        <v>#N/A</v>
      </c>
      <c r="AO141" s="3" t="e">
        <f t="shared" si="55"/>
        <v>#N/A</v>
      </c>
      <c r="AP141" s="157">
        <v>11713.000461697817</v>
      </c>
      <c r="AQ141" s="157" t="e">
        <f t="shared" si="56"/>
        <v>#N/A</v>
      </c>
      <c r="AR141" s="157" t="e">
        <f t="shared" si="57"/>
        <v>#N/A</v>
      </c>
      <c r="AS141" s="31" t="e">
        <f t="shared" si="58"/>
        <v>#N/A</v>
      </c>
    </row>
    <row r="142" spans="4:45">
      <c r="D142" s="2" t="s">
        <v>918</v>
      </c>
      <c r="E142" s="2" t="s">
        <v>922</v>
      </c>
      <c r="G142" t="e">
        <f>VLOOKUP($J142,'mapping-Y26'!#REF!,2,0)</f>
        <v>#REF!</v>
      </c>
      <c r="H142" t="str">
        <f>VLOOKUP($J142,'mapping-Y26'!$F:$L,6,0)</f>
        <v>#</v>
      </c>
      <c r="I142">
        <f>VLOOKUP($J142,'mapping-Y26'!$F:$L,5,0)</f>
        <v>14015043</v>
      </c>
      <c r="J142" t="s">
        <v>236</v>
      </c>
      <c r="K142" t="str">
        <f>VLOOKUP($J142,'mapping-Y26'!$F:$L,4,0)</f>
        <v>253000舒洁蚕丝洗脸巾80抽3包装</v>
      </c>
      <c r="L142" t="e">
        <f>VLOOKUP($J142,'mapping-Y26'!#REF!,4,0)</f>
        <v>#REF!</v>
      </c>
      <c r="M142" t="str">
        <f>VLOOKUP($J142,'mapping-Y26'!$H:$L,2,0)</f>
        <v>253000舒洁蚕丝洗脸巾80抽3包装</v>
      </c>
      <c r="N142" t="e">
        <f>VLOOKUP($J142,'mapping-Y26'!M:N,3,0)</f>
        <v>#N/A</v>
      </c>
      <c r="O142" s="2" t="e">
        <f>VLOOKUP($J142,'mapping-Y26'!$M:$N,5,0)</f>
        <v>#N/A</v>
      </c>
      <c r="P142" s="2" t="e">
        <f>VLOOKUP($J142,'mapping-Y26'!$M:$N,6,0)</f>
        <v>#N/A</v>
      </c>
      <c r="Q142" s="272" t="e">
        <f>VLOOKUP($J142,'mapping-Y26'!$M:$Q,7,0)</f>
        <v>#N/A</v>
      </c>
      <c r="R142" s="31" t="e">
        <f t="shared" si="52"/>
        <v>#N/A</v>
      </c>
      <c r="T142" s="2">
        <v>41.9</v>
      </c>
      <c r="U142" s="2">
        <v>38.9</v>
      </c>
      <c r="V142" s="2">
        <v>33.9</v>
      </c>
      <c r="W142" s="423">
        <v>0.1</v>
      </c>
      <c r="X142" s="423">
        <v>0.6</v>
      </c>
      <c r="Y142" s="423">
        <v>0.3</v>
      </c>
      <c r="Z142" s="397">
        <f t="shared" si="48"/>
        <v>37.700000000000003</v>
      </c>
      <c r="AF142" s="161">
        <v>22.51117612035398</v>
      </c>
      <c r="AG142" s="3" t="e">
        <f t="shared" si="50"/>
        <v>#N/A</v>
      </c>
      <c r="AH142" s="395">
        <v>0.03</v>
      </c>
      <c r="AI142" s="395">
        <v>0.01</v>
      </c>
      <c r="AJ142" s="66" t="e">
        <f t="shared" si="51"/>
        <v>#N/A</v>
      </c>
      <c r="AK142" s="31" t="e">
        <f t="shared" si="53"/>
        <v>#N/A</v>
      </c>
      <c r="AL142" s="66" t="e">
        <f>VLOOKUP($J142,#REF!,12,0)</f>
        <v>#REF!</v>
      </c>
      <c r="AM142" s="68">
        <v>2.7E-2</v>
      </c>
      <c r="AN142" s="31" t="e">
        <f t="shared" si="54"/>
        <v>#N/A</v>
      </c>
      <c r="AO142" s="3" t="e">
        <f t="shared" si="55"/>
        <v>#N/A</v>
      </c>
      <c r="AP142" s="157">
        <v>93.282346550482231</v>
      </c>
      <c r="AQ142" s="157" t="e">
        <f t="shared" si="56"/>
        <v>#N/A</v>
      </c>
      <c r="AR142" s="157" t="e">
        <f t="shared" si="57"/>
        <v>#N/A</v>
      </c>
      <c r="AS142" s="31" t="e">
        <f t="shared" si="58"/>
        <v>#N/A</v>
      </c>
    </row>
    <row r="143" spans="4:45">
      <c r="D143" s="2" t="s">
        <v>918</v>
      </c>
      <c r="E143" s="2" t="s">
        <v>922</v>
      </c>
      <c r="G143" t="e">
        <f>VLOOKUP($J143,'mapping-Y26'!#REF!,2,0)</f>
        <v>#REF!</v>
      </c>
      <c r="H143" t="str">
        <f>VLOOKUP($J143,'mapping-Y26'!$F:$L,6,0)</f>
        <v>#</v>
      </c>
      <c r="I143">
        <f>VLOOKUP($J143,'mapping-Y26'!$F:$L,5,0)</f>
        <v>14014482</v>
      </c>
      <c r="J143" t="s">
        <v>195</v>
      </c>
      <c r="K143" t="str">
        <f>VLOOKUP($J143,'mapping-Y26'!$F:$L,4,0)</f>
        <v>231216 舒洁马蹄莲盒面纸200抽3盒 FSC mix70%</v>
      </c>
      <c r="L143" t="e">
        <f>VLOOKUP($J143,'mapping-Y26'!#REF!,4,0)</f>
        <v>#REF!</v>
      </c>
      <c r="M143" t="str">
        <f>VLOOKUP($J143,'mapping-Y26'!$H:$L,2,0)</f>
        <v>231216 舒洁马蹄莲盒面纸200抽3盒 FSC mix70%</v>
      </c>
      <c r="N143" t="e">
        <f>VLOOKUP($J143,'mapping-Y26'!M:N,3,0)</f>
        <v>#N/A</v>
      </c>
      <c r="O143" s="2" t="e">
        <f>VLOOKUP($J143,'mapping-Y26'!$M:$N,5,0)</f>
        <v>#N/A</v>
      </c>
      <c r="P143" s="2" t="e">
        <f>VLOOKUP($J143,'mapping-Y26'!$M:$N,6,0)</f>
        <v>#N/A</v>
      </c>
      <c r="Q143" s="272" t="e">
        <f>VLOOKUP($J143,'mapping-Y26'!$M:$Q,7,0)</f>
        <v>#N/A</v>
      </c>
      <c r="R143" s="31" t="e">
        <f t="shared" si="52"/>
        <v>#N/A</v>
      </c>
      <c r="T143" s="2">
        <v>29.9</v>
      </c>
      <c r="U143" s="2">
        <v>27.9</v>
      </c>
      <c r="V143" s="2">
        <v>24.9</v>
      </c>
      <c r="W143" s="423">
        <v>0.1</v>
      </c>
      <c r="X143" s="423">
        <v>0.6</v>
      </c>
      <c r="Y143" s="423">
        <v>0.3</v>
      </c>
      <c r="Z143" s="397">
        <f t="shared" si="48"/>
        <v>27.199999999999996</v>
      </c>
      <c r="AF143" s="161">
        <v>16.243008849557526</v>
      </c>
      <c r="AG143" s="3" t="e">
        <f t="shared" si="50"/>
        <v>#N/A</v>
      </c>
      <c r="AH143" s="395">
        <v>0.03</v>
      </c>
      <c r="AI143" s="395">
        <v>0.01</v>
      </c>
      <c r="AJ143" s="66" t="e">
        <f t="shared" si="51"/>
        <v>#N/A</v>
      </c>
      <c r="AK143" s="31" t="e">
        <f t="shared" si="53"/>
        <v>#N/A</v>
      </c>
      <c r="AL143" s="66" t="e">
        <f>VLOOKUP($J143,#REF!,12,0)</f>
        <v>#REF!</v>
      </c>
      <c r="AM143" s="68">
        <v>2.7E-2</v>
      </c>
      <c r="AN143" s="31" t="e">
        <f t="shared" si="54"/>
        <v>#N/A</v>
      </c>
      <c r="AO143" s="3" t="e">
        <f t="shared" si="55"/>
        <v>#N/A</v>
      </c>
      <c r="AP143" s="157">
        <v>3145.3673064456098</v>
      </c>
      <c r="AQ143" s="157" t="e">
        <f t="shared" si="56"/>
        <v>#N/A</v>
      </c>
      <c r="AR143" s="157" t="e">
        <f t="shared" si="57"/>
        <v>#N/A</v>
      </c>
      <c r="AS143" s="31" t="e">
        <f t="shared" si="58"/>
        <v>#N/A</v>
      </c>
    </row>
    <row r="144" spans="4:45">
      <c r="D144" s="2" t="s">
        <v>918</v>
      </c>
      <c r="E144" s="2" t="s">
        <v>922</v>
      </c>
      <c r="G144" t="e">
        <f>VLOOKUP($J144,'mapping-Y26'!#REF!,2,0)</f>
        <v>#REF!</v>
      </c>
      <c r="H144" t="str">
        <f>VLOOKUP($J144,'mapping-Y26'!$F:$L,6,0)</f>
        <v>#</v>
      </c>
      <c r="I144">
        <f>VLOOKUP($J144,'mapping-Y26'!$F:$L,5,0)</f>
        <v>14014479</v>
      </c>
      <c r="J144" t="s">
        <v>219</v>
      </c>
      <c r="K144" t="str">
        <f>VLOOKUP($J144,'mapping-Y26'!$F:$L,4,0)</f>
        <v xml:space="preserve">229160舒洁绿茶洋甘菊印花清香卷纸10粒 </v>
      </c>
      <c r="L144" t="e">
        <f>VLOOKUP($J144,'mapping-Y26'!#REF!,4,0)</f>
        <v>#REF!</v>
      </c>
      <c r="M144" t="str">
        <f>VLOOKUP($J144,'mapping-Y26'!$H:$L,2,0)</f>
        <v xml:space="preserve">229160舒洁绿茶洋甘菊印花清香卷纸10粒 </v>
      </c>
      <c r="N144" t="e">
        <f>VLOOKUP($J144,'mapping-Y26'!M:N,3,0)</f>
        <v>#N/A</v>
      </c>
      <c r="O144" s="2" t="e">
        <f>VLOOKUP($J144,'mapping-Y26'!$M:$N,5,0)</f>
        <v>#N/A</v>
      </c>
      <c r="P144" s="2" t="e">
        <f>VLOOKUP($J144,'mapping-Y26'!$M:$N,6,0)</f>
        <v>#N/A</v>
      </c>
      <c r="Q144" s="272" t="e">
        <f>VLOOKUP($J144,'mapping-Y26'!$M:$Q,7,0)</f>
        <v>#N/A</v>
      </c>
      <c r="R144" s="31" t="e">
        <f t="shared" si="52"/>
        <v>#N/A</v>
      </c>
      <c r="T144" s="2">
        <v>40.9</v>
      </c>
      <c r="U144" s="2">
        <v>37.9</v>
      </c>
      <c r="V144" s="2">
        <v>36.9</v>
      </c>
      <c r="W144" s="423">
        <v>0.1</v>
      </c>
      <c r="X144" s="423">
        <v>0.6</v>
      </c>
      <c r="Y144" s="423">
        <v>0.3</v>
      </c>
      <c r="Z144" s="397">
        <f t="shared" si="48"/>
        <v>37.9</v>
      </c>
      <c r="AF144" s="161">
        <v>20.864336283185846</v>
      </c>
      <c r="AG144" s="3" t="e">
        <f t="shared" si="50"/>
        <v>#N/A</v>
      </c>
      <c r="AH144" s="395">
        <v>0.03</v>
      </c>
      <c r="AI144" s="395">
        <v>0.01</v>
      </c>
      <c r="AJ144" s="66" t="e">
        <f t="shared" si="51"/>
        <v>#N/A</v>
      </c>
      <c r="AK144" s="31" t="e">
        <f t="shared" si="53"/>
        <v>#N/A</v>
      </c>
      <c r="AL144" s="66" t="e">
        <f>VLOOKUP($J144,#REF!,12,0)</f>
        <v>#REF!</v>
      </c>
      <c r="AM144" s="68">
        <v>2.7E-2</v>
      </c>
      <c r="AN144" s="31" t="e">
        <f t="shared" si="54"/>
        <v>#N/A</v>
      </c>
      <c r="AO144" s="3" t="e">
        <f t="shared" si="55"/>
        <v>#N/A</v>
      </c>
      <c r="AP144" s="157">
        <v>636.18140930964478</v>
      </c>
      <c r="AQ144" s="157" t="e">
        <f t="shared" si="56"/>
        <v>#N/A</v>
      </c>
      <c r="AR144" s="157" t="e">
        <f t="shared" si="57"/>
        <v>#N/A</v>
      </c>
      <c r="AS144" s="31" t="e">
        <f t="shared" si="58"/>
        <v>#N/A</v>
      </c>
    </row>
    <row r="145" spans="4:45">
      <c r="D145" s="2" t="s">
        <v>918</v>
      </c>
      <c r="E145" s="2" t="s">
        <v>922</v>
      </c>
      <c r="G145" t="e">
        <f>VLOOKUP($J145,'mapping-Y26'!#REF!,2,0)</f>
        <v>#REF!</v>
      </c>
      <c r="H145" t="str">
        <f>VLOOKUP($J145,'mapping-Y26'!$F:$L,6,0)</f>
        <v>#</v>
      </c>
      <c r="I145">
        <f>VLOOKUP($J145,'mapping-Y26'!$F:$L,5,0)</f>
        <v>14015861</v>
      </c>
      <c r="J145" t="s">
        <v>211</v>
      </c>
      <c r="K145" t="str">
        <f>VLOOKUP($J145,'mapping-Y26'!$F:$L,4,0)</f>
        <v xml:space="preserve">221635舒洁卷纸3层纯白10粒（蓝色） </v>
      </c>
      <c r="L145" t="e">
        <f>VLOOKUP($J145,'mapping-Y26'!#REF!,4,0)</f>
        <v>#REF!</v>
      </c>
      <c r="M145" t="str">
        <f>VLOOKUP($J145,'mapping-Y26'!$H:$L,2,0)</f>
        <v xml:space="preserve">221635舒洁卷纸3层纯白10粒（蓝色） </v>
      </c>
      <c r="N145" t="e">
        <f>VLOOKUP($J145,'mapping-Y26'!M:N,3,0)</f>
        <v>#N/A</v>
      </c>
      <c r="O145" s="2" t="e">
        <f>VLOOKUP($J145,'mapping-Y26'!$M:$N,5,0)</f>
        <v>#N/A</v>
      </c>
      <c r="P145" s="2" t="e">
        <f>VLOOKUP($J145,'mapping-Y26'!$M:$N,6,0)</f>
        <v>#N/A</v>
      </c>
      <c r="Q145" s="272" t="e">
        <f>VLOOKUP($J145,'mapping-Y26'!$M:$Q,7,0)</f>
        <v>#N/A</v>
      </c>
      <c r="R145" s="31" t="e">
        <f t="shared" si="52"/>
        <v>#N/A</v>
      </c>
      <c r="T145" s="2">
        <v>32.9</v>
      </c>
      <c r="U145" s="2">
        <v>29.9</v>
      </c>
      <c r="V145" s="2">
        <v>24.9</v>
      </c>
      <c r="W145" s="423">
        <v>0.1</v>
      </c>
      <c r="X145" s="423">
        <v>0.6</v>
      </c>
      <c r="Y145" s="423">
        <v>0.3</v>
      </c>
      <c r="Z145" s="397">
        <f t="shared" si="48"/>
        <v>28.699999999999996</v>
      </c>
      <c r="AF145" s="161">
        <v>17.030548672566376</v>
      </c>
      <c r="AG145" s="3" t="e">
        <f t="shared" si="50"/>
        <v>#N/A</v>
      </c>
      <c r="AH145" s="395">
        <v>0.03</v>
      </c>
      <c r="AI145" s="395">
        <v>0.01</v>
      </c>
      <c r="AJ145" s="66" t="e">
        <f t="shared" si="51"/>
        <v>#N/A</v>
      </c>
      <c r="AK145" s="31" t="e">
        <f t="shared" si="53"/>
        <v>#N/A</v>
      </c>
      <c r="AL145" s="66" t="e">
        <f>VLOOKUP($J145,#REF!,12,0)</f>
        <v>#REF!</v>
      </c>
      <c r="AM145" s="68">
        <v>2.7E-2</v>
      </c>
      <c r="AN145" s="31" t="e">
        <f t="shared" si="54"/>
        <v>#N/A</v>
      </c>
      <c r="AO145" s="3" t="e">
        <f t="shared" si="55"/>
        <v>#N/A</v>
      </c>
      <c r="AP145" s="157">
        <v>428.55954216641254</v>
      </c>
      <c r="AQ145" s="157" t="e">
        <f t="shared" si="56"/>
        <v>#N/A</v>
      </c>
      <c r="AR145" s="157" t="e">
        <f t="shared" si="57"/>
        <v>#N/A</v>
      </c>
      <c r="AS145" s="31" t="e">
        <f t="shared" si="58"/>
        <v>#N/A</v>
      </c>
    </row>
    <row r="146" spans="4:45">
      <c r="D146" s="2" t="s">
        <v>918</v>
      </c>
      <c r="E146" s="2" t="s">
        <v>922</v>
      </c>
      <c r="G146" t="e">
        <f>VLOOKUP($J146,'mapping-Y26'!#REF!,2,0)</f>
        <v>#REF!</v>
      </c>
      <c r="H146" t="str">
        <f>VLOOKUP($J146,'mapping-Y26'!$F:$L,6,0)</f>
        <v>Lotion 6Ply</v>
      </c>
      <c r="I146">
        <f>VLOOKUP($J146,'mapping-Y26'!$F:$L,5,0)</f>
        <v>14015111</v>
      </c>
      <c r="J146" t="s">
        <v>164</v>
      </c>
      <c r="K146" t="str">
        <f>VLOOKUP($J146,'mapping-Y26'!$F:$L,4,0)</f>
        <v>216805舒洁®北海道牛乳系列乳霜纸面巾80抽5包装</v>
      </c>
      <c r="L146" t="e">
        <f>VLOOKUP($J146,'mapping-Y26'!#REF!,4,0)</f>
        <v>#REF!</v>
      </c>
      <c r="M146" t="str">
        <f>VLOOKUP($J146,'mapping-Y26'!$H:$L,2,0)</f>
        <v>216805舒洁®北海道牛乳系列乳霜纸面巾80抽5包装</v>
      </c>
      <c r="N146" t="e">
        <f>VLOOKUP($J146,'mapping-Y26'!M:N,3,0)</f>
        <v>#N/A</v>
      </c>
      <c r="O146" s="2" t="e">
        <f>VLOOKUP($J146,'mapping-Y26'!$M:$N,5,0)</f>
        <v>#N/A</v>
      </c>
      <c r="P146" s="2" t="e">
        <f>VLOOKUP($J146,'mapping-Y26'!$M:$N,6,0)</f>
        <v>#N/A</v>
      </c>
      <c r="Q146" s="272" t="e">
        <f>VLOOKUP($J146,'mapping-Y26'!$M:$Q,7,0)</f>
        <v>#N/A</v>
      </c>
      <c r="R146" s="31" t="e">
        <f t="shared" si="52"/>
        <v>#N/A</v>
      </c>
      <c r="T146" s="2">
        <v>62.9</v>
      </c>
      <c r="U146" s="2">
        <v>59.9</v>
      </c>
      <c r="V146" s="2">
        <v>57.9</v>
      </c>
      <c r="W146" s="423">
        <v>0.1</v>
      </c>
      <c r="X146" s="423">
        <v>0.6</v>
      </c>
      <c r="Y146" s="423">
        <v>0.3</v>
      </c>
      <c r="Z146" s="397">
        <f t="shared" si="48"/>
        <v>59.599999999999994</v>
      </c>
      <c r="AF146" s="161">
        <v>36.472938053097359</v>
      </c>
      <c r="AG146" s="3" t="e">
        <f t="shared" si="50"/>
        <v>#N/A</v>
      </c>
      <c r="AH146" s="395">
        <v>0.03</v>
      </c>
      <c r="AI146" s="395">
        <v>0.01</v>
      </c>
      <c r="AJ146" s="66" t="e">
        <f t="shared" si="51"/>
        <v>#N/A</v>
      </c>
      <c r="AK146" s="31" t="e">
        <f t="shared" si="53"/>
        <v>#N/A</v>
      </c>
      <c r="AL146" s="66" t="e">
        <f>VLOOKUP($J146,#REF!,12,0)</f>
        <v>#REF!</v>
      </c>
      <c r="AM146" s="68">
        <v>2.7E-2</v>
      </c>
      <c r="AN146" s="31" t="e">
        <f t="shared" si="54"/>
        <v>#N/A</v>
      </c>
      <c r="AO146" s="3" t="e">
        <f t="shared" si="55"/>
        <v>#N/A</v>
      </c>
      <c r="AP146" s="157">
        <v>667.03374534223451</v>
      </c>
      <c r="AQ146" s="157" t="e">
        <f t="shared" si="56"/>
        <v>#N/A</v>
      </c>
      <c r="AR146" s="157" t="e">
        <f t="shared" si="57"/>
        <v>#N/A</v>
      </c>
      <c r="AS146" s="31" t="e">
        <f t="shared" si="58"/>
        <v>#N/A</v>
      </c>
    </row>
    <row r="147" spans="4:45">
      <c r="D147" s="2" t="s">
        <v>918</v>
      </c>
      <c r="E147" s="2" t="s">
        <v>922</v>
      </c>
      <c r="G147" t="e">
        <f>VLOOKUP($J147,'mapping-Y26'!#REF!,2,0)</f>
        <v>#REF!</v>
      </c>
      <c r="H147" t="str">
        <f>VLOOKUP($J147,'mapping-Y26'!$F:$L,6,0)</f>
        <v>Lotion 6Ply</v>
      </c>
      <c r="I147">
        <f>VLOOKUP($J147,'mapping-Y26'!$F:$L,5,0)</f>
        <v>14016042</v>
      </c>
      <c r="J147" t="s">
        <v>157</v>
      </c>
      <c r="K147" t="str">
        <f>VLOOKUP($J147,'mapping-Y26'!$F:$L,4,0)</f>
        <v>216710舒洁®牛乳系列乳霜纸面巾口袋包7抽10包装</v>
      </c>
      <c r="L147" t="e">
        <f>VLOOKUP($J147,'mapping-Y26'!#REF!,4,0)</f>
        <v>#REF!</v>
      </c>
      <c r="M147" t="str">
        <f>VLOOKUP($J147,'mapping-Y26'!$H:$L,2,0)</f>
        <v>216710舒洁®牛乳系列乳霜纸面巾口袋包7抽10包装</v>
      </c>
      <c r="N147" t="e">
        <f>VLOOKUP($J147,'mapping-Y26'!M:N,3,0)</f>
        <v>#N/A</v>
      </c>
      <c r="O147" s="2" t="e">
        <f>VLOOKUP($J147,'mapping-Y26'!$M:$N,5,0)</f>
        <v>#N/A</v>
      </c>
      <c r="P147" s="2" t="e">
        <f>VLOOKUP($J147,'mapping-Y26'!$M:$N,6,0)</f>
        <v>#N/A</v>
      </c>
      <c r="Q147" s="272" t="e">
        <f>VLOOKUP($J147,'mapping-Y26'!$M:$Q,7,0)</f>
        <v>#N/A</v>
      </c>
      <c r="R147" s="31" t="e">
        <f t="shared" si="52"/>
        <v>#N/A</v>
      </c>
      <c r="T147" s="2">
        <v>16.899999999999999</v>
      </c>
      <c r="U147" s="2">
        <v>13.9</v>
      </c>
      <c r="V147" s="2">
        <v>9.9</v>
      </c>
      <c r="W147" s="423">
        <v>0.1</v>
      </c>
      <c r="X147" s="423">
        <v>0.6</v>
      </c>
      <c r="Y147" s="423">
        <v>0.3</v>
      </c>
      <c r="Z147" s="397">
        <f t="shared" si="48"/>
        <v>13</v>
      </c>
      <c r="AF147" s="161">
        <v>9.4554000000000027</v>
      </c>
      <c r="AG147" s="3" t="e">
        <f t="shared" ref="AG147:AG159" si="59">(R147-AF147)/R147</f>
        <v>#N/A</v>
      </c>
      <c r="AH147" s="395">
        <v>0.03</v>
      </c>
      <c r="AI147" s="395">
        <v>0.01</v>
      </c>
      <c r="AJ147" s="66" t="e">
        <f t="shared" ref="AJ147:AJ159" si="60">(AH147+AI147)*AF147/R147+AG147</f>
        <v>#N/A</v>
      </c>
      <c r="AK147" s="31" t="e">
        <f t="shared" si="53"/>
        <v>#N/A</v>
      </c>
      <c r="AL147" s="66" t="e">
        <f>VLOOKUP($J147,#REF!,12,0)</f>
        <v>#REF!</v>
      </c>
      <c r="AM147" s="68">
        <v>2.7E-2</v>
      </c>
      <c r="AN147" s="31" t="e">
        <f t="shared" si="54"/>
        <v>#N/A</v>
      </c>
      <c r="AO147" s="3" t="e">
        <f t="shared" si="55"/>
        <v>#N/A</v>
      </c>
      <c r="AP147" s="157">
        <v>321.62415753422425</v>
      </c>
      <c r="AQ147" s="157" t="e">
        <f t="shared" si="56"/>
        <v>#N/A</v>
      </c>
      <c r="AR147" s="157" t="e">
        <f t="shared" si="57"/>
        <v>#N/A</v>
      </c>
      <c r="AS147" s="31" t="e">
        <f t="shared" si="58"/>
        <v>#N/A</v>
      </c>
    </row>
    <row r="148" spans="4:45">
      <c r="D148" s="2" t="s">
        <v>918</v>
      </c>
      <c r="E148" s="2" t="s">
        <v>922</v>
      </c>
      <c r="G148" t="e">
        <f>VLOOKUP($J148,'mapping-Y26'!#REF!,2,0)</f>
        <v>#REF!</v>
      </c>
      <c r="H148" t="str">
        <f>VLOOKUP($J148,'mapping-Y26'!$F:$L,6,0)</f>
        <v>Lotion 6Ply</v>
      </c>
      <c r="I148">
        <f>VLOOKUP($J148,'mapping-Y26'!$F:$L,5,0)</f>
        <v>14015110</v>
      </c>
      <c r="J148" t="s">
        <v>150</v>
      </c>
      <c r="K148" t="str">
        <f>VLOOKUP($J148,'mapping-Y26'!$F:$L,4,0)</f>
        <v>216208舒洁®北海道牛乳系列乳霜纸面巾20抽8包装</v>
      </c>
      <c r="L148" t="e">
        <f>VLOOKUP($J148,'mapping-Y26'!#REF!,4,0)</f>
        <v>#REF!</v>
      </c>
      <c r="M148" t="str">
        <f>VLOOKUP($J148,'mapping-Y26'!$H:$L,2,0)</f>
        <v>216208舒洁®北海道牛乳系列乳霜纸面巾20抽8包装</v>
      </c>
      <c r="N148" t="e">
        <f>VLOOKUP($J148,'mapping-Y26'!M:N,3,0)</f>
        <v>#N/A</v>
      </c>
      <c r="O148" s="2" t="e">
        <f>VLOOKUP($J148,'mapping-Y26'!$M:$N,5,0)</f>
        <v>#N/A</v>
      </c>
      <c r="P148" s="2" t="e">
        <f>VLOOKUP($J148,'mapping-Y26'!$M:$N,6,0)</f>
        <v>#N/A</v>
      </c>
      <c r="Q148" s="272" t="e">
        <f>VLOOKUP($J148,'mapping-Y26'!$M:$Q,7,0)</f>
        <v>#N/A</v>
      </c>
      <c r="R148" s="31" t="e">
        <f t="shared" si="52"/>
        <v>#N/A</v>
      </c>
      <c r="T148" s="2">
        <v>23.9</v>
      </c>
      <c r="U148" s="2">
        <v>21.9</v>
      </c>
      <c r="V148" s="2">
        <v>19.899999999999999</v>
      </c>
      <c r="W148" s="423">
        <v>0.1</v>
      </c>
      <c r="X148" s="423">
        <v>0.6</v>
      </c>
      <c r="Y148" s="423">
        <v>0.3</v>
      </c>
      <c r="Z148" s="397">
        <f t="shared" si="48"/>
        <v>21.5</v>
      </c>
      <c r="AF148" s="161">
        <v>13.345402484293805</v>
      </c>
      <c r="AG148" s="3" t="e">
        <f t="shared" si="59"/>
        <v>#N/A</v>
      </c>
      <c r="AH148" s="395">
        <v>0.03</v>
      </c>
      <c r="AI148" s="395">
        <v>0.01</v>
      </c>
      <c r="AJ148" s="66" t="e">
        <f t="shared" si="60"/>
        <v>#N/A</v>
      </c>
      <c r="AK148" s="31" t="e">
        <f t="shared" si="53"/>
        <v>#N/A</v>
      </c>
      <c r="AL148" s="66" t="e">
        <f>VLOOKUP($J148,#REF!,12,0)</f>
        <v>#REF!</v>
      </c>
      <c r="AM148" s="68">
        <v>2.7E-2</v>
      </c>
      <c r="AN148" s="31" t="e">
        <f t="shared" si="54"/>
        <v>#N/A</v>
      </c>
      <c r="AO148" s="3" t="e">
        <f t="shared" si="55"/>
        <v>#N/A</v>
      </c>
      <c r="AP148" s="157">
        <v>399.09037436766897</v>
      </c>
      <c r="AQ148" s="157" t="e">
        <f t="shared" si="56"/>
        <v>#N/A</v>
      </c>
      <c r="AR148" s="157" t="e">
        <f t="shared" si="57"/>
        <v>#N/A</v>
      </c>
      <c r="AS148" s="31" t="e">
        <f t="shared" si="58"/>
        <v>#N/A</v>
      </c>
    </row>
    <row r="149" spans="4:45">
      <c r="D149" s="2" t="s">
        <v>918</v>
      </c>
      <c r="E149" s="2" t="s">
        <v>922</v>
      </c>
      <c r="G149" t="e">
        <f>VLOOKUP($J149,'mapping-Y26'!#REF!,2,0)</f>
        <v>#REF!</v>
      </c>
      <c r="H149" t="str">
        <f>VLOOKUP($J149,'mapping-Y26'!$F:$L,6,0)</f>
        <v>Lotion 4Ply</v>
      </c>
      <c r="I149">
        <f>VLOOKUP($J149,'mapping-Y26'!$F:$L,5,0)</f>
        <v>14016307</v>
      </c>
      <c r="J149" t="s">
        <v>143</v>
      </c>
      <c r="K149" t="str">
        <f>VLOOKUP($J149,'mapping-Y26'!$F:$L,4,0)</f>
        <v>215610舒洁®北海道轻牛乳系列乳霜纸面巾100抽3包装</v>
      </c>
      <c r="L149" t="e">
        <f>VLOOKUP($J149,'mapping-Y26'!#REF!,4,0)</f>
        <v>#REF!</v>
      </c>
      <c r="M149" t="str">
        <f>VLOOKUP($J149,'mapping-Y26'!$H:$L,2,0)</f>
        <v>215610舒洁®北海道轻牛乳系列乳霜纸面巾100抽3包装</v>
      </c>
      <c r="N149" t="e">
        <f>VLOOKUP($J149,'mapping-Y26'!M:N,3,0)</f>
        <v>#N/A</v>
      </c>
      <c r="O149" s="2" t="e">
        <f>VLOOKUP($J149,'mapping-Y26'!$M:$N,5,0)</f>
        <v>#N/A</v>
      </c>
      <c r="P149" s="2" t="e">
        <f>VLOOKUP($J149,'mapping-Y26'!$M:$N,6,0)</f>
        <v>#N/A</v>
      </c>
      <c r="Q149" s="272" t="e">
        <f>VLOOKUP($J149,'mapping-Y26'!$M:$Q,7,0)</f>
        <v>#N/A</v>
      </c>
      <c r="R149" s="31" t="e">
        <f t="shared" si="52"/>
        <v>#N/A</v>
      </c>
      <c r="T149" s="2">
        <v>29.9</v>
      </c>
      <c r="U149" s="2">
        <v>23.9</v>
      </c>
      <c r="V149" s="2">
        <v>18.899999999999999</v>
      </c>
      <c r="W149" s="423">
        <v>0.1</v>
      </c>
      <c r="X149" s="423">
        <v>0.6</v>
      </c>
      <c r="Y149" s="423">
        <v>0.3</v>
      </c>
      <c r="Z149" s="397">
        <f t="shared" si="48"/>
        <v>22.999999999999996</v>
      </c>
      <c r="AF149" s="161">
        <v>13.968987610619475</v>
      </c>
      <c r="AG149" s="3" t="e">
        <f t="shared" si="59"/>
        <v>#N/A</v>
      </c>
      <c r="AH149" s="395">
        <v>0.03</v>
      </c>
      <c r="AI149" s="395">
        <v>0.01</v>
      </c>
      <c r="AJ149" s="66" t="e">
        <f t="shared" si="60"/>
        <v>#N/A</v>
      </c>
      <c r="AK149" s="31" t="e">
        <f t="shared" si="53"/>
        <v>#N/A</v>
      </c>
      <c r="AL149" s="66" t="e">
        <f>VLOOKUP($J149,#REF!,12,0)</f>
        <v>#REF!</v>
      </c>
      <c r="AM149" s="68">
        <v>2.7E-2</v>
      </c>
      <c r="AN149" s="31" t="e">
        <f t="shared" si="54"/>
        <v>#N/A</v>
      </c>
      <c r="AO149" s="3" t="e">
        <f t="shared" si="55"/>
        <v>#N/A</v>
      </c>
      <c r="AP149" s="157">
        <v>435.40521960764244</v>
      </c>
      <c r="AQ149" s="157" t="e">
        <f t="shared" si="56"/>
        <v>#N/A</v>
      </c>
      <c r="AR149" s="157" t="e">
        <f t="shared" si="57"/>
        <v>#N/A</v>
      </c>
      <c r="AS149" s="31" t="e">
        <f t="shared" si="58"/>
        <v>#N/A</v>
      </c>
    </row>
    <row r="150" spans="4:45">
      <c r="D150" s="2" t="s">
        <v>918</v>
      </c>
      <c r="E150" s="2" t="s">
        <v>922</v>
      </c>
      <c r="G150" t="e">
        <f>VLOOKUP($J150,'mapping-Y26'!#REF!,2,0)</f>
        <v>#REF!</v>
      </c>
      <c r="H150" t="str">
        <f>VLOOKUP($J150,'mapping-Y26'!$F:$L,6,0)</f>
        <v>Lotion 4Ply</v>
      </c>
      <c r="I150">
        <f>VLOOKUP($J150,'mapping-Y26'!$F:$L,5,0)</f>
        <v>14016306</v>
      </c>
      <c r="J150" t="s">
        <v>136</v>
      </c>
      <c r="K150" t="str">
        <f>VLOOKUP($J150,'mapping-Y26'!$F:$L,4,0)</f>
        <v>215503舒洁®北海道轻牛乳系列乳霜纸面巾40抽3包装</v>
      </c>
      <c r="L150" t="e">
        <f>VLOOKUP($J150,'mapping-Y26'!#REF!,4,0)</f>
        <v>#REF!</v>
      </c>
      <c r="M150" t="str">
        <f>VLOOKUP($J150,'mapping-Y26'!$H:$L,2,0)</f>
        <v>215503舒洁®北海道轻牛乳系列乳霜纸面巾40抽3包装</v>
      </c>
      <c r="N150" t="e">
        <f>VLOOKUP($J150,'mapping-Y26'!M:N,3,0)</f>
        <v>#N/A</v>
      </c>
      <c r="O150" s="2" t="e">
        <f>VLOOKUP($J150,'mapping-Y26'!$M:$N,5,0)</f>
        <v>#N/A</v>
      </c>
      <c r="P150" s="2" t="e">
        <f>VLOOKUP($J150,'mapping-Y26'!$M:$N,6,0)</f>
        <v>#N/A</v>
      </c>
      <c r="Q150" s="272" t="e">
        <f>VLOOKUP($J150,'mapping-Y26'!$M:$Q,7,0)</f>
        <v>#N/A</v>
      </c>
      <c r="R150" s="31" t="e">
        <f t="shared" si="52"/>
        <v>#N/A</v>
      </c>
      <c r="T150" s="2">
        <v>11.9</v>
      </c>
      <c r="U150" s="2">
        <v>9.9</v>
      </c>
      <c r="V150" s="2">
        <v>8.9</v>
      </c>
      <c r="W150" s="423">
        <v>0.1</v>
      </c>
      <c r="X150" s="423">
        <v>0.6</v>
      </c>
      <c r="Y150" s="423">
        <v>0.3</v>
      </c>
      <c r="Z150" s="397">
        <f t="shared" si="48"/>
        <v>9.8000000000000007</v>
      </c>
      <c r="AF150" s="161">
        <v>5.8474831858407086</v>
      </c>
      <c r="AG150" s="3" t="e">
        <f t="shared" si="59"/>
        <v>#N/A</v>
      </c>
      <c r="AH150" s="395">
        <v>0.03</v>
      </c>
      <c r="AI150" s="395">
        <v>0.01</v>
      </c>
      <c r="AJ150" s="66" t="e">
        <f t="shared" si="60"/>
        <v>#N/A</v>
      </c>
      <c r="AK150" s="31" t="e">
        <f t="shared" si="53"/>
        <v>#N/A</v>
      </c>
      <c r="AL150" s="66" t="e">
        <f>VLOOKUP($J150,#REF!,12,0)</f>
        <v>#REF!</v>
      </c>
      <c r="AM150" s="68">
        <v>2.7E-2</v>
      </c>
      <c r="AN150" s="31" t="e">
        <f t="shared" si="54"/>
        <v>#N/A</v>
      </c>
      <c r="AO150" s="3" t="e">
        <f t="shared" si="55"/>
        <v>#N/A</v>
      </c>
      <c r="AP150" s="157">
        <v>390.05050923184643</v>
      </c>
      <c r="AQ150" s="157" t="e">
        <f t="shared" si="56"/>
        <v>#N/A</v>
      </c>
      <c r="AR150" s="157" t="e">
        <f t="shared" si="57"/>
        <v>#N/A</v>
      </c>
      <c r="AS150" s="31" t="e">
        <f t="shared" si="58"/>
        <v>#N/A</v>
      </c>
    </row>
    <row r="151" spans="4:45">
      <c r="D151" s="2" t="s">
        <v>918</v>
      </c>
      <c r="E151" s="2" t="s">
        <v>922</v>
      </c>
      <c r="G151" t="e">
        <f>VLOOKUP($J151,'mapping-Y26'!#REF!,2,0)</f>
        <v>#REF!</v>
      </c>
      <c r="H151" t="str">
        <f>VLOOKUP($J151,'mapping-Y26'!$F:$L,6,0)</f>
        <v>Lotion 3Ply</v>
      </c>
      <c r="I151">
        <f>VLOOKUP($J151,'mapping-Y26'!$F:$L,5,0)</f>
        <v>14014940</v>
      </c>
      <c r="J151" t="s">
        <v>127</v>
      </c>
      <c r="K151" t="str">
        <f>VLOOKUP($J151,'mapping-Y26'!$F:$L,4,0)</f>
        <v xml:space="preserve">215204舒洁鎏金系列乳霜纸巾40抽8包 </v>
      </c>
      <c r="L151" t="e">
        <f>VLOOKUP($J151,'mapping-Y26'!#REF!,4,0)</f>
        <v>#REF!</v>
      </c>
      <c r="M151" t="str">
        <f>VLOOKUP($J151,'mapping-Y26'!$H:$L,2,0)</f>
        <v xml:space="preserve">215204舒洁鎏金系列乳霜纸巾40抽8包 </v>
      </c>
      <c r="N151" t="e">
        <f>VLOOKUP($J151,'mapping-Y26'!M:N,3,0)</f>
        <v>#N/A</v>
      </c>
      <c r="O151" s="2" t="e">
        <f>VLOOKUP($J151,'mapping-Y26'!$M:$N,5,0)</f>
        <v>#N/A</v>
      </c>
      <c r="P151" s="2" t="e">
        <f>VLOOKUP($J151,'mapping-Y26'!$M:$N,6,0)</f>
        <v>#N/A</v>
      </c>
      <c r="Q151" s="272" t="e">
        <f>VLOOKUP($J151,'mapping-Y26'!$M:$Q,7,0)</f>
        <v>#N/A</v>
      </c>
      <c r="R151" s="31" t="e">
        <f t="shared" si="52"/>
        <v>#N/A</v>
      </c>
      <c r="T151" s="2">
        <v>26.9</v>
      </c>
      <c r="U151" s="2">
        <v>19.899999999999999</v>
      </c>
      <c r="V151" s="2">
        <v>18.899999999999999</v>
      </c>
      <c r="W151" s="423">
        <v>0.1</v>
      </c>
      <c r="X151" s="423">
        <v>0.6</v>
      </c>
      <c r="Y151" s="423">
        <v>0.3</v>
      </c>
      <c r="Z151" s="397">
        <f t="shared" si="48"/>
        <v>20.299999999999997</v>
      </c>
      <c r="AF151" s="161">
        <v>12.326862139964602</v>
      </c>
      <c r="AG151" s="3" t="e">
        <f t="shared" si="59"/>
        <v>#N/A</v>
      </c>
      <c r="AH151" s="395">
        <v>0.03</v>
      </c>
      <c r="AI151" s="395">
        <v>0.01</v>
      </c>
      <c r="AJ151" s="66" t="e">
        <f t="shared" si="60"/>
        <v>#N/A</v>
      </c>
      <c r="AK151" s="31" t="e">
        <f t="shared" si="53"/>
        <v>#N/A</v>
      </c>
      <c r="AL151" s="66" t="e">
        <f>VLOOKUP($J151,#REF!,12,0)</f>
        <v>#REF!</v>
      </c>
      <c r="AM151" s="68">
        <v>2.7E-2</v>
      </c>
      <c r="AN151" s="31" t="e">
        <f t="shared" si="54"/>
        <v>#N/A</v>
      </c>
      <c r="AO151" s="3" t="e">
        <f t="shared" si="55"/>
        <v>#N/A</v>
      </c>
      <c r="AP151" s="157">
        <v>167.17447922815848</v>
      </c>
      <c r="AQ151" s="157" t="e">
        <f t="shared" si="56"/>
        <v>#N/A</v>
      </c>
      <c r="AR151" s="157" t="e">
        <f t="shared" si="57"/>
        <v>#N/A</v>
      </c>
      <c r="AS151" s="31" t="e">
        <f t="shared" si="58"/>
        <v>#N/A</v>
      </c>
    </row>
    <row r="152" spans="4:45">
      <c r="D152" s="2" t="s">
        <v>918</v>
      </c>
      <c r="E152" s="2" t="s">
        <v>922</v>
      </c>
      <c r="G152" t="e">
        <f>VLOOKUP($J152,'mapping-Y26'!#REF!,2,0)</f>
        <v>#REF!</v>
      </c>
      <c r="H152" t="str">
        <f>VLOOKUP($J152,'mapping-Y26'!$F:$L,6,0)</f>
        <v>#</v>
      </c>
      <c r="I152">
        <f>VLOOKUP($J152,'mapping-Y26'!$F:$L,5,0)</f>
        <v>14014470</v>
      </c>
      <c r="J152" t="s">
        <v>187</v>
      </c>
      <c r="K152" t="str">
        <f>VLOOKUP($J152,'mapping-Y26'!$F:$L,4,0)</f>
        <v>210761舒洁卡通系列抽纸200抽3包 FSC mix70%</v>
      </c>
      <c r="L152" t="e">
        <f>VLOOKUP($J152,'mapping-Y26'!#REF!,4,0)</f>
        <v>#REF!</v>
      </c>
      <c r="M152" t="str">
        <f>VLOOKUP($J152,'mapping-Y26'!$H:$L,2,0)</f>
        <v>210761舒洁卡通系列抽纸200抽3包 FSC mix70%</v>
      </c>
      <c r="N152" t="e">
        <f>VLOOKUP($J152,'mapping-Y26'!M:N,3,0)</f>
        <v>#N/A</v>
      </c>
      <c r="O152" s="2" t="e">
        <f>VLOOKUP($J152,'mapping-Y26'!$M:$N,5,0)</f>
        <v>#N/A</v>
      </c>
      <c r="P152" s="2" t="e">
        <f>VLOOKUP($J152,'mapping-Y26'!$M:$N,6,0)</f>
        <v>#N/A</v>
      </c>
      <c r="Q152" s="272" t="e">
        <f>VLOOKUP($J152,'mapping-Y26'!$M:$Q,7,0)</f>
        <v>#N/A</v>
      </c>
      <c r="R152" s="31" t="e">
        <f t="shared" si="52"/>
        <v>#N/A</v>
      </c>
      <c r="T152" s="2">
        <v>21.9</v>
      </c>
      <c r="U152" s="2">
        <v>19.899999999999999</v>
      </c>
      <c r="V152" s="2">
        <v>17.899999999999999</v>
      </c>
      <c r="W152" s="423">
        <v>0.1</v>
      </c>
      <c r="X152" s="423">
        <v>0.6</v>
      </c>
      <c r="Y152" s="423">
        <v>0.3</v>
      </c>
      <c r="Z152" s="397">
        <f t="shared" si="48"/>
        <v>19.5</v>
      </c>
      <c r="AF152" s="161">
        <v>12.174053097345137</v>
      </c>
      <c r="AG152" s="3" t="e">
        <f t="shared" si="59"/>
        <v>#N/A</v>
      </c>
      <c r="AH152" s="395">
        <v>0.03</v>
      </c>
      <c r="AI152" s="395">
        <v>0.01</v>
      </c>
      <c r="AJ152" s="66" t="e">
        <f t="shared" si="60"/>
        <v>#N/A</v>
      </c>
      <c r="AK152" s="31" t="e">
        <f t="shared" si="53"/>
        <v>#N/A</v>
      </c>
      <c r="AL152" s="66" t="e">
        <f>VLOOKUP($J152,#REF!,12,0)</f>
        <v>#REF!</v>
      </c>
      <c r="AM152" s="68">
        <v>2.7E-2</v>
      </c>
      <c r="AN152" s="31" t="e">
        <f t="shared" si="54"/>
        <v>#N/A</v>
      </c>
      <c r="AO152" s="3" t="e">
        <f t="shared" si="55"/>
        <v>#N/A</v>
      </c>
      <c r="AP152" s="157">
        <v>1498.8032505685183</v>
      </c>
      <c r="AQ152" s="157" t="e">
        <f t="shared" si="56"/>
        <v>#N/A</v>
      </c>
      <c r="AR152" s="157" t="e">
        <f t="shared" si="57"/>
        <v>#N/A</v>
      </c>
      <c r="AS152" s="31" t="e">
        <f t="shared" si="58"/>
        <v>#N/A</v>
      </c>
    </row>
    <row r="153" spans="4:45">
      <c r="D153" s="2" t="s">
        <v>918</v>
      </c>
      <c r="E153" s="2" t="s">
        <v>922</v>
      </c>
      <c r="G153" t="e">
        <f>VLOOKUP($J153,'mapping-Y26'!#REF!,2,0)</f>
        <v>#REF!</v>
      </c>
      <c r="H153" t="str">
        <f>VLOOKUP($J153,'mapping-Y26'!$F:$L,6,0)</f>
        <v>#</v>
      </c>
      <c r="I153">
        <f>VLOOKUP($J153,'mapping-Y26'!$F:$L,5,0)</f>
        <v>14016868</v>
      </c>
      <c r="J153" t="s">
        <v>172</v>
      </c>
      <c r="K153" t="str">
        <f>VLOOKUP($J153,'mapping-Y26'!$F:$L,4,0)</f>
        <v>210390舒洁小熊印花抽纸3层80抽4包FSC mix70%</v>
      </c>
      <c r="L153" t="e">
        <f>VLOOKUP($J153,'mapping-Y26'!#REF!,4,0)</f>
        <v>#REF!</v>
      </c>
      <c r="M153" t="str">
        <f>VLOOKUP($J153,'mapping-Y26'!$H:$L,2,0)</f>
        <v>210390舒洁小熊印花抽纸3层80抽4包FSC mix70%</v>
      </c>
      <c r="N153" t="e">
        <f>VLOOKUP($J153,'mapping-Y26'!M:N,3,0)</f>
        <v>#N/A</v>
      </c>
      <c r="O153" s="2" t="e">
        <f>VLOOKUP($J153,'mapping-Y26'!$M:$N,5,0)</f>
        <v>#N/A</v>
      </c>
      <c r="P153" s="2" t="e">
        <f>VLOOKUP($J153,'mapping-Y26'!$M:$N,6,0)</f>
        <v>#N/A</v>
      </c>
      <c r="Q153" s="272" t="e">
        <f>VLOOKUP($J153,'mapping-Y26'!$M:$Q,7,0)</f>
        <v>#N/A</v>
      </c>
      <c r="R153" s="31" t="e">
        <f t="shared" si="52"/>
        <v>#N/A</v>
      </c>
      <c r="T153" s="2">
        <v>17</v>
      </c>
      <c r="U153" s="2">
        <v>15</v>
      </c>
      <c r="V153" s="2">
        <v>12</v>
      </c>
      <c r="W153" s="423">
        <v>0.1</v>
      </c>
      <c r="X153" s="423">
        <v>0.6</v>
      </c>
      <c r="Y153" s="423">
        <v>0.3</v>
      </c>
      <c r="Z153" s="397">
        <f t="shared" si="48"/>
        <v>14.299999999999999</v>
      </c>
      <c r="AF153" s="161">
        <v>8.192601769911505</v>
      </c>
      <c r="AG153" s="3" t="e">
        <f t="shared" si="59"/>
        <v>#N/A</v>
      </c>
      <c r="AH153" s="395">
        <v>0.03</v>
      </c>
      <c r="AI153" s="395">
        <v>0.01</v>
      </c>
      <c r="AJ153" s="66" t="e">
        <f t="shared" si="60"/>
        <v>#N/A</v>
      </c>
      <c r="AK153" s="31" t="e">
        <f t="shared" si="53"/>
        <v>#N/A</v>
      </c>
      <c r="AL153" s="66" t="e">
        <f>VLOOKUP($J153,#REF!,12,0)</f>
        <v>#REF!</v>
      </c>
      <c r="AM153" s="68">
        <v>2.7E-2</v>
      </c>
      <c r="AN153" s="31" t="e">
        <f t="shared" si="54"/>
        <v>#N/A</v>
      </c>
      <c r="AO153" s="3" t="e">
        <f t="shared" si="55"/>
        <v>#N/A</v>
      </c>
      <c r="AP153" s="157">
        <v>1855.9946794423242</v>
      </c>
      <c r="AQ153" s="157" t="e">
        <f t="shared" si="56"/>
        <v>#N/A</v>
      </c>
      <c r="AR153" s="157" t="e">
        <f t="shared" si="57"/>
        <v>#N/A</v>
      </c>
      <c r="AS153" s="31" t="e">
        <f t="shared" si="58"/>
        <v>#N/A</v>
      </c>
    </row>
    <row r="154" spans="4:45">
      <c r="H154" t="str">
        <f>VLOOKUP($J154,'mapping-Y26'!$F:$L,6,0)</f>
        <v>7P-65gsm</v>
      </c>
      <c r="I154">
        <f>VLOOKUP($J154,'mapping-Y26'!$F:$L,5,0)</f>
        <v>14018368</v>
      </c>
      <c r="J154" t="s">
        <v>861</v>
      </c>
      <c r="K154" t="str">
        <f>VLOOKUP($J154,'mapping-Y26'!$F:$L,4,0)</f>
        <v>260800舒洁湿厕纸(65gsm)7抽6包装</v>
      </c>
      <c r="L154" t="e">
        <f>VLOOKUP($J154,'mapping-Y26'!#REF!,4,0)</f>
        <v>#REF!</v>
      </c>
      <c r="M154" t="str">
        <f>VLOOKUP($J154,'mapping-Y26'!$H:$L,2,0)</f>
        <v>260800舒洁湿厕纸(65gsm)7抽6包装</v>
      </c>
      <c r="N154" t="e">
        <f>VLOOKUP($J154,'mapping-Y26'!M:N,3,0)</f>
        <v>#N/A</v>
      </c>
      <c r="O154" s="2" t="e">
        <f>VLOOKUP($J154,'mapping-Y26'!$M:$N,5,0)</f>
        <v>#N/A</v>
      </c>
      <c r="P154" s="2" t="e">
        <f>VLOOKUP($J154,'mapping-Y26'!$M:$N,6,0)</f>
        <v>#N/A</v>
      </c>
      <c r="Q154" s="272" t="e">
        <f>VLOOKUP($J154,'mapping-Y26'!$M:$Q,7,0)</f>
        <v>#N/A</v>
      </c>
      <c r="R154" s="31" t="e">
        <f t="shared" ref="R154:R159" si="61">Q154/O154</f>
        <v>#N/A</v>
      </c>
      <c r="Z154" s="397">
        <f t="shared" ref="Z154:Z159" si="62">T154*W154+U154*X154+V154*Y154</f>
        <v>0</v>
      </c>
      <c r="AG154" s="3" t="e">
        <f t="shared" si="59"/>
        <v>#N/A</v>
      </c>
      <c r="AH154" s="395">
        <v>0.03</v>
      </c>
      <c r="AI154" s="395">
        <v>0.01</v>
      </c>
      <c r="AJ154" s="66" t="e">
        <f t="shared" si="60"/>
        <v>#N/A</v>
      </c>
      <c r="AK154" s="31" t="e">
        <f t="shared" si="53"/>
        <v>#N/A</v>
      </c>
      <c r="AL154" s="66" t="e">
        <f>VLOOKUP($J154,#REF!,12,0)</f>
        <v>#REF!</v>
      </c>
      <c r="AM154" s="68">
        <v>2.7E-2</v>
      </c>
      <c r="AN154" s="31" t="e">
        <f t="shared" si="54"/>
        <v>#N/A</v>
      </c>
      <c r="AO154" s="3" t="e">
        <f t="shared" ref="AO154:AO159" si="63">AN154/AK154</f>
        <v>#N/A</v>
      </c>
      <c r="AQ154" s="157" t="e">
        <f t="shared" si="56"/>
        <v>#N/A</v>
      </c>
      <c r="AR154" s="157" t="e">
        <f t="shared" si="57"/>
        <v>#N/A</v>
      </c>
      <c r="AS154" s="31" t="e">
        <f t="shared" si="58"/>
        <v>#N/A</v>
      </c>
    </row>
    <row r="155" spans="4:45">
      <c r="H155" t="str">
        <f>VLOOKUP($J155,'mapping-Y26'!$F:$L,6,0)</f>
        <v>10P-65gsm</v>
      </c>
      <c r="I155">
        <f>VLOOKUP($J155,'mapping-Y26'!$F:$L,5,0)</f>
        <v>14018369</v>
      </c>
      <c r="J155" t="s">
        <v>863</v>
      </c>
      <c r="K155" t="str">
        <f>VLOOKUP($J155,'mapping-Y26'!$F:$L,4,0)</f>
        <v>261000舒洁湿厕纸(65gsm)旅行装10片x10包装</v>
      </c>
      <c r="L155" t="e">
        <f>VLOOKUP($J155,'mapping-Y26'!#REF!,4,0)</f>
        <v>#REF!</v>
      </c>
      <c r="M155" t="str">
        <f>VLOOKUP($J155,'mapping-Y26'!$H:$L,2,0)</f>
        <v>261000舒洁湿厕纸(65gsm)旅行装10片x10包装</v>
      </c>
      <c r="N155" t="e">
        <f>VLOOKUP($J155,'mapping-Y26'!M:N,3,0)</f>
        <v>#N/A</v>
      </c>
      <c r="O155" s="2" t="e">
        <f>VLOOKUP($J155,'mapping-Y26'!$M:$N,5,0)</f>
        <v>#N/A</v>
      </c>
      <c r="P155" s="2" t="e">
        <f>VLOOKUP($J155,'mapping-Y26'!$M:$N,6,0)</f>
        <v>#N/A</v>
      </c>
      <c r="Q155" s="272" t="e">
        <f>VLOOKUP($J155,'mapping-Y26'!$M:$Q,7,0)</f>
        <v>#N/A</v>
      </c>
      <c r="R155" s="31" t="e">
        <f t="shared" si="61"/>
        <v>#N/A</v>
      </c>
      <c r="Z155" s="397">
        <f t="shared" si="62"/>
        <v>0</v>
      </c>
      <c r="AG155" s="3" t="e">
        <f t="shared" si="59"/>
        <v>#N/A</v>
      </c>
      <c r="AH155" s="395">
        <v>0.03</v>
      </c>
      <c r="AI155" s="395">
        <v>0.01</v>
      </c>
      <c r="AJ155" s="66" t="e">
        <f t="shared" si="60"/>
        <v>#N/A</v>
      </c>
      <c r="AK155" s="31" t="e">
        <f t="shared" si="53"/>
        <v>#N/A</v>
      </c>
      <c r="AL155" s="66" t="e">
        <f>VLOOKUP($J155,#REF!,12,0)</f>
        <v>#REF!</v>
      </c>
      <c r="AM155" s="68">
        <v>2.7E-2</v>
      </c>
      <c r="AN155" s="31" t="e">
        <f t="shared" si="54"/>
        <v>#N/A</v>
      </c>
      <c r="AO155" s="3" t="e">
        <f t="shared" si="63"/>
        <v>#N/A</v>
      </c>
      <c r="AQ155" s="157" t="e">
        <f t="shared" si="56"/>
        <v>#N/A</v>
      </c>
      <c r="AR155" s="157" t="e">
        <f t="shared" si="57"/>
        <v>#N/A</v>
      </c>
      <c r="AS155" s="31" t="e">
        <f t="shared" si="58"/>
        <v>#N/A</v>
      </c>
    </row>
    <row r="156" spans="4:45">
      <c r="H156" t="str">
        <f>VLOOKUP($J156,'mapping-Y26'!$F:$L,6,0)</f>
        <v>40P-65gsm</v>
      </c>
      <c r="I156">
        <f>VLOOKUP($J156,'mapping-Y26'!$F:$L,5,0)</f>
        <v>14018370</v>
      </c>
      <c r="J156" t="s">
        <v>865</v>
      </c>
      <c r="K156" t="str">
        <f>VLOOKUP($J156,'mapping-Y26'!$F:$L,4,0)</f>
        <v xml:space="preserve">262000舒洁湿厕纸(65gsm)家庭装40抽 </v>
      </c>
      <c r="L156" t="e">
        <f>VLOOKUP($J156,'mapping-Y26'!#REF!,4,0)</f>
        <v>#REF!</v>
      </c>
      <c r="M156" t="str">
        <f>VLOOKUP($J156,'mapping-Y26'!$H:$L,2,0)</f>
        <v xml:space="preserve">262000舒洁湿厕纸(65gsm)家庭装40抽 </v>
      </c>
      <c r="N156" t="e">
        <f>VLOOKUP($J156,'mapping-Y26'!M:N,3,0)</f>
        <v>#N/A</v>
      </c>
      <c r="O156" s="2" t="e">
        <f>VLOOKUP($J156,'mapping-Y26'!$M:$N,5,0)</f>
        <v>#N/A</v>
      </c>
      <c r="P156" s="2" t="e">
        <f>VLOOKUP($J156,'mapping-Y26'!$M:$N,6,0)</f>
        <v>#N/A</v>
      </c>
      <c r="Q156" s="272" t="e">
        <f>VLOOKUP($J156,'mapping-Y26'!$M:$Q,7,0)</f>
        <v>#N/A</v>
      </c>
      <c r="R156" s="31" t="e">
        <f t="shared" si="61"/>
        <v>#N/A</v>
      </c>
      <c r="Z156" s="397">
        <f t="shared" si="62"/>
        <v>0</v>
      </c>
      <c r="AG156" s="3" t="e">
        <f t="shared" si="59"/>
        <v>#N/A</v>
      </c>
      <c r="AH156" s="395">
        <v>0.03</v>
      </c>
      <c r="AI156" s="395">
        <v>0.01</v>
      </c>
      <c r="AJ156" s="66" t="e">
        <f t="shared" si="60"/>
        <v>#N/A</v>
      </c>
      <c r="AK156" s="31" t="e">
        <f t="shared" si="53"/>
        <v>#N/A</v>
      </c>
      <c r="AL156" s="66" t="e">
        <f>VLOOKUP($J156,#REF!,12,0)</f>
        <v>#REF!</v>
      </c>
      <c r="AM156" s="68">
        <v>2.7E-2</v>
      </c>
      <c r="AN156" s="31" t="e">
        <f t="shared" si="54"/>
        <v>#N/A</v>
      </c>
      <c r="AO156" s="3" t="e">
        <f t="shared" si="63"/>
        <v>#N/A</v>
      </c>
      <c r="AQ156" s="157" t="e">
        <f t="shared" si="56"/>
        <v>#N/A</v>
      </c>
      <c r="AR156" s="157" t="e">
        <f t="shared" si="57"/>
        <v>#N/A</v>
      </c>
      <c r="AS156" s="31" t="e">
        <f t="shared" si="58"/>
        <v>#N/A</v>
      </c>
    </row>
    <row r="157" spans="4:45">
      <c r="H157" t="str">
        <f>VLOOKUP($J157,'mapping-Y26'!$F:$L,6,0)</f>
        <v>40P-65gsm</v>
      </c>
      <c r="I157">
        <f>VLOOKUP($J157,'mapping-Y26'!$F:$L,5,0)</f>
        <v>14018371</v>
      </c>
      <c r="J157" t="s">
        <v>866</v>
      </c>
      <c r="K157" t="str">
        <f>VLOOKUP($J157,'mapping-Y26'!$F:$L,4,0)</f>
        <v>262400舒洁湿厕纸(65gsm)家庭装40抽10包装</v>
      </c>
      <c r="L157" t="e">
        <f>VLOOKUP($J157,'mapping-Y26'!#REF!,4,0)</f>
        <v>#REF!</v>
      </c>
      <c r="M157" t="str">
        <f>VLOOKUP($J157,'mapping-Y26'!$H:$L,2,0)</f>
        <v>262400舒洁湿厕纸(65gsm)家庭装40抽10包装</v>
      </c>
      <c r="N157" t="e">
        <f>VLOOKUP($J157,'mapping-Y26'!M:N,3,0)</f>
        <v>#N/A</v>
      </c>
      <c r="O157" s="2" t="e">
        <f>VLOOKUP($J157,'mapping-Y26'!$M:$N,5,0)</f>
        <v>#N/A</v>
      </c>
      <c r="P157" s="2" t="e">
        <f>VLOOKUP($J157,'mapping-Y26'!$M:$N,6,0)</f>
        <v>#N/A</v>
      </c>
      <c r="Q157" s="272" t="e">
        <f>VLOOKUP($J157,'mapping-Y26'!$M:$Q,7,0)</f>
        <v>#N/A</v>
      </c>
      <c r="R157" s="31" t="e">
        <f t="shared" si="61"/>
        <v>#N/A</v>
      </c>
      <c r="Z157" s="397">
        <f t="shared" si="62"/>
        <v>0</v>
      </c>
      <c r="AG157" s="3" t="e">
        <f t="shared" si="59"/>
        <v>#N/A</v>
      </c>
      <c r="AH157" s="395">
        <v>0.03</v>
      </c>
      <c r="AI157" s="395">
        <v>0.01</v>
      </c>
      <c r="AJ157" s="66" t="e">
        <f t="shared" si="60"/>
        <v>#N/A</v>
      </c>
      <c r="AK157" s="31" t="e">
        <f t="shared" si="53"/>
        <v>#N/A</v>
      </c>
      <c r="AL157" s="66" t="e">
        <f>VLOOKUP($J157,#REF!,12,0)</f>
        <v>#REF!</v>
      </c>
      <c r="AM157" s="68">
        <v>2.7E-2</v>
      </c>
      <c r="AN157" s="31" t="e">
        <f t="shared" si="54"/>
        <v>#N/A</v>
      </c>
      <c r="AO157" s="3" t="e">
        <f t="shared" si="63"/>
        <v>#N/A</v>
      </c>
      <c r="AQ157" s="157" t="e">
        <f t="shared" si="56"/>
        <v>#N/A</v>
      </c>
      <c r="AR157" s="157" t="e">
        <f t="shared" si="57"/>
        <v>#N/A</v>
      </c>
      <c r="AS157" s="31" t="e">
        <f t="shared" si="58"/>
        <v>#N/A</v>
      </c>
    </row>
    <row r="158" spans="4:45">
      <c r="H158" t="str">
        <f>VLOOKUP($J158,'mapping-Y26'!$F:$L,6,0)</f>
        <v>80P-55gsm</v>
      </c>
      <c r="I158">
        <f>VLOOKUP($J158,'mapping-Y26'!$F:$L,5,0)</f>
        <v>14018372</v>
      </c>
      <c r="J158" t="s">
        <v>869</v>
      </c>
      <c r="K158" t="str">
        <f>VLOOKUP($J158,'mapping-Y26'!$F:$L,4,0)</f>
        <v xml:space="preserve">263400舒洁湿厕纸(65gsm)80片 </v>
      </c>
      <c r="L158" t="e">
        <f>VLOOKUP($J158,'mapping-Y26'!#REF!,4,0)</f>
        <v>#REF!</v>
      </c>
      <c r="M158" t="str">
        <f>VLOOKUP($J158,'mapping-Y26'!$H:$L,2,0)</f>
        <v xml:space="preserve">263400舒洁湿厕纸(65gsm)80片 </v>
      </c>
      <c r="N158" t="e">
        <f>VLOOKUP($J158,'mapping-Y26'!M:N,3,0)</f>
        <v>#N/A</v>
      </c>
      <c r="O158" s="2" t="e">
        <f>VLOOKUP($J158,'mapping-Y26'!$M:$N,5,0)</f>
        <v>#N/A</v>
      </c>
      <c r="P158" s="2" t="e">
        <f>VLOOKUP($J158,'mapping-Y26'!$M:$N,6,0)</f>
        <v>#N/A</v>
      </c>
      <c r="Q158" s="272" t="e">
        <f>VLOOKUP($J158,'mapping-Y26'!$M:$Q,7,0)</f>
        <v>#N/A</v>
      </c>
      <c r="R158" s="31" t="e">
        <f t="shared" si="61"/>
        <v>#N/A</v>
      </c>
      <c r="Z158" s="397">
        <f t="shared" si="62"/>
        <v>0</v>
      </c>
      <c r="AG158" s="3" t="e">
        <f t="shared" si="59"/>
        <v>#N/A</v>
      </c>
      <c r="AH158" s="395">
        <v>0.03</v>
      </c>
      <c r="AI158" s="395">
        <v>0.01</v>
      </c>
      <c r="AJ158" s="66" t="e">
        <f t="shared" si="60"/>
        <v>#N/A</v>
      </c>
      <c r="AK158" s="31" t="e">
        <f t="shared" si="53"/>
        <v>#N/A</v>
      </c>
      <c r="AL158" s="66" t="e">
        <f>VLOOKUP($J158,#REF!,12,0)</f>
        <v>#REF!</v>
      </c>
      <c r="AM158" s="68">
        <v>2.7E-2</v>
      </c>
      <c r="AN158" s="31" t="e">
        <f t="shared" si="54"/>
        <v>#N/A</v>
      </c>
      <c r="AO158" s="3" t="e">
        <f t="shared" si="63"/>
        <v>#N/A</v>
      </c>
      <c r="AQ158" s="157" t="e">
        <f t="shared" si="56"/>
        <v>#N/A</v>
      </c>
      <c r="AR158" s="157" t="e">
        <f t="shared" si="57"/>
        <v>#N/A</v>
      </c>
      <c r="AS158" s="31" t="e">
        <f t="shared" si="58"/>
        <v>#N/A</v>
      </c>
    </row>
    <row r="159" spans="4:45">
      <c r="H159" t="str">
        <f>VLOOKUP($J159,'mapping-Y26'!$F:$L,6,0)</f>
        <v>80P-65gsm</v>
      </c>
      <c r="I159">
        <f>VLOOKUP($J159,'mapping-Y26'!$F:$L,5,0)</f>
        <v>14018374</v>
      </c>
      <c r="J159" t="s">
        <v>871</v>
      </c>
      <c r="K159" t="str">
        <f>VLOOKUP($J159,'mapping-Y26'!$F:$L,4,0)</f>
        <v xml:space="preserve">263600舒洁湿厕纸(65gsm)80片x6包 </v>
      </c>
      <c r="L159" t="e">
        <f>VLOOKUP($J159,'mapping-Y26'!#REF!,4,0)</f>
        <v>#REF!</v>
      </c>
      <c r="M159" t="str">
        <f>VLOOKUP($J159,'mapping-Y26'!$H:$L,2,0)</f>
        <v xml:space="preserve">263600舒洁湿厕纸(65gsm)80片x6包 </v>
      </c>
      <c r="N159" t="e">
        <f>VLOOKUP($J159,'mapping-Y26'!M:N,3,0)</f>
        <v>#N/A</v>
      </c>
      <c r="O159" s="2" t="e">
        <f>VLOOKUP($J159,'mapping-Y26'!$M:$N,5,0)</f>
        <v>#N/A</v>
      </c>
      <c r="P159" s="2" t="e">
        <f>VLOOKUP($J159,'mapping-Y26'!$M:$N,6,0)</f>
        <v>#N/A</v>
      </c>
      <c r="Q159" s="272" t="e">
        <f>VLOOKUP($J159,'mapping-Y26'!$M:$Q,7,0)</f>
        <v>#N/A</v>
      </c>
      <c r="R159" s="31" t="e">
        <f t="shared" si="61"/>
        <v>#N/A</v>
      </c>
      <c r="Z159" s="397">
        <f t="shared" si="62"/>
        <v>0</v>
      </c>
      <c r="AG159" s="3" t="e">
        <f t="shared" si="59"/>
        <v>#N/A</v>
      </c>
      <c r="AH159" s="395">
        <v>0.03</v>
      </c>
      <c r="AI159" s="395">
        <v>0.01</v>
      </c>
      <c r="AJ159" s="66" t="e">
        <f t="shared" si="60"/>
        <v>#N/A</v>
      </c>
      <c r="AK159" s="31" t="e">
        <f t="shared" si="53"/>
        <v>#N/A</v>
      </c>
      <c r="AL159" s="66" t="e">
        <f>VLOOKUP($J159,#REF!,12,0)</f>
        <v>#REF!</v>
      </c>
      <c r="AM159" s="68">
        <v>2.7E-2</v>
      </c>
      <c r="AN159" s="31" t="e">
        <f t="shared" si="54"/>
        <v>#N/A</v>
      </c>
      <c r="AO159" s="3" t="e">
        <f t="shared" si="63"/>
        <v>#N/A</v>
      </c>
      <c r="AQ159" s="157" t="e">
        <f t="shared" si="56"/>
        <v>#N/A</v>
      </c>
      <c r="AR159" s="157" t="e">
        <f t="shared" si="57"/>
        <v>#N/A</v>
      </c>
      <c r="AS159" s="31" t="e">
        <f t="shared" si="58"/>
        <v>#N/A</v>
      </c>
    </row>
  </sheetData>
  <autoFilter ref="A4:AF159" xr:uid="{13BBCC61-FD2E-4FC1-9192-52E8346C3F33}"/>
  <mergeCells count="2">
    <mergeCell ref="T3:V3"/>
    <mergeCell ref="W3:Y3"/>
  </mergeCells>
  <phoneticPr fontId="22" type="noConversion"/>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DD95D-9B95-4AA1-A3BF-B98582D48EED}">
  <sheetPr>
    <tabColor rgb="FFFF0000"/>
  </sheetPr>
  <dimension ref="A1:P48"/>
  <sheetViews>
    <sheetView zoomScale="63" zoomScaleNormal="63" workbookViewId="0">
      <pane ySplit="1" topLeftCell="A2" activePane="bottomLeft" state="frozen"/>
      <selection pane="bottomLeft" activeCell="I10" sqref="I10"/>
    </sheetView>
  </sheetViews>
  <sheetFormatPr defaultRowHeight="14"/>
  <cols>
    <col min="1" max="1" width="21.453125" customWidth="1"/>
    <col min="3" max="3" width="16.08984375" customWidth="1"/>
    <col min="4" max="4" width="13.453125" hidden="1" customWidth="1"/>
    <col min="5" max="5" width="13.90625" hidden="1" customWidth="1"/>
    <col min="6" max="6" width="15.6328125" style="2" hidden="1" customWidth="1"/>
    <col min="7" max="7" width="26" customWidth="1"/>
    <col min="8" max="8" width="16.90625" customWidth="1"/>
    <col min="9" max="9" width="53.1796875" bestFit="1" customWidth="1"/>
    <col min="10" max="10" width="18" customWidth="1"/>
    <col min="11" max="11" width="20.453125" customWidth="1"/>
    <col min="12" max="12" width="15.90625" style="424" customWidth="1"/>
    <col min="13" max="13" width="13.36328125" style="2" customWidth="1"/>
    <col min="14" max="14" width="13.81640625" style="2" customWidth="1"/>
    <col min="15" max="15" width="12.7265625" style="161" customWidth="1"/>
  </cols>
  <sheetData>
    <row r="1" spans="1:16" s="381" customFormat="1" ht="45.5" customHeight="1">
      <c r="B1" s="390" t="s">
        <v>844</v>
      </c>
      <c r="C1" s="456" t="s">
        <v>757</v>
      </c>
      <c r="D1" s="456" t="s">
        <v>845</v>
      </c>
      <c r="E1" s="457" t="s">
        <v>847</v>
      </c>
      <c r="F1" s="471" t="s">
        <v>848</v>
      </c>
      <c r="G1" s="456" t="s">
        <v>31</v>
      </c>
      <c r="H1" s="458" t="s">
        <v>849</v>
      </c>
      <c r="I1" s="456" t="s">
        <v>850</v>
      </c>
      <c r="J1" s="456" t="s">
        <v>846</v>
      </c>
      <c r="K1" s="457" t="s">
        <v>38</v>
      </c>
      <c r="L1" s="472" t="s">
        <v>851</v>
      </c>
      <c r="M1" s="457" t="s">
        <v>831</v>
      </c>
      <c r="N1" s="457" t="s">
        <v>821</v>
      </c>
      <c r="O1" s="392" t="s">
        <v>851</v>
      </c>
    </row>
    <row r="2" spans="1:16" ht="16.5">
      <c r="B2" t="s">
        <v>852</v>
      </c>
      <c r="C2" s="459" t="str">
        <f>VLOOKUP(F2,[1]Assortment!$F:$AS,27,0)</f>
        <v>抽纸</v>
      </c>
      <c r="D2" s="459" t="s">
        <v>780</v>
      </c>
      <c r="E2" s="75">
        <v>2312</v>
      </c>
      <c r="F2" s="75" t="s">
        <v>195</v>
      </c>
      <c r="G2" s="460" t="s">
        <v>196</v>
      </c>
      <c r="H2" s="76" t="s">
        <v>195</v>
      </c>
      <c r="I2" s="76" t="str">
        <f>VLOOKUP(H2,[2]FMC!$A:$D,4,0)</f>
        <v>231216 舒洁马蹄莲盒面纸200抽3盒 FSC mix70%</v>
      </c>
      <c r="J2" s="76">
        <v>14014482</v>
      </c>
      <c r="K2" s="75" t="s">
        <v>853</v>
      </c>
      <c r="L2" s="473">
        <v>243.21306999999999</v>
      </c>
      <c r="M2" s="461">
        <v>10</v>
      </c>
      <c r="N2" s="461">
        <v>3</v>
      </c>
      <c r="O2" s="161">
        <v>243.21306999999999</v>
      </c>
      <c r="P2" s="369"/>
    </row>
    <row r="3" spans="1:16" ht="16.5">
      <c r="B3" t="s">
        <v>852</v>
      </c>
      <c r="C3" s="459" t="str">
        <f>VLOOKUP(F3,[1]Assortment!$F:$AS,27,0)</f>
        <v>手帕纸</v>
      </c>
      <c r="D3" s="459" t="s">
        <v>778</v>
      </c>
      <c r="E3" s="75">
        <v>2701</v>
      </c>
      <c r="F3" s="75" t="s">
        <v>227</v>
      </c>
      <c r="G3" s="460" t="s">
        <v>228</v>
      </c>
      <c r="H3" s="76" t="s">
        <v>227</v>
      </c>
      <c r="I3" s="76" t="str">
        <f>VLOOKUP(H3,[2]FMC!$A:$D,4,0)</f>
        <v>270190舒洁小熊印花手帕纸3层10包FSC mix70%</v>
      </c>
      <c r="J3" s="76">
        <v>14016871</v>
      </c>
      <c r="K3" s="75" t="s">
        <v>853</v>
      </c>
      <c r="L3" s="473">
        <v>208.46834000000001</v>
      </c>
      <c r="M3" s="461">
        <v>36</v>
      </c>
      <c r="N3" s="461">
        <v>10</v>
      </c>
      <c r="O3" s="161">
        <v>208.46834000000001</v>
      </c>
      <c r="P3" s="369"/>
    </row>
    <row r="4" spans="1:16" ht="16.5">
      <c r="B4" t="s">
        <v>852</v>
      </c>
      <c r="C4" s="459" t="str">
        <f>VLOOKUP(F4,[1]Assortment!$F:$AS,27,0)</f>
        <v>抽纸</v>
      </c>
      <c r="D4" s="459" t="s">
        <v>777</v>
      </c>
      <c r="E4" s="75">
        <v>2103</v>
      </c>
      <c r="F4" s="75" t="s">
        <v>172</v>
      </c>
      <c r="G4" s="460" t="s">
        <v>173</v>
      </c>
      <c r="H4" s="76" t="s">
        <v>172</v>
      </c>
      <c r="I4" s="76" t="str">
        <f>VLOOKUP(H4,[2]FMC!$A:$D,4,0)</f>
        <v>210390舒洁小熊印花抽纸3层80抽4包FSC mix70%</v>
      </c>
      <c r="J4" s="76">
        <v>14016868</v>
      </c>
      <c r="K4" s="75" t="s">
        <v>853</v>
      </c>
      <c r="L4" s="473">
        <v>287.22305</v>
      </c>
      <c r="M4" s="461">
        <v>24</v>
      </c>
      <c r="N4" s="461">
        <v>4</v>
      </c>
      <c r="O4" s="161">
        <v>287.22305</v>
      </c>
      <c r="P4" s="369"/>
    </row>
    <row r="5" spans="1:16" ht="16.5">
      <c r="B5" t="s">
        <v>852</v>
      </c>
      <c r="C5" s="459" t="str">
        <f>VLOOKUP(F5,[1]Assortment!$F:$AS,27,0)</f>
        <v>抽纸</v>
      </c>
      <c r="D5" s="459" t="s">
        <v>777</v>
      </c>
      <c r="E5" s="75">
        <v>2107</v>
      </c>
      <c r="F5" s="75" t="s">
        <v>187</v>
      </c>
      <c r="G5" s="460" t="s">
        <v>188</v>
      </c>
      <c r="H5" s="76" t="s">
        <v>187</v>
      </c>
      <c r="I5" s="76" t="str">
        <f>VLOOKUP(H5,[2]FMC!$A:$D,4,0)</f>
        <v>210761舒洁卡通系列抽纸200抽3包 FSC mix70%</v>
      </c>
      <c r="J5" s="76">
        <v>14014470</v>
      </c>
      <c r="K5" s="75" t="s">
        <v>853</v>
      </c>
      <c r="L5" s="473">
        <v>338.18198999999998</v>
      </c>
      <c r="M5" s="461">
        <v>20</v>
      </c>
      <c r="N5" s="461">
        <v>3</v>
      </c>
      <c r="O5" s="161">
        <v>338.18198999999998</v>
      </c>
      <c r="P5" s="369"/>
    </row>
    <row r="6" spans="1:16" ht="16.5">
      <c r="B6" t="s">
        <v>852</v>
      </c>
      <c r="C6" s="459" t="str">
        <f>VLOOKUP(F6,[1]Assortment!$F:$AS,27,0)</f>
        <v>抽纸</v>
      </c>
      <c r="D6" s="459" t="s">
        <v>777</v>
      </c>
      <c r="E6" s="75">
        <v>2148</v>
      </c>
      <c r="F6" s="75" t="s">
        <v>180</v>
      </c>
      <c r="G6" s="460" t="s">
        <v>181</v>
      </c>
      <c r="H6" s="76" t="s">
        <v>180</v>
      </c>
      <c r="I6" s="76" t="str">
        <f>VLOOKUP(H6,[2]FMC!$A:$D,4,0)</f>
        <v>214890舒洁小熊印花抽纸3层80抽16包FSC mix70%</v>
      </c>
      <c r="J6" s="76">
        <v>14016869</v>
      </c>
      <c r="K6" s="75" t="s">
        <v>853</v>
      </c>
      <c r="L6" s="473">
        <v>283.80122999999998</v>
      </c>
      <c r="M6" s="461">
        <v>6</v>
      </c>
      <c r="N6" s="461">
        <v>16</v>
      </c>
      <c r="O6" s="161">
        <v>283.80122999999998</v>
      </c>
      <c r="P6" s="369"/>
    </row>
    <row r="7" spans="1:16" ht="16.5">
      <c r="B7" t="s">
        <v>852</v>
      </c>
      <c r="C7" s="459" t="str">
        <f>VLOOKUP(F7,[1]Assortment!$F:$AS,27,0)</f>
        <v>乳霜纸</v>
      </c>
      <c r="D7" s="459" t="s">
        <v>777</v>
      </c>
      <c r="E7" s="75">
        <v>2152</v>
      </c>
      <c r="F7" s="75" t="s">
        <v>127</v>
      </c>
      <c r="G7" s="460" t="s">
        <v>128</v>
      </c>
      <c r="H7" s="76" t="s">
        <v>127</v>
      </c>
      <c r="I7" s="76" t="str">
        <f>VLOOKUP(H7,[2]FMC!$A:$D,4,0)</f>
        <v xml:space="preserve">215204舒洁鎏金系列乳霜纸巾40抽8包 </v>
      </c>
      <c r="J7" s="76">
        <v>14014940</v>
      </c>
      <c r="K7" s="75" t="s">
        <v>854</v>
      </c>
      <c r="L7" s="473">
        <v>105.788</v>
      </c>
      <c r="M7" s="461">
        <v>4</v>
      </c>
      <c r="N7" s="461">
        <v>8</v>
      </c>
      <c r="O7" s="161">
        <v>105.788</v>
      </c>
      <c r="P7" s="369"/>
    </row>
    <row r="8" spans="1:16" ht="16.5">
      <c r="B8" t="s">
        <v>852</v>
      </c>
      <c r="C8" s="459" t="str">
        <f>VLOOKUP(F8,[1]Assortment!$F:$AS,27,0)</f>
        <v>乳霜纸</v>
      </c>
      <c r="D8" s="459" t="s">
        <v>777</v>
      </c>
      <c r="E8" s="75">
        <v>2155</v>
      </c>
      <c r="F8" s="75" t="s">
        <v>136</v>
      </c>
      <c r="G8" s="460" t="s">
        <v>137</v>
      </c>
      <c r="H8" s="76" t="s">
        <v>136</v>
      </c>
      <c r="I8" s="76" t="str">
        <f>VLOOKUP(H8,[2]FMC!$A:$D,4,0)</f>
        <v>215503舒洁®北海道轻牛乳系列乳霜纸面巾40抽3包装</v>
      </c>
      <c r="J8" s="76">
        <v>14016306</v>
      </c>
      <c r="K8" s="75" t="s">
        <v>855</v>
      </c>
      <c r="L8" s="473">
        <v>222.4</v>
      </c>
      <c r="M8" s="461">
        <v>16</v>
      </c>
      <c r="N8" s="461">
        <v>3</v>
      </c>
      <c r="O8" s="161">
        <v>222.4</v>
      </c>
      <c r="P8" s="369"/>
    </row>
    <row r="9" spans="1:16" ht="16.5">
      <c r="B9" t="s">
        <v>852</v>
      </c>
      <c r="C9" s="459" t="str">
        <f>VLOOKUP(F9,[1]Assortment!$F:$AS,27,0)</f>
        <v>乳霜纸</v>
      </c>
      <c r="D9" s="459" t="s">
        <v>777</v>
      </c>
      <c r="E9" s="75">
        <v>2156</v>
      </c>
      <c r="F9" s="75" t="s">
        <v>143</v>
      </c>
      <c r="G9" s="460" t="s">
        <v>144</v>
      </c>
      <c r="H9" s="76" t="s">
        <v>143</v>
      </c>
      <c r="I9" s="76" t="str">
        <f>VLOOKUP(H9,[2]FMC!$A:$D,4,0)</f>
        <v>215610舒洁®北海道轻牛乳系列乳霜纸面巾100抽3包装</v>
      </c>
      <c r="J9" s="76">
        <v>14016307</v>
      </c>
      <c r="K9" s="75" t="s">
        <v>855</v>
      </c>
      <c r="L9" s="473">
        <v>215.4</v>
      </c>
      <c r="M9" s="461">
        <v>6</v>
      </c>
      <c r="N9" s="461">
        <v>3</v>
      </c>
      <c r="O9" s="161">
        <v>215.4</v>
      </c>
      <c r="P9" s="369"/>
    </row>
    <row r="10" spans="1:16" ht="16.5">
      <c r="B10" t="s">
        <v>852</v>
      </c>
      <c r="C10" s="459" t="str">
        <f>VLOOKUP(F10,[1]Assortment!$F:$AS,27,0)</f>
        <v>乳霜纸</v>
      </c>
      <c r="D10" s="459" t="s">
        <v>777</v>
      </c>
      <c r="E10" s="75">
        <v>2162</v>
      </c>
      <c r="F10" s="75" t="s">
        <v>150</v>
      </c>
      <c r="G10" s="460" t="s">
        <v>151</v>
      </c>
      <c r="H10" s="76" t="s">
        <v>150</v>
      </c>
      <c r="I10" s="76" t="str">
        <f>VLOOKUP(H10,[2]FMC!$A:$D,4,0)</f>
        <v>216208舒洁®北海道牛乳系列乳霜纸面巾20抽8包装</v>
      </c>
      <c r="J10" s="76">
        <v>14015110</v>
      </c>
      <c r="K10" s="75" t="s">
        <v>856</v>
      </c>
      <c r="L10" s="473">
        <v>100.4986</v>
      </c>
      <c r="M10" s="461">
        <v>4</v>
      </c>
      <c r="N10" s="461">
        <v>8</v>
      </c>
      <c r="O10" s="161">
        <v>100.4986</v>
      </c>
      <c r="P10" s="369"/>
    </row>
    <row r="11" spans="1:16" ht="16.5">
      <c r="B11" t="s">
        <v>852</v>
      </c>
      <c r="C11" s="459" t="str">
        <f>VLOOKUP(F11,[1]Assortment!$F:$AS,27,0)</f>
        <v>乳霜纸</v>
      </c>
      <c r="D11" s="459" t="s">
        <v>777</v>
      </c>
      <c r="E11" s="75">
        <v>2167</v>
      </c>
      <c r="F11" s="75" t="s">
        <v>157</v>
      </c>
      <c r="G11" s="460" t="s">
        <v>158</v>
      </c>
      <c r="H11" s="76" t="s">
        <v>157</v>
      </c>
      <c r="I11" s="76" t="str">
        <f>VLOOKUP(H11,[2]FMC!$A:$D,4,0)</f>
        <v>216710舒洁®牛乳系列乳霜纸面巾口袋包7抽10包装</v>
      </c>
      <c r="J11" s="76">
        <v>14016042</v>
      </c>
      <c r="K11" s="75" t="s">
        <v>856</v>
      </c>
      <c r="L11" s="473">
        <v>202.79999999999998</v>
      </c>
      <c r="M11" s="461">
        <v>12</v>
      </c>
      <c r="N11" s="461">
        <v>10</v>
      </c>
      <c r="O11" s="161">
        <v>202.79999999999998</v>
      </c>
      <c r="P11" s="369"/>
    </row>
    <row r="12" spans="1:16" ht="16.5">
      <c r="B12" t="s">
        <v>852</v>
      </c>
      <c r="C12" s="459" t="str">
        <f>VLOOKUP(F12,[1]Assortment!$F:$AS,27,0)</f>
        <v>乳霜纸</v>
      </c>
      <c r="D12" s="459" t="s">
        <v>777</v>
      </c>
      <c r="E12" s="75">
        <v>2168</v>
      </c>
      <c r="F12" s="75" t="s">
        <v>164</v>
      </c>
      <c r="G12" s="460" t="s">
        <v>165</v>
      </c>
      <c r="H12" s="76" t="s">
        <v>164</v>
      </c>
      <c r="I12" s="76" t="str">
        <f>VLOOKUP(H12,[2]FMC!$A:$D,4,0)</f>
        <v>216805舒洁®北海道牛乳系列乳霜纸面巾80抽5包装</v>
      </c>
      <c r="J12" s="76">
        <v>14015111</v>
      </c>
      <c r="K12" s="75" t="s">
        <v>856</v>
      </c>
      <c r="L12" s="473">
        <v>215.56800000000001</v>
      </c>
      <c r="M12" s="461">
        <v>3</v>
      </c>
      <c r="N12" s="461">
        <v>5</v>
      </c>
      <c r="O12" s="161">
        <v>215.56800000000001</v>
      </c>
      <c r="P12" s="369"/>
    </row>
    <row r="13" spans="1:16" ht="16.5">
      <c r="B13" t="s">
        <v>852</v>
      </c>
      <c r="C13" s="459" t="str">
        <f>VLOOKUP(F13,[1]Assortment!$F:$AS,27,0)</f>
        <v>乳霜纸</v>
      </c>
      <c r="D13" s="459" t="s">
        <v>777</v>
      </c>
      <c r="E13" s="75" t="s">
        <v>857</v>
      </c>
      <c r="F13" s="75" t="s">
        <v>857</v>
      </c>
      <c r="G13" s="460" t="s">
        <v>165</v>
      </c>
      <c r="H13" s="76" t="s">
        <v>857</v>
      </c>
      <c r="I13" s="76" t="s">
        <v>858</v>
      </c>
      <c r="J13" s="76">
        <v>14018015</v>
      </c>
      <c r="K13" s="75" t="s">
        <v>882</v>
      </c>
      <c r="L13" s="473">
        <v>431.13600000000002</v>
      </c>
      <c r="M13" s="461">
        <v>6</v>
      </c>
      <c r="N13" s="461">
        <v>5</v>
      </c>
      <c r="O13" s="161">
        <v>431.13600000000002</v>
      </c>
      <c r="P13" s="369"/>
    </row>
    <row r="14" spans="1:16" s="12" customFormat="1" ht="16.5">
      <c r="A14" s="393" t="s">
        <v>900</v>
      </c>
      <c r="B14" s="12" t="s">
        <v>852</v>
      </c>
      <c r="C14" s="459" t="str">
        <f>VLOOKUP(F14,[1]Assortment!$F:$AS,27,0)</f>
        <v>乳霜纸</v>
      </c>
      <c r="D14" s="462" t="s">
        <v>777</v>
      </c>
      <c r="E14" s="73">
        <v>2169</v>
      </c>
      <c r="F14" s="73" t="s">
        <v>680</v>
      </c>
      <c r="G14" s="460" t="s">
        <v>949</v>
      </c>
      <c r="H14" s="462" t="s">
        <v>883</v>
      </c>
      <c r="I14" s="462" t="str">
        <f>VLOOKUP(H14,[2]FMC!$A:$D,4,0)</f>
        <v>216900舒洁®北海道牛乳系列乳霜纸面巾80抽6包装</v>
      </c>
      <c r="J14" s="462">
        <v>14018125</v>
      </c>
      <c r="K14" s="73" t="s">
        <v>944</v>
      </c>
      <c r="L14" s="474">
        <v>431.13600000000002</v>
      </c>
      <c r="M14" s="461">
        <v>6</v>
      </c>
      <c r="N14" s="461">
        <v>6</v>
      </c>
      <c r="O14" s="394">
        <v>431.13600000000002</v>
      </c>
      <c r="P14" s="369"/>
    </row>
    <row r="15" spans="1:16" ht="16.5">
      <c r="B15" t="s">
        <v>852</v>
      </c>
      <c r="C15" s="459" t="str">
        <f>VLOOKUP(F15,[1]Assortment!$F:$AS,27,0)</f>
        <v>湿厕纸</v>
      </c>
      <c r="D15" s="459" t="s">
        <v>779</v>
      </c>
      <c r="E15" s="75">
        <v>2613</v>
      </c>
      <c r="F15" s="75" t="s">
        <v>244</v>
      </c>
      <c r="G15" s="460" t="s">
        <v>245</v>
      </c>
      <c r="H15" s="76" t="s">
        <v>244</v>
      </c>
      <c r="I15" s="76" t="str">
        <f>VLOOKUP(H15,[2]FMC!$A:$D,4,0)</f>
        <v xml:space="preserve">261300舒洁无香湿巾单包装 </v>
      </c>
      <c r="J15" s="76">
        <v>14004626</v>
      </c>
      <c r="K15" s="75" t="s">
        <v>853</v>
      </c>
      <c r="L15" s="473">
        <v>91.362830000000002</v>
      </c>
      <c r="M15" s="461">
        <v>30</v>
      </c>
      <c r="N15" s="461">
        <v>1</v>
      </c>
      <c r="O15" s="161">
        <v>91.362830000000002</v>
      </c>
      <c r="P15" s="369"/>
    </row>
    <row r="16" spans="1:16" ht="16.5">
      <c r="B16" t="s">
        <v>852</v>
      </c>
      <c r="C16" s="459" t="str">
        <f>VLOOKUP(F16,[1]Assortment!$F:$AS,27,0)</f>
        <v>洗脸巾</v>
      </c>
      <c r="D16" s="459" t="s">
        <v>859</v>
      </c>
      <c r="E16" s="75">
        <v>2530</v>
      </c>
      <c r="F16" s="75" t="s">
        <v>236</v>
      </c>
      <c r="G16" s="460" t="s">
        <v>237</v>
      </c>
      <c r="H16" s="76" t="s">
        <v>236</v>
      </c>
      <c r="I16" s="76" t="str">
        <f>VLOOKUP(H16,[2]FMC!$A:$D,4,0)</f>
        <v>253000舒洁蚕丝洗脸巾80抽3包装</v>
      </c>
      <c r="J16" s="76">
        <v>14015043</v>
      </c>
      <c r="K16" s="75" t="s">
        <v>853</v>
      </c>
      <c r="L16" s="473">
        <v>358.2</v>
      </c>
      <c r="M16" s="461">
        <v>6</v>
      </c>
      <c r="N16" s="461">
        <v>3</v>
      </c>
      <c r="O16" s="161">
        <v>358.2</v>
      </c>
      <c r="P16" s="369"/>
    </row>
    <row r="17" spans="1:16" ht="16.5">
      <c r="B17" t="s">
        <v>852</v>
      </c>
      <c r="C17" s="459" t="str">
        <f>VLOOKUP(F17,[1]Assortment!$F:$AS,27,0)</f>
        <v>湿厕纸</v>
      </c>
      <c r="D17" s="459" t="s">
        <v>860</v>
      </c>
      <c r="E17" s="75">
        <v>2655</v>
      </c>
      <c r="F17" s="75" t="s">
        <v>681</v>
      </c>
      <c r="G17" s="460" t="s">
        <v>97</v>
      </c>
      <c r="H17" s="76" t="s">
        <v>681</v>
      </c>
      <c r="I17" s="76" t="str">
        <f>VLOOKUP(H17,[2]FMC!$A:$D,4,0)</f>
        <v>265510舒洁湿厕纸7抽6包装</v>
      </c>
      <c r="J17" s="76">
        <v>14017863</v>
      </c>
      <c r="K17" s="75" t="s">
        <v>934</v>
      </c>
      <c r="L17" s="473">
        <v>179.2</v>
      </c>
      <c r="M17" s="461">
        <v>16</v>
      </c>
      <c r="N17" s="461">
        <v>6</v>
      </c>
      <c r="O17" s="161">
        <v>179.2</v>
      </c>
      <c r="P17" s="369"/>
    </row>
    <row r="18" spans="1:16" ht="16.5">
      <c r="B18" t="s">
        <v>852</v>
      </c>
      <c r="C18" s="459" t="str">
        <f>VLOOKUP(F18,[1]Assortment!$F:$AS,27,0)</f>
        <v>湿厕纸</v>
      </c>
      <c r="D18" s="459" t="s">
        <v>860</v>
      </c>
      <c r="E18" s="463">
        <v>2608</v>
      </c>
      <c r="F18" s="75" t="s">
        <v>861</v>
      </c>
      <c r="G18" s="460" t="s">
        <v>950</v>
      </c>
      <c r="H18" s="464" t="s">
        <v>884</v>
      </c>
      <c r="I18" s="465" t="str">
        <f>VLOOKUP(H18,[2]FMC!$A:$D,4,0)</f>
        <v>260800舒洁湿厕纸(65gsm)7抽6包装</v>
      </c>
      <c r="J18" s="464">
        <v>14018368</v>
      </c>
      <c r="K18" s="463" t="s">
        <v>935</v>
      </c>
      <c r="L18" s="473">
        <v>179.2</v>
      </c>
      <c r="M18" s="461">
        <v>16</v>
      </c>
      <c r="N18" s="461">
        <v>6</v>
      </c>
      <c r="O18" s="161">
        <v>179.2</v>
      </c>
      <c r="P18" s="369"/>
    </row>
    <row r="19" spans="1:16" s="12" customFormat="1" ht="16.5">
      <c r="A19" s="393" t="s">
        <v>900</v>
      </c>
      <c r="B19" s="12" t="s">
        <v>852</v>
      </c>
      <c r="C19" s="459" t="str">
        <f>VLOOKUP(F19,[1]Assortment!$F:$AS,27,0)</f>
        <v>湿厕纸</v>
      </c>
      <c r="D19" s="462" t="s">
        <v>860</v>
      </c>
      <c r="E19" s="466">
        <v>2609</v>
      </c>
      <c r="F19" s="73" t="s">
        <v>862</v>
      </c>
      <c r="G19" s="460" t="s">
        <v>951</v>
      </c>
      <c r="H19" s="467" t="s">
        <v>885</v>
      </c>
      <c r="I19" s="467" t="str">
        <f>VLOOKUP(H19,[2]FMC!$A:$D,4,0)</f>
        <v xml:space="preserve">260900舒洁湿厕纸(65gsm)8片x48包 </v>
      </c>
      <c r="J19" s="467">
        <v>14018377</v>
      </c>
      <c r="K19" s="466" t="s">
        <v>945</v>
      </c>
      <c r="L19" s="474">
        <v>102.4</v>
      </c>
      <c r="M19" s="461">
        <v>1</v>
      </c>
      <c r="N19" s="461">
        <v>48</v>
      </c>
      <c r="O19" s="394">
        <v>102.4</v>
      </c>
      <c r="P19" s="369"/>
    </row>
    <row r="20" spans="1:16" ht="16.5">
      <c r="B20" t="s">
        <v>852</v>
      </c>
      <c r="C20" s="459" t="str">
        <f>VLOOKUP(F20,[1]Assortment!$F:$AS,27,0)</f>
        <v>湿厕纸</v>
      </c>
      <c r="D20" s="459" t="s">
        <v>860</v>
      </c>
      <c r="E20" s="75">
        <v>2670</v>
      </c>
      <c r="F20" s="75" t="s">
        <v>551</v>
      </c>
      <c r="G20" s="460" t="s">
        <v>78</v>
      </c>
      <c r="H20" s="76" t="s">
        <v>551</v>
      </c>
      <c r="I20" s="76" t="str">
        <f>VLOOKUP(H20,[2]FMC!$A:$D,4,0)</f>
        <v>D267040舒洁湿厕纸旅行装10包装</v>
      </c>
      <c r="J20" s="76">
        <v>14017871</v>
      </c>
      <c r="K20" s="75" t="s">
        <v>936</v>
      </c>
      <c r="L20" s="473">
        <v>151.33000000000001</v>
      </c>
      <c r="M20" s="461">
        <v>4</v>
      </c>
      <c r="N20" s="461">
        <v>10</v>
      </c>
      <c r="O20" s="161">
        <v>151.33000000000001</v>
      </c>
      <c r="P20" s="369"/>
    </row>
    <row r="21" spans="1:16" ht="16.5">
      <c r="B21" t="s">
        <v>852</v>
      </c>
      <c r="C21" s="459" t="str">
        <f>VLOOKUP(F21,[1]Assortment!$F:$AS,27,0)</f>
        <v>湿厕纸</v>
      </c>
      <c r="D21" s="459" t="s">
        <v>860</v>
      </c>
      <c r="E21" s="463">
        <v>2610</v>
      </c>
      <c r="F21" s="75" t="s">
        <v>863</v>
      </c>
      <c r="G21" s="460" t="s">
        <v>952</v>
      </c>
      <c r="H21" s="464" t="s">
        <v>886</v>
      </c>
      <c r="I21" s="464" t="str">
        <f>VLOOKUP(H21,[2]FMC!$A:$D,4,0)</f>
        <v>261000舒洁湿厕纸(65gsm)旅行装10片x10包装</v>
      </c>
      <c r="J21" s="464">
        <v>14018369</v>
      </c>
      <c r="K21" s="463" t="s">
        <v>937</v>
      </c>
      <c r="L21" s="473">
        <v>151.33000000000001</v>
      </c>
      <c r="M21" s="461">
        <v>4</v>
      </c>
      <c r="N21" s="461">
        <v>10</v>
      </c>
      <c r="O21" s="161">
        <v>151.33000000000001</v>
      </c>
      <c r="P21" s="369"/>
    </row>
    <row r="22" spans="1:16" ht="16.5">
      <c r="B22" t="s">
        <v>852</v>
      </c>
      <c r="C22" s="459" t="str">
        <f>VLOOKUP(F22,[1]Assortment!$F:$AS,27,0)</f>
        <v>湿厕纸</v>
      </c>
      <c r="D22" s="459" t="s">
        <v>860</v>
      </c>
      <c r="E22" s="75">
        <v>2682</v>
      </c>
      <c r="F22" s="75" t="s">
        <v>118</v>
      </c>
      <c r="G22" s="460" t="s">
        <v>119</v>
      </c>
      <c r="H22" s="76" t="s">
        <v>118</v>
      </c>
      <c r="I22" s="76" t="str">
        <f>VLOOKUP(H22,[2]FMC!$A:$D,4,0)</f>
        <v>268220舒洁女性湿厕纸10包装</v>
      </c>
      <c r="J22" s="76">
        <v>14014250</v>
      </c>
      <c r="K22" s="75" t="s">
        <v>864</v>
      </c>
      <c r="L22" s="473">
        <v>255.40530999999999</v>
      </c>
      <c r="M22" s="461">
        <v>4</v>
      </c>
      <c r="N22" s="461">
        <v>10</v>
      </c>
      <c r="O22" s="161">
        <v>255.40530999999999</v>
      </c>
      <c r="P22" s="369"/>
    </row>
    <row r="23" spans="1:16" ht="16.5">
      <c r="B23" t="s">
        <v>852</v>
      </c>
      <c r="C23" s="459" t="str">
        <f>VLOOKUP(F23,[1]Assortment!$F:$AS,27,0)</f>
        <v>湿厕纸</v>
      </c>
      <c r="D23" s="459" t="s">
        <v>860</v>
      </c>
      <c r="E23" s="75">
        <v>2694</v>
      </c>
      <c r="F23" s="75" t="s">
        <v>19</v>
      </c>
      <c r="G23" s="460" t="s">
        <v>84</v>
      </c>
      <c r="H23" s="76" t="s">
        <v>19</v>
      </c>
      <c r="I23" s="76" t="str">
        <f>VLOOKUP(H23,[2]FMC!$A:$D,4,0)</f>
        <v xml:space="preserve">D269430舒洁湿厕纸家庭装40抽 </v>
      </c>
      <c r="J23" s="76">
        <v>14014247</v>
      </c>
      <c r="K23" s="75" t="s">
        <v>938</v>
      </c>
      <c r="L23" s="473">
        <v>367.52</v>
      </c>
      <c r="M23" s="461">
        <v>40</v>
      </c>
      <c r="N23" s="461">
        <v>1</v>
      </c>
      <c r="O23" s="161">
        <v>367.52197000000001</v>
      </c>
      <c r="P23" s="369"/>
    </row>
    <row r="24" spans="1:16" ht="16.5">
      <c r="B24" t="s">
        <v>852</v>
      </c>
      <c r="C24" s="459" t="str">
        <f>VLOOKUP(F24,[1]Assortment!$F:$AS,27,0)</f>
        <v>湿厕纸</v>
      </c>
      <c r="D24" s="459" t="s">
        <v>860</v>
      </c>
      <c r="E24" s="75">
        <v>2694</v>
      </c>
      <c r="F24" s="75" t="s">
        <v>559</v>
      </c>
      <c r="G24" s="460" t="s">
        <v>84</v>
      </c>
      <c r="H24" s="76" t="s">
        <v>559</v>
      </c>
      <c r="I24" s="76" t="str">
        <f>VLOOKUP(H24,[2]FMC!$A:$D,4,0)</f>
        <v xml:space="preserve">D269450舒洁湿厕纸家庭装40抽 </v>
      </c>
      <c r="J24" s="76">
        <v>14017864</v>
      </c>
      <c r="K24" s="75" t="s">
        <v>938</v>
      </c>
      <c r="L24" s="473">
        <v>367.52</v>
      </c>
      <c r="M24" s="461">
        <v>40</v>
      </c>
      <c r="N24" s="461">
        <v>1</v>
      </c>
      <c r="O24" s="161">
        <v>367.52</v>
      </c>
      <c r="P24" s="369"/>
    </row>
    <row r="25" spans="1:16" ht="16.5">
      <c r="B25" t="s">
        <v>852</v>
      </c>
      <c r="C25" s="459" t="str">
        <f>VLOOKUP(F25,[1]Assortment!$F:$AS,27,0)</f>
        <v>湿厕纸</v>
      </c>
      <c r="D25" s="459" t="s">
        <v>860</v>
      </c>
      <c r="E25" s="463">
        <v>2620</v>
      </c>
      <c r="F25" s="75" t="s">
        <v>865</v>
      </c>
      <c r="G25" s="460" t="s">
        <v>953</v>
      </c>
      <c r="H25" s="464" t="s">
        <v>887</v>
      </c>
      <c r="I25" s="464" t="str">
        <f>VLOOKUP(H25,[2]FMC!$A:$D,4,0)</f>
        <v xml:space="preserve">262000舒洁湿厕纸(65gsm)家庭装40抽 </v>
      </c>
      <c r="J25" s="464">
        <v>14018370</v>
      </c>
      <c r="K25" s="463" t="s">
        <v>939</v>
      </c>
      <c r="L25" s="473">
        <v>367.52</v>
      </c>
      <c r="M25" s="461">
        <v>40</v>
      </c>
      <c r="N25" s="461">
        <v>1</v>
      </c>
      <c r="O25" s="161">
        <v>367.52</v>
      </c>
      <c r="P25" s="369"/>
    </row>
    <row r="26" spans="1:16" ht="16.5">
      <c r="B26" t="s">
        <v>852</v>
      </c>
      <c r="C26" s="459" t="str">
        <f>VLOOKUP(F26,[1]Assortment!$F:$AS,27,0)</f>
        <v>湿厕纸</v>
      </c>
      <c r="D26" s="459" t="s">
        <v>860</v>
      </c>
      <c r="E26" s="75">
        <v>2694</v>
      </c>
      <c r="F26" s="75" t="s">
        <v>567</v>
      </c>
      <c r="G26" s="460" t="s">
        <v>90</v>
      </c>
      <c r="H26" s="76" t="s">
        <v>567</v>
      </c>
      <c r="I26" s="76" t="str">
        <f>VLOOKUP(H26,[2]FMC!$A:$D,4,0)</f>
        <v>D269460舒洁湿厕纸家庭装40抽10包装</v>
      </c>
      <c r="J26" s="76">
        <v>14017872</v>
      </c>
      <c r="K26" s="75" t="s">
        <v>938</v>
      </c>
      <c r="L26" s="473">
        <v>330.25</v>
      </c>
      <c r="M26" s="461">
        <v>4</v>
      </c>
      <c r="N26" s="461">
        <v>10</v>
      </c>
      <c r="O26" s="161">
        <v>330.25</v>
      </c>
      <c r="P26" s="369"/>
    </row>
    <row r="27" spans="1:16" ht="16.5">
      <c r="B27" t="s">
        <v>852</v>
      </c>
      <c r="C27" s="459" t="str">
        <f>VLOOKUP(F27,[1]Assortment!$F:$AS,27,0)</f>
        <v>湿厕纸</v>
      </c>
      <c r="D27" s="459" t="s">
        <v>860</v>
      </c>
      <c r="E27" s="463">
        <v>2624</v>
      </c>
      <c r="F27" s="75" t="s">
        <v>866</v>
      </c>
      <c r="G27" s="460" t="s">
        <v>954</v>
      </c>
      <c r="H27" s="464" t="s">
        <v>888</v>
      </c>
      <c r="I27" s="464" t="str">
        <f>VLOOKUP(H27,[2]FMC!$A:$D,4,0)</f>
        <v>262400舒洁湿厕纸(65gsm)家庭装40抽10包装</v>
      </c>
      <c r="J27" s="464">
        <v>14018371</v>
      </c>
      <c r="K27" s="463" t="s">
        <v>939</v>
      </c>
      <c r="L27" s="473">
        <v>330.25</v>
      </c>
      <c r="M27" s="461">
        <v>4</v>
      </c>
      <c r="N27" s="461">
        <v>10</v>
      </c>
      <c r="O27" s="161">
        <v>330.25</v>
      </c>
      <c r="P27" s="369"/>
    </row>
    <row r="28" spans="1:16" ht="16.5">
      <c r="B28" t="s">
        <v>852</v>
      </c>
      <c r="C28" s="459" t="str">
        <f>VLOOKUP(F28,[1]Assortment!$F:$AS,27,0)</f>
        <v>湿厕纸</v>
      </c>
      <c r="D28" s="459" t="s">
        <v>860</v>
      </c>
      <c r="E28" s="75">
        <v>2673</v>
      </c>
      <c r="F28" s="75" t="s">
        <v>104</v>
      </c>
      <c r="G28" s="460" t="s">
        <v>105</v>
      </c>
      <c r="H28" s="76" t="s">
        <v>104</v>
      </c>
      <c r="I28" s="76" t="str">
        <f>VLOOKUP(H28,[2]FMC!$A:$D,4,0)</f>
        <v xml:space="preserve">267300舒洁®山茶花系列湿巾（湿厕纸）60片 </v>
      </c>
      <c r="J28" s="76">
        <v>14016683</v>
      </c>
      <c r="K28" s="75" t="s">
        <v>867</v>
      </c>
      <c r="L28" s="473">
        <v>244.8</v>
      </c>
      <c r="M28" s="461">
        <v>24</v>
      </c>
      <c r="N28" s="461">
        <v>1</v>
      </c>
      <c r="O28" s="161">
        <v>244.8</v>
      </c>
      <c r="P28" s="369"/>
    </row>
    <row r="29" spans="1:16" ht="16.5">
      <c r="B29" t="s">
        <v>852</v>
      </c>
      <c r="C29" s="459" t="str">
        <f>VLOOKUP(F29,[1]Assortment!$F:$AS,27,0)</f>
        <v>湿厕纸</v>
      </c>
      <c r="D29" s="459" t="s">
        <v>860</v>
      </c>
      <c r="E29" s="75">
        <v>2674</v>
      </c>
      <c r="F29" s="75" t="s">
        <v>112</v>
      </c>
      <c r="G29" s="460" t="s">
        <v>105</v>
      </c>
      <c r="H29" s="76" t="s">
        <v>112</v>
      </c>
      <c r="I29" s="76" t="str">
        <f>VLOOKUP(H29,[2]FMC!$A:$D,4,0)</f>
        <v xml:space="preserve">267400舒洁®山茶花系列湿巾（湿厕纸）60片x4包 </v>
      </c>
      <c r="J29" s="76">
        <v>14016684</v>
      </c>
      <c r="K29" s="75" t="s">
        <v>867</v>
      </c>
      <c r="L29" s="473">
        <v>41.9</v>
      </c>
      <c r="M29" s="461">
        <v>1</v>
      </c>
      <c r="N29" s="461">
        <v>4</v>
      </c>
      <c r="O29" s="161">
        <v>41.9</v>
      </c>
      <c r="P29" s="369"/>
    </row>
    <row r="30" spans="1:16" ht="16.5">
      <c r="B30" t="s">
        <v>852</v>
      </c>
      <c r="C30" s="459" t="str">
        <f>VLOOKUP(F30,[1]Assortment!$F:$AS,27,0)</f>
        <v>湿厕纸</v>
      </c>
      <c r="D30" s="459" t="s">
        <v>860</v>
      </c>
      <c r="E30" s="75">
        <v>2660</v>
      </c>
      <c r="F30" s="75" t="s">
        <v>555</v>
      </c>
      <c r="G30" s="460" t="s">
        <v>48</v>
      </c>
      <c r="H30" s="76" t="s">
        <v>555</v>
      </c>
      <c r="I30" s="76" t="str">
        <f>VLOOKUP(H30,[2]FMC!$A:$D,4,0)</f>
        <v xml:space="preserve">266010舒洁湿厕纸80片 </v>
      </c>
      <c r="J30" s="76">
        <v>14017865</v>
      </c>
      <c r="K30" s="75" t="s">
        <v>868</v>
      </c>
      <c r="L30" s="473">
        <v>326.88</v>
      </c>
      <c r="M30" s="461">
        <v>24</v>
      </c>
      <c r="N30" s="461">
        <v>1</v>
      </c>
      <c r="O30" s="161">
        <v>326.88</v>
      </c>
      <c r="P30" s="369"/>
    </row>
    <row r="31" spans="1:16" ht="16.5">
      <c r="B31" t="s">
        <v>852</v>
      </c>
      <c r="C31" s="459" t="str">
        <f>VLOOKUP(F31,[1]Assortment!$F:$AS,27,0)</f>
        <v>湿厕纸</v>
      </c>
      <c r="D31" s="459" t="s">
        <v>860</v>
      </c>
      <c r="E31" s="463">
        <v>2634</v>
      </c>
      <c r="F31" s="75" t="s">
        <v>869</v>
      </c>
      <c r="G31" s="460" t="s">
        <v>955</v>
      </c>
      <c r="H31" s="464" t="s">
        <v>889</v>
      </c>
      <c r="I31" s="465" t="str">
        <f>VLOOKUP(H31,[2]FMC!$A:$D,4,0)</f>
        <v xml:space="preserve">263400舒洁湿厕纸(65gsm)80片 </v>
      </c>
      <c r="J31" s="464">
        <v>14018372</v>
      </c>
      <c r="K31" s="463" t="s">
        <v>940</v>
      </c>
      <c r="L31" s="473">
        <v>326.88</v>
      </c>
      <c r="M31" s="461">
        <v>24</v>
      </c>
      <c r="N31" s="461">
        <v>1</v>
      </c>
      <c r="O31" s="161">
        <v>326.88</v>
      </c>
      <c r="P31" s="369"/>
    </row>
    <row r="32" spans="1:16" ht="16.5">
      <c r="B32" t="s">
        <v>852</v>
      </c>
      <c r="C32" s="459" t="str">
        <f>VLOOKUP(F32,[1]Assortment!$F:$AS,27,0)</f>
        <v>湿厕纸</v>
      </c>
      <c r="D32" s="459" t="s">
        <v>860</v>
      </c>
      <c r="E32" s="75">
        <v>2661</v>
      </c>
      <c r="F32" s="75" t="s">
        <v>57</v>
      </c>
      <c r="G32" s="460" t="s">
        <v>58</v>
      </c>
      <c r="H32" s="76" t="s">
        <v>57</v>
      </c>
      <c r="I32" s="76" t="str">
        <f>VLOOKUP(H32,[2]FMC!$A:$D,4,0)</f>
        <v xml:space="preserve">D266100舒洁湿厕纸80片x3包 </v>
      </c>
      <c r="J32" s="76">
        <v>14014256</v>
      </c>
      <c r="K32" s="75" t="s">
        <v>940</v>
      </c>
      <c r="L32" s="473">
        <v>310.48</v>
      </c>
      <c r="M32" s="461">
        <v>8</v>
      </c>
      <c r="N32" s="461">
        <v>3</v>
      </c>
      <c r="O32" s="161">
        <v>310.48</v>
      </c>
      <c r="P32" s="369"/>
    </row>
    <row r="33" spans="1:16" ht="16.5">
      <c r="B33" t="s">
        <v>852</v>
      </c>
      <c r="C33" s="459" t="str">
        <f>VLOOKUP(F33,[1]Assortment!$F:$AS,27,0)</f>
        <v>湿厕纸</v>
      </c>
      <c r="D33" s="459" t="s">
        <v>860</v>
      </c>
      <c r="E33" s="75">
        <v>2661</v>
      </c>
      <c r="F33" s="75" t="s">
        <v>571</v>
      </c>
      <c r="G33" s="460" t="s">
        <v>58</v>
      </c>
      <c r="H33" s="468" t="s">
        <v>571</v>
      </c>
      <c r="I33" s="76" t="str">
        <f>VLOOKUP(H33,[2]FMC!$A:$D,4,0)</f>
        <v xml:space="preserve">266110舒洁湿厕纸80片x3包 </v>
      </c>
      <c r="J33" s="76">
        <v>14017866</v>
      </c>
      <c r="K33" s="75" t="s">
        <v>940</v>
      </c>
      <c r="L33" s="473">
        <v>310.48</v>
      </c>
      <c r="M33" s="461">
        <v>8</v>
      </c>
      <c r="N33" s="461">
        <v>3</v>
      </c>
      <c r="O33" s="161">
        <v>310.48</v>
      </c>
      <c r="P33" s="369"/>
    </row>
    <row r="34" spans="1:16" ht="16.5">
      <c r="B34" t="s">
        <v>852</v>
      </c>
      <c r="C34" s="459" t="s">
        <v>44</v>
      </c>
      <c r="D34" s="459" t="s">
        <v>860</v>
      </c>
      <c r="E34" s="463">
        <v>2635</v>
      </c>
      <c r="F34" s="75" t="s">
        <v>870</v>
      </c>
      <c r="G34" s="460" t="s">
        <v>946</v>
      </c>
      <c r="H34" s="464" t="s">
        <v>890</v>
      </c>
      <c r="I34" s="464" t="str">
        <f>VLOOKUP(H34,[2]FMC!$A:$D,4,0)</f>
        <v xml:space="preserve">263500舒洁湿厕纸(65gsm)80片x3包 </v>
      </c>
      <c r="J34" s="464">
        <v>14018373</v>
      </c>
      <c r="K34" s="463" t="s">
        <v>941</v>
      </c>
      <c r="L34" s="473">
        <v>310.48</v>
      </c>
      <c r="M34" s="461">
        <v>8</v>
      </c>
      <c r="N34" s="461">
        <v>3</v>
      </c>
      <c r="O34" s="161">
        <v>310.48</v>
      </c>
      <c r="P34" s="369"/>
    </row>
    <row r="35" spans="1:16" ht="16.5">
      <c r="B35" t="s">
        <v>852</v>
      </c>
      <c r="C35" s="459" t="str">
        <f>VLOOKUP(F35,[1]Assortment!$F:$AS,27,0)</f>
        <v>湿厕纸</v>
      </c>
      <c r="D35" s="459" t="s">
        <v>860</v>
      </c>
      <c r="E35" s="75">
        <v>2662</v>
      </c>
      <c r="F35" s="75" t="s">
        <v>563</v>
      </c>
      <c r="G35" s="460" t="s">
        <v>64</v>
      </c>
      <c r="H35" s="76" t="s">
        <v>563</v>
      </c>
      <c r="I35" s="76" t="str">
        <f>VLOOKUP(H35,[2]FMC!$A:$D,4,0)</f>
        <v xml:space="preserve">266210舒洁湿厕纸80片x6包 </v>
      </c>
      <c r="J35" s="76">
        <v>14017868</v>
      </c>
      <c r="K35" s="75" t="s">
        <v>868</v>
      </c>
      <c r="L35" s="473">
        <v>69.44</v>
      </c>
      <c r="M35" s="461">
        <v>1</v>
      </c>
      <c r="N35" s="461">
        <v>6</v>
      </c>
      <c r="O35" s="161">
        <v>69.44</v>
      </c>
      <c r="P35" s="369"/>
    </row>
    <row r="36" spans="1:16" ht="16.5">
      <c r="B36" t="s">
        <v>852</v>
      </c>
      <c r="C36" s="459" t="str">
        <f>VLOOKUP(F36,[1]Assortment!$F:$AS,27,0)</f>
        <v>湿厕纸</v>
      </c>
      <c r="D36" s="459" t="s">
        <v>860</v>
      </c>
      <c r="E36" s="463">
        <v>2636</v>
      </c>
      <c r="F36" s="75" t="s">
        <v>871</v>
      </c>
      <c r="G36" s="460" t="s">
        <v>956</v>
      </c>
      <c r="H36" s="464" t="s">
        <v>891</v>
      </c>
      <c r="I36" s="464" t="str">
        <f>VLOOKUP(H36,[2]FMC!$A:$D,4,0)</f>
        <v xml:space="preserve">263600舒洁湿厕纸(65gsm)80片x6包 </v>
      </c>
      <c r="J36" s="464">
        <v>14018374</v>
      </c>
      <c r="K36" s="463" t="s">
        <v>941</v>
      </c>
      <c r="L36" s="473">
        <v>69.44</v>
      </c>
      <c r="M36" s="461">
        <v>1</v>
      </c>
      <c r="N36" s="461">
        <v>6</v>
      </c>
      <c r="O36" s="161">
        <v>69.44</v>
      </c>
      <c r="P36" s="369"/>
    </row>
    <row r="37" spans="1:16" ht="16.5">
      <c r="B37" t="s">
        <v>852</v>
      </c>
      <c r="C37" s="459" t="str">
        <f>VLOOKUP(F37,[1]Assortment!$F:$AS,27,0)</f>
        <v>湿厕纸</v>
      </c>
      <c r="D37" s="459" t="s">
        <v>860</v>
      </c>
      <c r="E37" s="75">
        <v>2664</v>
      </c>
      <c r="F37" s="75" t="s">
        <v>608</v>
      </c>
      <c r="G37" s="460" t="s">
        <v>48</v>
      </c>
      <c r="H37" s="76" t="s">
        <v>608</v>
      </c>
      <c r="I37" s="76" t="str">
        <f>VLOOKUP(H37,[2]FMC!$A:$D,4,0)</f>
        <v>266410舒洁湿厕纸80片x8包(黄箱)</v>
      </c>
      <c r="J37" s="76">
        <v>14017869</v>
      </c>
      <c r="K37" s="75" t="s">
        <v>940</v>
      </c>
      <c r="L37" s="473">
        <v>92.6</v>
      </c>
      <c r="M37" s="461">
        <v>1</v>
      </c>
      <c r="N37" s="461">
        <v>8</v>
      </c>
      <c r="O37" s="161">
        <v>92.6</v>
      </c>
      <c r="P37" s="369"/>
    </row>
    <row r="38" spans="1:16" ht="16.5">
      <c r="B38" t="s">
        <v>852</v>
      </c>
      <c r="C38" s="459" t="s">
        <v>44</v>
      </c>
      <c r="D38" s="459" t="s">
        <v>860</v>
      </c>
      <c r="E38" s="463">
        <v>2637</v>
      </c>
      <c r="F38" s="75" t="s">
        <v>872</v>
      </c>
      <c r="G38" s="460" t="s">
        <v>947</v>
      </c>
      <c r="H38" s="464" t="s">
        <v>892</v>
      </c>
      <c r="I38" s="464" t="str">
        <f>VLOOKUP(H38,[2]FMC!$A:$D,4,0)</f>
        <v xml:space="preserve">263700舒洁湿厕纸(65gsm)80片x8包 </v>
      </c>
      <c r="J38" s="464">
        <v>14018375</v>
      </c>
      <c r="K38" s="463" t="s">
        <v>941</v>
      </c>
      <c r="L38" s="473">
        <v>92.6</v>
      </c>
      <c r="M38" s="461">
        <v>1</v>
      </c>
      <c r="N38" s="461">
        <v>8</v>
      </c>
      <c r="O38" s="161">
        <v>92.6</v>
      </c>
      <c r="P38" s="369"/>
    </row>
    <row r="39" spans="1:16" ht="16.5">
      <c r="B39" t="s">
        <v>852</v>
      </c>
      <c r="C39" s="459" t="s">
        <v>44</v>
      </c>
      <c r="D39" s="459" t="s">
        <v>860</v>
      </c>
      <c r="E39" s="75">
        <v>2665</v>
      </c>
      <c r="F39" s="75" t="s">
        <v>687</v>
      </c>
      <c r="G39" s="460" t="s">
        <v>48</v>
      </c>
      <c r="H39" s="76" t="s">
        <v>687</v>
      </c>
      <c r="I39" s="76" t="str">
        <f>VLOOKUP(H39,[2]FMC!$A:$D,4,0)</f>
        <v>D266510舒洁湿厕纸80片x10包-京东</v>
      </c>
      <c r="J39" s="76">
        <v>14017870</v>
      </c>
      <c r="K39" s="75" t="s">
        <v>940</v>
      </c>
      <c r="L39" s="473">
        <v>115.7</v>
      </c>
      <c r="M39" s="461">
        <v>1</v>
      </c>
      <c r="N39" s="461">
        <v>10</v>
      </c>
      <c r="O39" s="161">
        <v>115.7</v>
      </c>
      <c r="P39" s="369"/>
    </row>
    <row r="40" spans="1:16" ht="16.5">
      <c r="B40" t="s">
        <v>852</v>
      </c>
      <c r="C40" s="459" t="s">
        <v>44</v>
      </c>
      <c r="D40" s="459" t="s">
        <v>860</v>
      </c>
      <c r="E40" s="463">
        <v>2638</v>
      </c>
      <c r="F40" s="75" t="s">
        <v>873</v>
      </c>
      <c r="G40" s="460" t="s">
        <v>948</v>
      </c>
      <c r="H40" s="464" t="s">
        <v>893</v>
      </c>
      <c r="I40" s="464" t="str">
        <f>VLOOKUP(H40,[2]FMC!$A:$D,4,0)</f>
        <v xml:space="preserve">263800舒洁湿厕纸(65gsm)80片x10包 </v>
      </c>
      <c r="J40" s="464">
        <v>14018376</v>
      </c>
      <c r="K40" s="463" t="s">
        <v>941</v>
      </c>
      <c r="L40" s="473">
        <v>115.7</v>
      </c>
      <c r="M40" s="461">
        <v>1</v>
      </c>
      <c r="N40" s="461">
        <v>10</v>
      </c>
      <c r="O40" s="161">
        <v>115.7</v>
      </c>
      <c r="P40" s="369"/>
    </row>
    <row r="41" spans="1:16" ht="16.5">
      <c r="B41" t="s">
        <v>852</v>
      </c>
      <c r="C41" s="459" t="str">
        <f>VLOOKUP(F41,[1]Assortment!$F:$AS,27,0)</f>
        <v>湿厕纸</v>
      </c>
      <c r="D41" s="459" t="s">
        <v>860</v>
      </c>
      <c r="E41" s="75">
        <v>2666</v>
      </c>
      <c r="F41" s="75" t="s">
        <v>70</v>
      </c>
      <c r="G41" s="460" t="s">
        <v>71</v>
      </c>
      <c r="H41" s="76" t="s">
        <v>70</v>
      </c>
      <c r="I41" s="76" t="str">
        <f>VLOOKUP(H41,[2]FMC!$A:$D,4,0)</f>
        <v xml:space="preserve">266600舒洁湿厕纸100片x6包 </v>
      </c>
      <c r="J41" s="76">
        <v>14016486</v>
      </c>
      <c r="K41" s="75" t="s">
        <v>874</v>
      </c>
      <c r="L41" s="473">
        <v>86.8</v>
      </c>
      <c r="M41" s="461">
        <v>1</v>
      </c>
      <c r="N41" s="461">
        <v>1</v>
      </c>
      <c r="O41" s="161">
        <v>86.8</v>
      </c>
      <c r="P41" s="369"/>
    </row>
    <row r="42" spans="1:16" ht="16.5">
      <c r="A42" t="s">
        <v>898</v>
      </c>
      <c r="B42" t="s">
        <v>852</v>
      </c>
      <c r="C42" s="459" t="str">
        <f>VLOOKUP(F42,[1]Assortment!$F:$AS,27,0)</f>
        <v>湿厕纸</v>
      </c>
      <c r="D42" s="459" t="s">
        <v>860</v>
      </c>
      <c r="E42" s="469">
        <v>2653</v>
      </c>
      <c r="F42" s="75" t="s">
        <v>875</v>
      </c>
      <c r="G42" s="460" t="s">
        <v>957</v>
      </c>
      <c r="H42" s="470" t="s">
        <v>894</v>
      </c>
      <c r="I42" s="470" t="s">
        <v>876</v>
      </c>
      <c r="J42" s="470">
        <v>14018677</v>
      </c>
      <c r="K42" s="75" t="s">
        <v>942</v>
      </c>
      <c r="L42" s="473">
        <v>367.52</v>
      </c>
      <c r="M42" s="461">
        <v>40</v>
      </c>
      <c r="N42" s="461">
        <v>1</v>
      </c>
      <c r="O42" s="161">
        <v>367.52197000000001</v>
      </c>
      <c r="P42" s="369"/>
    </row>
    <row r="43" spans="1:16" ht="16.5">
      <c r="A43" t="s">
        <v>898</v>
      </c>
      <c r="B43" t="s">
        <v>852</v>
      </c>
      <c r="C43" s="459" t="str">
        <f>VLOOKUP(F43,[1]Assortment!$F:$AS,27,0)</f>
        <v>湿厕纸</v>
      </c>
      <c r="D43" s="459" t="s">
        <v>860</v>
      </c>
      <c r="E43" s="469">
        <v>2657</v>
      </c>
      <c r="F43" s="75" t="s">
        <v>877</v>
      </c>
      <c r="G43" s="460" t="s">
        <v>958</v>
      </c>
      <c r="H43" s="470" t="s">
        <v>895</v>
      </c>
      <c r="I43" s="470" t="s">
        <v>924</v>
      </c>
      <c r="J43" s="470">
        <v>14018689</v>
      </c>
      <c r="K43" s="75" t="s">
        <v>943</v>
      </c>
      <c r="L43" s="475">
        <v>326.88</v>
      </c>
      <c r="M43" s="461">
        <v>24</v>
      </c>
      <c r="N43" s="461">
        <v>1</v>
      </c>
      <c r="O43" s="161">
        <v>326.39999999999998</v>
      </c>
      <c r="P43" s="369"/>
    </row>
    <row r="44" spans="1:16" ht="16.5">
      <c r="A44" t="s">
        <v>898</v>
      </c>
      <c r="B44" t="s">
        <v>852</v>
      </c>
      <c r="C44" s="459" t="str">
        <f>VLOOKUP(F44,[1]Assortment!$F:$AS,27,0)</f>
        <v>湿厕纸</v>
      </c>
      <c r="D44" s="459" t="s">
        <v>860</v>
      </c>
      <c r="E44" s="469">
        <v>2658</v>
      </c>
      <c r="F44" s="75" t="s">
        <v>878</v>
      </c>
      <c r="G44" s="460" t="s">
        <v>959</v>
      </c>
      <c r="H44" s="470" t="s">
        <v>896</v>
      </c>
      <c r="I44" s="470" t="s">
        <v>879</v>
      </c>
      <c r="J44" s="470">
        <v>14018693</v>
      </c>
      <c r="K44" s="75" t="s">
        <v>943</v>
      </c>
      <c r="L44" s="473">
        <v>92.533333333333346</v>
      </c>
      <c r="M44" s="461">
        <v>1</v>
      </c>
      <c r="N44" s="461">
        <v>8</v>
      </c>
      <c r="O44" s="161">
        <v>92.533333333333346</v>
      </c>
      <c r="P44" s="369"/>
    </row>
    <row r="45" spans="1:16" ht="16.5">
      <c r="A45" t="s">
        <v>898</v>
      </c>
      <c r="B45" t="s">
        <v>852</v>
      </c>
      <c r="C45" s="459" t="str">
        <f>VLOOKUP(F45,[1]Assortment!$F:$AS,27,0)</f>
        <v>湿厕纸</v>
      </c>
      <c r="D45" s="459" t="s">
        <v>860</v>
      </c>
      <c r="E45" s="469">
        <v>2659</v>
      </c>
      <c r="F45" s="75" t="s">
        <v>880</v>
      </c>
      <c r="G45" s="460" t="s">
        <v>960</v>
      </c>
      <c r="H45" s="470" t="s">
        <v>897</v>
      </c>
      <c r="I45" s="470" t="s">
        <v>881</v>
      </c>
      <c r="J45" s="470">
        <v>14018675</v>
      </c>
      <c r="K45" s="75" t="s">
        <v>943</v>
      </c>
      <c r="L45" s="473">
        <v>115.66666666666669</v>
      </c>
      <c r="M45" s="461">
        <v>1</v>
      </c>
      <c r="N45" s="461">
        <v>10</v>
      </c>
      <c r="O45" s="161">
        <v>115.66666666666669</v>
      </c>
      <c r="P45" s="369"/>
    </row>
    <row r="46" spans="1:16" ht="16.5">
      <c r="B46" t="s">
        <v>852</v>
      </c>
      <c r="C46" s="459" t="str">
        <f>VLOOKUP(F46,[1]Assortment!$F:$AS,27,0)</f>
        <v>卷纸</v>
      </c>
      <c r="D46" s="459" t="s">
        <v>781</v>
      </c>
      <c r="E46" s="75">
        <v>2291</v>
      </c>
      <c r="F46" s="75" t="s">
        <v>219</v>
      </c>
      <c r="G46" s="460" t="s">
        <v>220</v>
      </c>
      <c r="H46" s="76" t="s">
        <v>219</v>
      </c>
      <c r="I46" s="76" t="str">
        <f>VLOOKUP(H46,[2]FMC!$A:$D,4,0)</f>
        <v xml:space="preserve">229160舒洁绿茶洋甘菊印花清香卷纸10粒 </v>
      </c>
      <c r="J46" s="76">
        <v>14014479</v>
      </c>
      <c r="K46" s="75" t="s">
        <v>853</v>
      </c>
      <c r="L46" s="473">
        <v>153.64888999999999</v>
      </c>
      <c r="M46" s="461">
        <v>5</v>
      </c>
      <c r="N46" s="461">
        <v>10</v>
      </c>
      <c r="O46" s="161">
        <v>153.64888999999999</v>
      </c>
      <c r="P46" s="369"/>
    </row>
    <row r="47" spans="1:16" ht="16.5">
      <c r="B47" t="s">
        <v>852</v>
      </c>
      <c r="C47" s="459" t="str">
        <f>VLOOKUP(F47,[1]Assortment!$F:$AS,27,0)</f>
        <v>卷纸</v>
      </c>
      <c r="D47" s="459" t="s">
        <v>781</v>
      </c>
      <c r="E47" s="75">
        <v>2216</v>
      </c>
      <c r="F47" s="75" t="s">
        <v>211</v>
      </c>
      <c r="G47" s="460" t="s">
        <v>212</v>
      </c>
      <c r="H47" s="76" t="s">
        <v>211</v>
      </c>
      <c r="I47" s="76" t="str">
        <f>VLOOKUP(H47,[2]FMC!$A:$D,4,0)</f>
        <v xml:space="preserve">221635舒洁卷纸3层纯白10粒（蓝色） </v>
      </c>
      <c r="J47" s="76">
        <v>14015861</v>
      </c>
      <c r="K47" s="75" t="s">
        <v>853</v>
      </c>
      <c r="L47" s="473">
        <v>240.89676</v>
      </c>
      <c r="M47" s="461">
        <v>10</v>
      </c>
      <c r="N47" s="461">
        <v>10</v>
      </c>
      <c r="O47" s="161">
        <v>240.89676</v>
      </c>
      <c r="P47" s="369"/>
    </row>
    <row r="48" spans="1:16">
      <c r="E48" s="389"/>
      <c r="F48" s="389"/>
      <c r="H48" s="388"/>
      <c r="I48" s="388"/>
      <c r="J48" s="388"/>
      <c r="K48" s="389"/>
      <c r="P48" s="369"/>
    </row>
  </sheetData>
  <autoFilter ref="A1:N48" xr:uid="{99ADD95D-9B95-4AA1-A3BF-B98582D48EED}"/>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172D4E-FB55-4A90-A147-7E7BDC034D16}">
  <dimension ref="A1:B54"/>
  <sheetViews>
    <sheetView tabSelected="1" topLeftCell="A40" workbookViewId="0">
      <selection activeCell="D11" sqref="D11"/>
    </sheetView>
  </sheetViews>
  <sheetFormatPr defaultRowHeight="14"/>
  <cols>
    <col min="1" max="1" width="17.1796875" style="2" customWidth="1"/>
    <col min="2" max="2" width="17" style="520" customWidth="1"/>
  </cols>
  <sheetData>
    <row r="1" spans="1:2">
      <c r="B1" s="516"/>
    </row>
    <row r="2" spans="1:2">
      <c r="A2" s="2" t="s">
        <v>977</v>
      </c>
      <c r="B2" s="518" t="s">
        <v>791</v>
      </c>
    </row>
    <row r="3" spans="1:2">
      <c r="A3" s="2" t="s">
        <v>977</v>
      </c>
      <c r="B3" s="518" t="s">
        <v>792</v>
      </c>
    </row>
    <row r="4" spans="1:2">
      <c r="A4" s="2" t="s">
        <v>977</v>
      </c>
      <c r="B4" s="518">
        <v>711</v>
      </c>
    </row>
    <row r="5" spans="1:2">
      <c r="A5" s="2" t="s">
        <v>1002</v>
      </c>
      <c r="B5" s="521" t="s">
        <v>983</v>
      </c>
    </row>
    <row r="6" spans="1:2">
      <c r="A6" s="2" t="s">
        <v>1002</v>
      </c>
      <c r="B6" s="521" t="s">
        <v>990</v>
      </c>
    </row>
    <row r="7" spans="1:2">
      <c r="A7" s="2" t="s">
        <v>1002</v>
      </c>
      <c r="B7" s="521" t="s">
        <v>995</v>
      </c>
    </row>
    <row r="8" spans="1:2">
      <c r="A8" s="2" t="s">
        <v>1002</v>
      </c>
      <c r="B8" s="523" t="s">
        <v>1004</v>
      </c>
    </row>
    <row r="9" spans="1:2">
      <c r="A9" s="2" t="s">
        <v>1002</v>
      </c>
      <c r="B9" s="523" t="s">
        <v>1005</v>
      </c>
    </row>
    <row r="10" spans="1:2">
      <c r="A10" s="2" t="s">
        <v>1002</v>
      </c>
      <c r="B10" s="526" t="s">
        <v>1006</v>
      </c>
    </row>
    <row r="11" spans="1:2">
      <c r="A11" s="2" t="s">
        <v>1002</v>
      </c>
      <c r="B11" s="523" t="s">
        <v>1007</v>
      </c>
    </row>
    <row r="12" spans="1:2">
      <c r="A12" s="2" t="s">
        <v>973</v>
      </c>
      <c r="B12" s="517" t="s">
        <v>961</v>
      </c>
    </row>
    <row r="13" spans="1:2">
      <c r="A13" s="2" t="s">
        <v>973</v>
      </c>
      <c r="B13" s="518" t="s">
        <v>962</v>
      </c>
    </row>
    <row r="14" spans="1:2">
      <c r="A14" s="2" t="s">
        <v>973</v>
      </c>
      <c r="B14" s="518" t="s">
        <v>963</v>
      </c>
    </row>
    <row r="15" spans="1:2">
      <c r="A15" s="2" t="s">
        <v>973</v>
      </c>
      <c r="B15" s="518" t="s">
        <v>964</v>
      </c>
    </row>
    <row r="16" spans="1:2">
      <c r="A16" s="2" t="s">
        <v>973</v>
      </c>
      <c r="B16" s="518" t="s">
        <v>965</v>
      </c>
    </row>
    <row r="17" spans="1:2">
      <c r="A17" s="2" t="s">
        <v>973</v>
      </c>
      <c r="B17" s="518" t="s">
        <v>966</v>
      </c>
    </row>
    <row r="18" spans="1:2">
      <c r="A18" s="2" t="s">
        <v>973</v>
      </c>
      <c r="B18" s="518" t="s">
        <v>967</v>
      </c>
    </row>
    <row r="19" spans="1:2">
      <c r="A19" s="2" t="s">
        <v>973</v>
      </c>
      <c r="B19" s="518" t="s">
        <v>841</v>
      </c>
    </row>
    <row r="20" spans="1:2">
      <c r="A20" s="2" t="s">
        <v>973</v>
      </c>
      <c r="B20" s="518" t="s">
        <v>968</v>
      </c>
    </row>
    <row r="21" spans="1:2">
      <c r="A21" s="2" t="s">
        <v>973</v>
      </c>
      <c r="B21" s="518" t="s">
        <v>969</v>
      </c>
    </row>
    <row r="22" spans="1:2">
      <c r="A22" s="2" t="s">
        <v>973</v>
      </c>
      <c r="B22" s="518" t="s">
        <v>970</v>
      </c>
    </row>
    <row r="23" spans="1:2">
      <c r="A23" s="2" t="s">
        <v>973</v>
      </c>
      <c r="B23" s="518" t="s">
        <v>971</v>
      </c>
    </row>
    <row r="24" spans="1:2">
      <c r="A24" s="2" t="s">
        <v>974</v>
      </c>
      <c r="B24" s="518" t="s">
        <v>972</v>
      </c>
    </row>
    <row r="25" spans="1:2">
      <c r="A25" s="2" t="s">
        <v>974</v>
      </c>
      <c r="B25" s="518" t="s">
        <v>1000</v>
      </c>
    </row>
    <row r="26" spans="1:2">
      <c r="A26" s="2" t="s">
        <v>978</v>
      </c>
      <c r="B26" s="522" t="s">
        <v>788</v>
      </c>
    </row>
    <row r="27" spans="1:2">
      <c r="A27" s="2" t="s">
        <v>978</v>
      </c>
      <c r="B27" s="522" t="s">
        <v>979</v>
      </c>
    </row>
    <row r="28" spans="1:2">
      <c r="A28" s="2" t="s">
        <v>978</v>
      </c>
      <c r="B28" s="522" t="s">
        <v>789</v>
      </c>
    </row>
    <row r="29" spans="1:2">
      <c r="A29" s="2" t="s">
        <v>978</v>
      </c>
      <c r="B29" s="522" t="s">
        <v>975</v>
      </c>
    </row>
    <row r="30" spans="1:2">
      <c r="A30" s="2" t="s">
        <v>978</v>
      </c>
      <c r="B30" s="522" t="s">
        <v>790</v>
      </c>
    </row>
    <row r="31" spans="1:2">
      <c r="A31" s="2" t="s">
        <v>978</v>
      </c>
      <c r="B31" s="519" t="s">
        <v>980</v>
      </c>
    </row>
    <row r="32" spans="1:2">
      <c r="A32" s="2" t="s">
        <v>978</v>
      </c>
      <c r="B32" s="519" t="s">
        <v>789</v>
      </c>
    </row>
    <row r="33" spans="1:2">
      <c r="A33" s="2" t="s">
        <v>978</v>
      </c>
      <c r="B33" s="519" t="s">
        <v>979</v>
      </c>
    </row>
    <row r="34" spans="1:2">
      <c r="A34" s="2" t="s">
        <v>978</v>
      </c>
      <c r="B34" s="519" t="s">
        <v>984</v>
      </c>
    </row>
    <row r="35" spans="1:2">
      <c r="A35" s="2" t="s">
        <v>1001</v>
      </c>
      <c r="B35" s="524" t="s">
        <v>981</v>
      </c>
    </row>
    <row r="36" spans="1:2">
      <c r="A36" s="2" t="s">
        <v>1001</v>
      </c>
      <c r="B36" s="525" t="s">
        <v>787</v>
      </c>
    </row>
    <row r="37" spans="1:2">
      <c r="A37" s="2" t="s">
        <v>1001</v>
      </c>
      <c r="B37" s="524" t="s">
        <v>982</v>
      </c>
    </row>
    <row r="38" spans="1:2">
      <c r="A38" s="2" t="s">
        <v>1001</v>
      </c>
      <c r="B38" s="524" t="s">
        <v>788</v>
      </c>
    </row>
    <row r="39" spans="1:2">
      <c r="A39" s="2" t="s">
        <v>1001</v>
      </c>
      <c r="B39" s="524" t="s">
        <v>985</v>
      </c>
    </row>
    <row r="40" spans="1:2">
      <c r="A40" s="2" t="s">
        <v>1001</v>
      </c>
      <c r="B40" s="524" t="s">
        <v>986</v>
      </c>
    </row>
    <row r="41" spans="1:2">
      <c r="A41" s="2" t="s">
        <v>1001</v>
      </c>
      <c r="B41" s="524" t="s">
        <v>987</v>
      </c>
    </row>
    <row r="42" spans="1:2">
      <c r="A42" s="2" t="s">
        <v>1001</v>
      </c>
      <c r="B42" s="524" t="s">
        <v>988</v>
      </c>
    </row>
    <row r="43" spans="1:2">
      <c r="A43" s="2" t="s">
        <v>1001</v>
      </c>
      <c r="B43" s="524" t="s">
        <v>989</v>
      </c>
    </row>
    <row r="44" spans="1:2">
      <c r="A44" s="2" t="s">
        <v>1001</v>
      </c>
      <c r="B44" s="524" t="s">
        <v>991</v>
      </c>
    </row>
    <row r="45" spans="1:2">
      <c r="A45" s="2" t="s">
        <v>1001</v>
      </c>
      <c r="B45" s="524" t="s">
        <v>992</v>
      </c>
    </row>
    <row r="46" spans="1:2">
      <c r="A46" s="2" t="s">
        <v>1001</v>
      </c>
      <c r="B46" s="524" t="s">
        <v>994</v>
      </c>
    </row>
    <row r="47" spans="1:2">
      <c r="A47" s="2" t="s">
        <v>1001</v>
      </c>
      <c r="B47" s="524" t="s">
        <v>996</v>
      </c>
    </row>
    <row r="48" spans="1:2">
      <c r="A48" s="2" t="s">
        <v>1001</v>
      </c>
      <c r="B48" s="524" t="s">
        <v>997</v>
      </c>
    </row>
    <row r="49" spans="1:2">
      <c r="A49" s="2" t="s">
        <v>1001</v>
      </c>
      <c r="B49" s="524" t="s">
        <v>998</v>
      </c>
    </row>
    <row r="50" spans="1:2">
      <c r="A50" s="2" t="s">
        <v>1001</v>
      </c>
      <c r="B50" s="524" t="s">
        <v>999</v>
      </c>
    </row>
    <row r="51" spans="1:2">
      <c r="A51" s="2" t="s">
        <v>1001</v>
      </c>
      <c r="B51" s="524" t="s">
        <v>1003</v>
      </c>
    </row>
    <row r="52" spans="1:2">
      <c r="A52" s="2" t="s">
        <v>976</v>
      </c>
      <c r="B52" s="522" t="s">
        <v>902</v>
      </c>
    </row>
    <row r="53" spans="1:2">
      <c r="A53" s="2" t="s">
        <v>976</v>
      </c>
      <c r="B53" s="522" t="s">
        <v>903</v>
      </c>
    </row>
    <row r="54" spans="1:2">
      <c r="A54" s="2" t="s">
        <v>976</v>
      </c>
      <c r="B54" s="524" t="s">
        <v>993</v>
      </c>
    </row>
  </sheetData>
  <autoFilter ref="A1:B1" xr:uid="{CA172D4E-FB55-4A90-A147-7E7BDC034D16}">
    <sortState xmlns:xlrd2="http://schemas.microsoft.com/office/spreadsheetml/2017/richdata2" ref="A2:B54">
      <sortCondition ref="A1"/>
    </sortState>
  </autoFilter>
  <conditionalFormatting sqref="B31:B43">
    <cfRule type="duplicateValues" dxfId="55" priority="3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F47CC-8085-4343-B3A1-B487538BC752}">
  <dimension ref="B1:AL196"/>
  <sheetViews>
    <sheetView zoomScale="64" zoomScaleNormal="64" workbookViewId="0">
      <selection activeCell="N5" sqref="N5"/>
    </sheetView>
  </sheetViews>
  <sheetFormatPr defaultRowHeight="14" outlineLevelCol="1"/>
  <cols>
    <col min="1" max="1" width="7.1796875" customWidth="1"/>
    <col min="2" max="2" width="13.81640625" style="47" customWidth="1"/>
    <col min="3" max="3" width="13.26953125" style="47" customWidth="1"/>
    <col min="4" max="4" width="47.26953125" customWidth="1"/>
    <col min="5" max="6" width="8.6328125" style="2"/>
    <col min="7" max="7" width="14.453125" style="272" customWidth="1"/>
    <col min="8" max="8" width="12.90625" style="272" customWidth="1"/>
    <col min="9" max="9" width="11.36328125" style="5" customWidth="1"/>
    <col min="10" max="10" width="13.36328125" style="281" hidden="1" customWidth="1" outlineLevel="1"/>
    <col min="11" max="11" width="10.1796875" style="281" hidden="1" customWidth="1" outlineLevel="1"/>
    <col min="12" max="12" width="17.6328125" style="281" hidden="1" customWidth="1" outlineLevel="1"/>
    <col min="13" max="13" width="15.1796875" style="281" hidden="1" customWidth="1" outlineLevel="1"/>
    <col min="14" max="14" width="11.26953125" style="281" customWidth="1" outlineLevel="1"/>
    <col min="15" max="15" width="16.26953125" style="281" customWidth="1" outlineLevel="1"/>
    <col min="16" max="16" width="11.453125" style="281" customWidth="1" outlineLevel="1"/>
    <col min="17" max="17" width="12.36328125" style="281" customWidth="1" outlineLevel="1"/>
    <col min="18" max="18" width="10.1796875" style="47" customWidth="1"/>
    <col min="19" max="19" width="8.6328125" style="281" customWidth="1" outlineLevel="1"/>
    <col min="20" max="20" width="10" style="281" customWidth="1" outlineLevel="1"/>
    <col min="21" max="21" width="9" style="281" customWidth="1" outlineLevel="1"/>
    <col min="22" max="22" width="9" customWidth="1"/>
    <col min="23" max="23" width="11.08984375" style="161" customWidth="1"/>
    <col min="24" max="24" width="8.7265625" style="356" customWidth="1"/>
    <col min="25" max="25" width="8.7265625" customWidth="1"/>
    <col min="26" max="26" width="11.08984375" style="47" customWidth="1"/>
    <col min="27" max="27" width="8.7265625" style="47" customWidth="1"/>
    <col min="29" max="29" width="13.1796875" customWidth="1"/>
    <col min="31" max="31" width="13.6328125" customWidth="1"/>
    <col min="32" max="32" width="13.453125" customWidth="1"/>
    <col min="33" max="33" width="14.1796875" customWidth="1"/>
    <col min="35" max="35" width="9.90625" hidden="1" customWidth="1"/>
    <col min="36" max="36" width="14.453125" hidden="1" customWidth="1"/>
    <col min="37" max="37" width="0" hidden="1" customWidth="1"/>
    <col min="38" max="38" width="10" hidden="1" customWidth="1"/>
  </cols>
  <sheetData>
    <row r="1" spans="2:38">
      <c r="B1" s="286" t="s">
        <v>255</v>
      </c>
      <c r="C1" s="286" t="s">
        <v>255</v>
      </c>
      <c r="D1" s="1" t="s">
        <v>22</v>
      </c>
      <c r="E1" s="1" t="s">
        <v>22</v>
      </c>
      <c r="F1" s="1" t="s">
        <v>22</v>
      </c>
      <c r="G1" s="287" t="s">
        <v>22</v>
      </c>
      <c r="H1" s="287" t="s">
        <v>22</v>
      </c>
      <c r="I1" s="288" t="s">
        <v>620</v>
      </c>
      <c r="J1" s="321">
        <f t="shared" ref="J1:R1" si="0">SUM(J3:J26)</f>
        <v>78.54143925408259</v>
      </c>
      <c r="K1" s="321">
        <f t="shared" si="0"/>
        <v>88.75182635711333</v>
      </c>
      <c r="L1" s="321"/>
      <c r="M1" s="321"/>
      <c r="N1" s="321">
        <f t="shared" si="0"/>
        <v>87.885939328116663</v>
      </c>
      <c r="O1" s="321">
        <f t="shared" si="0"/>
        <v>90.522517507960146</v>
      </c>
      <c r="P1" s="321">
        <f t="shared" si="0"/>
        <v>77.775167547005907</v>
      </c>
      <c r="Q1" s="321"/>
      <c r="R1" s="328">
        <f t="shared" si="0"/>
        <v>90.517717507960143</v>
      </c>
      <c r="S1" s="289" t="s">
        <v>631</v>
      </c>
      <c r="T1" s="289" t="s">
        <v>631</v>
      </c>
      <c r="U1" s="289" t="s">
        <v>631</v>
      </c>
      <c r="V1" s="290" t="s">
        <v>624</v>
      </c>
      <c r="W1" s="290" t="s">
        <v>624</v>
      </c>
      <c r="X1" s="354" t="s">
        <v>624</v>
      </c>
      <c r="Y1" s="290" t="s">
        <v>624</v>
      </c>
      <c r="Z1" s="329" t="s">
        <v>653</v>
      </c>
      <c r="AA1" s="329" t="s">
        <v>653</v>
      </c>
      <c r="AB1" s="322"/>
      <c r="AC1" s="322" t="s">
        <v>811</v>
      </c>
      <c r="AD1" s="322" t="s">
        <v>653</v>
      </c>
      <c r="AE1" s="322" t="s">
        <v>653</v>
      </c>
      <c r="AI1" s="2" t="s">
        <v>270</v>
      </c>
      <c r="AJ1" s="2" t="s">
        <v>270</v>
      </c>
    </row>
    <row r="2" spans="2:38" s="308" customFormat="1" ht="56">
      <c r="B2" s="309" t="s">
        <v>0</v>
      </c>
      <c r="C2" s="310" t="s">
        <v>5</v>
      </c>
      <c r="D2" s="33" t="s">
        <v>4</v>
      </c>
      <c r="E2" s="33" t="s">
        <v>6</v>
      </c>
      <c r="F2" s="33" t="s">
        <v>254</v>
      </c>
      <c r="G2" s="311" t="s">
        <v>252</v>
      </c>
      <c r="H2" s="312" t="s">
        <v>10</v>
      </c>
      <c r="I2" s="313" t="s">
        <v>621</v>
      </c>
      <c r="J2" s="337" t="s">
        <v>657</v>
      </c>
      <c r="K2" s="337" t="s">
        <v>638</v>
      </c>
      <c r="L2" s="373" t="s">
        <v>809</v>
      </c>
      <c r="M2" s="373" t="s">
        <v>677</v>
      </c>
      <c r="N2" s="338" t="s">
        <v>641</v>
      </c>
      <c r="O2" s="338" t="s">
        <v>658</v>
      </c>
      <c r="P2" s="338" t="s">
        <v>640</v>
      </c>
      <c r="Q2" s="339" t="s">
        <v>659</v>
      </c>
      <c r="R2" s="314" t="s">
        <v>810</v>
      </c>
      <c r="S2" s="315" t="s">
        <v>625</v>
      </c>
      <c r="T2" s="316" t="s">
        <v>626</v>
      </c>
      <c r="U2" s="316" t="s">
        <v>627</v>
      </c>
      <c r="V2" s="317" t="s">
        <v>1</v>
      </c>
      <c r="W2" s="287" t="s">
        <v>628</v>
      </c>
      <c r="X2" s="366" t="s">
        <v>679</v>
      </c>
      <c r="Y2" s="366" t="s">
        <v>746</v>
      </c>
      <c r="Z2" s="330" t="s">
        <v>629</v>
      </c>
      <c r="AA2" s="331" t="s">
        <v>630</v>
      </c>
      <c r="AB2" s="323"/>
      <c r="AC2" s="287" t="s">
        <v>628</v>
      </c>
      <c r="AD2" s="318" t="s">
        <v>652</v>
      </c>
      <c r="AE2" s="326" t="s">
        <v>649</v>
      </c>
      <c r="AF2" s="326" t="s">
        <v>650</v>
      </c>
      <c r="AG2" s="334" t="s">
        <v>651</v>
      </c>
      <c r="AH2" s="319"/>
      <c r="AI2" s="320" t="s">
        <v>632</v>
      </c>
      <c r="AJ2" s="320" t="s">
        <v>633</v>
      </c>
      <c r="AK2" s="336" t="s">
        <v>654</v>
      </c>
      <c r="AL2" s="2" t="s">
        <v>655</v>
      </c>
    </row>
    <row r="3" spans="2:38">
      <c r="B3" s="304" t="s">
        <v>644</v>
      </c>
      <c r="C3" s="284" t="s">
        <v>493</v>
      </c>
      <c r="D3" s="301" t="str">
        <f>VLOOKUP($C3,[1]Assortment!$F:$BA,5,0)</f>
        <v>270190舒洁小熊印花手帕纸3层10包FSC mix70%</v>
      </c>
      <c r="E3" s="1">
        <f>VLOOKUP($C3,[1]Assortment!$F:$AM,7,0)</f>
        <v>36</v>
      </c>
      <c r="F3" s="1">
        <f>VLOOKUP($C3,[1]Assortment!$F:$AM,31,0)</f>
        <v>360</v>
      </c>
      <c r="G3" s="291">
        <f>VLOOKUP($C3,[1]Assortment!$F:$AM,14,0)</f>
        <v>208.46834000000001</v>
      </c>
      <c r="H3" s="287">
        <f>G3/E3</f>
        <v>5.7907872222222228</v>
      </c>
      <c r="I3" s="286">
        <v>1</v>
      </c>
      <c r="J3" s="300">
        <v>0.38649421471976403</v>
      </c>
      <c r="K3" s="300">
        <f>J3*1.13</f>
        <v>0.43673846263333332</v>
      </c>
      <c r="L3" s="300">
        <v>0.39</v>
      </c>
      <c r="M3" s="300">
        <f>L3*1.03</f>
        <v>0.4017</v>
      </c>
      <c r="N3" s="327">
        <v>0.39</v>
      </c>
      <c r="O3" s="300">
        <f>N3*1.03</f>
        <v>0.4017</v>
      </c>
      <c r="P3" s="300">
        <f>N3/1.13</f>
        <v>0.3451327433628319</v>
      </c>
      <c r="Q3" s="300">
        <f>P3-J3</f>
        <v>-4.1361471356932134E-2</v>
      </c>
      <c r="R3" s="298">
        <f>O3</f>
        <v>0.4017</v>
      </c>
      <c r="S3" s="293"/>
      <c r="T3" s="294"/>
      <c r="U3" s="295"/>
      <c r="V3" s="148">
        <f>G3*I3</f>
        <v>208.46834000000001</v>
      </c>
      <c r="W3" s="296">
        <f>R3*F3*I3/1.13</f>
        <v>127.97522123893806</v>
      </c>
      <c r="X3" s="355">
        <f>'25年版cogs'!F4</f>
        <v>0.42397103094004412</v>
      </c>
      <c r="Y3" s="365">
        <f>'25年版cogs'!G4</f>
        <v>2.5426166846564392E-2</v>
      </c>
      <c r="Z3" s="332">
        <f>W3-V3*(X3+Y3)</f>
        <v>34.290133415712106</v>
      </c>
      <c r="AA3" s="333">
        <f>Z3/W3</f>
        <v>0.26794353691086964</v>
      </c>
      <c r="AB3" s="325"/>
      <c r="AC3" s="296">
        <f>P3*F3*I3</f>
        <v>124.24778761061948</v>
      </c>
      <c r="AD3" s="296">
        <f>AC3-V3*(X3+Y3)</f>
        <v>30.562699787393527</v>
      </c>
      <c r="AE3" s="143">
        <f>AD3/AC3</f>
        <v>0.24598184301819573</v>
      </c>
      <c r="AF3" s="143">
        <v>2.7504778958902656E-2</v>
      </c>
      <c r="AG3" s="143">
        <v>1.7999999999999999E-2</v>
      </c>
      <c r="AH3" s="151">
        <f>SUM(AG3:AG26)</f>
        <v>0.99974101219923694</v>
      </c>
      <c r="AI3" s="31">
        <f>R3*F3/0.966/1.13</f>
        <v>132.4795250920684</v>
      </c>
      <c r="AJ3" s="31">
        <f>(G3-AI3)*1000</f>
        <v>75988.814907931606</v>
      </c>
      <c r="AK3" s="335">
        <v>1.3409999999999991</v>
      </c>
      <c r="AL3" s="246">
        <f t="shared" ref="AL3:AL34" si="1">AK3*G3</f>
        <v>279.55604393999982</v>
      </c>
    </row>
    <row r="4" spans="2:38">
      <c r="B4" s="304" t="s">
        <v>644</v>
      </c>
      <c r="C4" s="284" t="s">
        <v>8</v>
      </c>
      <c r="D4" s="306" t="str">
        <f>VLOOKUP($C4,[1]Assortment!$F:$BA,5,0)</f>
        <v>269440舒洁湿厕纸家庭装40抽10包装</v>
      </c>
      <c r="E4" s="1">
        <f>VLOOKUP($C4,[1]Assortment!$F:$AM,7,0)</f>
        <v>4</v>
      </c>
      <c r="F4" s="1">
        <f>VLOOKUP($C4,[1]Assortment!$F:$AM,31,0)</f>
        <v>40</v>
      </c>
      <c r="G4" s="291">
        <f>VLOOKUP($C4,[1]Assortment!$F:$AM,14,0)</f>
        <v>330.25</v>
      </c>
      <c r="H4" s="287">
        <f t="shared" ref="H4:H5" si="2">G4/E4</f>
        <v>82.5625</v>
      </c>
      <c r="I4" s="286">
        <v>1</v>
      </c>
      <c r="J4" s="300">
        <v>2.7785182653097342</v>
      </c>
      <c r="K4" s="300">
        <f t="shared" ref="K4:K66" si="3">J4*1.13</f>
        <v>3.1397256397999995</v>
      </c>
      <c r="L4" s="300">
        <v>3.65</v>
      </c>
      <c r="M4" s="300">
        <f t="shared" ref="M4:M26" si="4">L4*1.03</f>
        <v>3.7595000000000001</v>
      </c>
      <c r="N4" s="300">
        <v>3.65</v>
      </c>
      <c r="O4" s="300">
        <f t="shared" ref="O4:O25" si="5">N4*1.03</f>
        <v>3.7595000000000001</v>
      </c>
      <c r="P4" s="300">
        <f t="shared" ref="P4:P26" si="6">N4/1.13</f>
        <v>3.2300884955752216</v>
      </c>
      <c r="Q4" s="300">
        <f t="shared" ref="Q4:Q26" si="7">P4-J4</f>
        <v>0.45157023026548737</v>
      </c>
      <c r="R4" s="298">
        <f t="shared" ref="R4:R25" si="8">O4</f>
        <v>3.7595000000000001</v>
      </c>
      <c r="S4" s="293"/>
      <c r="T4" s="294"/>
      <c r="U4" s="295"/>
      <c r="V4" s="148">
        <f t="shared" ref="V4:V34" si="9">G4*I4</f>
        <v>330.25</v>
      </c>
      <c r="W4" s="296">
        <f t="shared" ref="W4:W34" si="10">R4*F4*I4/1.13</f>
        <v>133.07964601769913</v>
      </c>
      <c r="X4" s="355">
        <f>'25年版cogs'!F5</f>
        <v>0.26981473567782382</v>
      </c>
      <c r="Y4" s="365">
        <f>'25年版cogs'!G5</f>
        <v>2.5386208677685956E-2</v>
      </c>
      <c r="Z4" s="332">
        <f t="shared" ref="Z4:Z5" si="11">W4-V4*(X4+Y4)</f>
        <v>35.589534144292017</v>
      </c>
      <c r="AA4" s="333">
        <f t="shared" ref="AA4:AA5" si="12">Z4/W4</f>
        <v>0.26743033370827218</v>
      </c>
      <c r="AB4" s="324"/>
      <c r="AC4" s="296">
        <f t="shared" ref="AC4:AC26" si="13">P4*F4*I4</f>
        <v>129.20353982300887</v>
      </c>
      <c r="AD4" s="296">
        <f>AC4-V4*(X4+Y4)</f>
        <v>31.713427949601751</v>
      </c>
      <c r="AE4" s="143">
        <f t="shared" ref="AE4:AE66" si="14">AD4/AC4</f>
        <v>0.24545324371952038</v>
      </c>
      <c r="AF4" s="143">
        <v>5.2241538072640162E-2</v>
      </c>
      <c r="AG4" s="143">
        <v>0.04</v>
      </c>
      <c r="AK4" s="335">
        <v>2.617</v>
      </c>
      <c r="AL4" s="246">
        <f t="shared" si="1"/>
        <v>864.26424999999995</v>
      </c>
    </row>
    <row r="5" spans="2:38">
      <c r="B5" s="304" t="s">
        <v>643</v>
      </c>
      <c r="C5" s="284" t="s">
        <v>19</v>
      </c>
      <c r="D5" s="301" t="str">
        <f>VLOOKUP($C5,[1]Assortment!$F:$BA,5,0)</f>
        <v>269430舒洁湿厕纸家庭装40抽</v>
      </c>
      <c r="E5" s="1">
        <f>VLOOKUP($C5,[1]Assortment!$F:$AM,7,0)</f>
        <v>40</v>
      </c>
      <c r="F5" s="1">
        <f>VLOOKUP($C5,[1]Assortment!$F:$AM,31,0)</f>
        <v>40</v>
      </c>
      <c r="G5" s="291">
        <f>VLOOKUP($C5,[1]Assortment!$F:$AM,14,0)</f>
        <v>367.52</v>
      </c>
      <c r="H5" s="287">
        <f t="shared" si="2"/>
        <v>9.1879999999999988</v>
      </c>
      <c r="I5" s="286">
        <v>1</v>
      </c>
      <c r="J5" s="300">
        <v>3.5557966910176995</v>
      </c>
      <c r="K5" s="300">
        <f t="shared" si="3"/>
        <v>4.0180502608499999</v>
      </c>
      <c r="L5" s="300">
        <v>3.6</v>
      </c>
      <c r="M5" s="300">
        <f t="shared" si="4"/>
        <v>3.7080000000000002</v>
      </c>
      <c r="N5" s="327">
        <v>3.6</v>
      </c>
      <c r="O5" s="300">
        <f t="shared" si="5"/>
        <v>3.7080000000000002</v>
      </c>
      <c r="P5" s="300">
        <f t="shared" si="6"/>
        <v>3.1858407079646023</v>
      </c>
      <c r="Q5" s="300">
        <f t="shared" si="7"/>
        <v>-0.36995598305309718</v>
      </c>
      <c r="R5" s="298">
        <f>O5</f>
        <v>3.7080000000000002</v>
      </c>
      <c r="S5" s="293"/>
      <c r="T5" s="294"/>
      <c r="U5" s="295"/>
      <c r="V5" s="148">
        <f t="shared" si="9"/>
        <v>367.52</v>
      </c>
      <c r="W5" s="296">
        <f t="shared" si="10"/>
        <v>131.25663716814159</v>
      </c>
      <c r="X5" s="355">
        <f>'25年版cogs'!F6</f>
        <v>0.26981473567782382</v>
      </c>
      <c r="Y5" s="365">
        <f>'25年版cogs'!G6</f>
        <v>2.5386208677685956E-2</v>
      </c>
      <c r="Z5" s="332">
        <f t="shared" si="11"/>
        <v>22.764386098604632</v>
      </c>
      <c r="AA5" s="333">
        <f t="shared" si="12"/>
        <v>0.17343417132836592</v>
      </c>
      <c r="AB5" s="325"/>
      <c r="AC5" s="296">
        <f t="shared" si="13"/>
        <v>127.43362831858408</v>
      </c>
      <c r="AD5" s="296">
        <f t="shared" ref="AD5:AD66" si="15">AC5-V5*(X5+Y5)</f>
        <v>18.941377249047122</v>
      </c>
      <c r="AE5" s="143">
        <f t="shared" si="14"/>
        <v>0.14863719646821699</v>
      </c>
      <c r="AF5" s="143">
        <v>0.14847536819903931</v>
      </c>
      <c r="AG5" s="143">
        <v>0.17</v>
      </c>
      <c r="AK5" s="335">
        <v>8.1409999999999965</v>
      </c>
      <c r="AL5" s="246">
        <f t="shared" si="1"/>
        <v>2991.9803199999988</v>
      </c>
    </row>
    <row r="6" spans="2:38">
      <c r="B6" s="304" t="s">
        <v>643</v>
      </c>
      <c r="C6" s="284" t="s">
        <v>118</v>
      </c>
      <c r="D6" s="142" t="str">
        <f>VLOOKUP($C6,[1]Assortment!$F:$BA,5,0)</f>
        <v>268220舒洁女性湿厕纸10包装</v>
      </c>
      <c r="E6" s="1">
        <f>VLOOKUP($C6,[1]Assortment!$F:$AM,7,0)</f>
        <v>4</v>
      </c>
      <c r="F6" s="1">
        <f>VLOOKUP($C6,[1]Assortment!$F:$AM,31,0)</f>
        <v>40</v>
      </c>
      <c r="G6" s="291">
        <f>VLOOKUP($C6,[1]Assortment!$F:$AM,14,0)</f>
        <v>255.40530999999999</v>
      </c>
      <c r="H6" s="287">
        <f t="shared" ref="H6:H60" si="16">G6/E6</f>
        <v>63.851327499999996</v>
      </c>
      <c r="I6" s="286">
        <v>1</v>
      </c>
      <c r="J6" s="300">
        <v>2.265122123495575</v>
      </c>
      <c r="K6" s="300">
        <f t="shared" si="3"/>
        <v>2.5595879995499993</v>
      </c>
      <c r="L6" s="300">
        <v>2.5595879995499993</v>
      </c>
      <c r="M6" s="300">
        <f t="shared" si="4"/>
        <v>2.6363756395364994</v>
      </c>
      <c r="N6" s="300">
        <f>J6*1.13</f>
        <v>2.5595879995499993</v>
      </c>
      <c r="O6" s="300">
        <f t="shared" si="5"/>
        <v>2.6363756395364994</v>
      </c>
      <c r="P6" s="300">
        <f t="shared" si="6"/>
        <v>2.265122123495575</v>
      </c>
      <c r="Q6" s="300">
        <f t="shared" si="7"/>
        <v>0</v>
      </c>
      <c r="R6" s="298">
        <f t="shared" si="8"/>
        <v>2.6363756395364994</v>
      </c>
      <c r="S6" s="293"/>
      <c r="T6" s="294"/>
      <c r="U6" s="295"/>
      <c r="V6" s="148">
        <f t="shared" si="9"/>
        <v>255.40530999999999</v>
      </c>
      <c r="W6" s="296">
        <f t="shared" si="10"/>
        <v>93.323031488017691</v>
      </c>
      <c r="X6" s="355">
        <f>'25年版cogs'!F7</f>
        <v>0.22151093990062315</v>
      </c>
      <c r="Y6" s="365">
        <f>'25年版cogs'!G7</f>
        <v>2.5347831289972513E-2</v>
      </c>
      <c r="Z6" s="332">
        <f t="shared" ref="Z6:Z60" si="17">W6-V6*(X6+Y6)</f>
        <v>30.273990505864539</v>
      </c>
      <c r="AA6" s="333">
        <f t="shared" ref="AA6:AA60" si="18">Z6/W6</f>
        <v>0.32439999026126365</v>
      </c>
      <c r="AB6" s="324"/>
      <c r="AC6" s="296">
        <f t="shared" si="13"/>
        <v>90.604884939822995</v>
      </c>
      <c r="AD6" s="296">
        <f t="shared" si="15"/>
        <v>27.555843957669843</v>
      </c>
      <c r="AE6" s="143">
        <f t="shared" si="14"/>
        <v>0.30413198996910151</v>
      </c>
      <c r="AF6" s="143">
        <v>1.9531765800939785E-3</v>
      </c>
      <c r="AG6" s="143">
        <v>1.9531765800939785E-3</v>
      </c>
      <c r="AK6" s="335">
        <v>0.10199999999999999</v>
      </c>
      <c r="AL6" s="246">
        <f t="shared" si="1"/>
        <v>26.051341619999995</v>
      </c>
    </row>
    <row r="7" spans="2:38">
      <c r="B7" s="304" t="s">
        <v>643</v>
      </c>
      <c r="C7" s="284" t="s">
        <v>112</v>
      </c>
      <c r="D7" s="142" t="str">
        <f>VLOOKUP($C7,[1]Assortment!$F:$BA,5,0)</f>
        <v>267400舒洁山茶花系列湿厕纸60片x4包</v>
      </c>
      <c r="E7" s="1">
        <f>VLOOKUP($C7,[1]Assortment!$F:$AM,7,0)</f>
        <v>1</v>
      </c>
      <c r="F7" s="1">
        <f>VLOOKUP($C7,[1]Assortment!$F:$AM,31,0)</f>
        <v>4</v>
      </c>
      <c r="G7" s="291">
        <f>VLOOKUP($C7,[1]Assortment!$F:$AM,14,0)</f>
        <v>41.9</v>
      </c>
      <c r="H7" s="287">
        <f t="shared" si="16"/>
        <v>41.9</v>
      </c>
      <c r="I7" s="286">
        <v>1</v>
      </c>
      <c r="J7" s="300">
        <v>5.0396415929203551</v>
      </c>
      <c r="K7" s="300">
        <f t="shared" si="3"/>
        <v>5.6947950000000009</v>
      </c>
      <c r="L7" s="300">
        <v>5.6947950000000009</v>
      </c>
      <c r="M7" s="300">
        <f t="shared" si="4"/>
        <v>5.8656388500000007</v>
      </c>
      <c r="N7" s="300">
        <f>J7*1.13</f>
        <v>5.6947950000000009</v>
      </c>
      <c r="O7" s="300">
        <f t="shared" si="5"/>
        <v>5.8656388500000007</v>
      </c>
      <c r="P7" s="300">
        <f t="shared" si="6"/>
        <v>5.0396415929203551</v>
      </c>
      <c r="Q7" s="300">
        <f t="shared" si="7"/>
        <v>0</v>
      </c>
      <c r="R7" s="298">
        <f t="shared" si="8"/>
        <v>5.8656388500000007</v>
      </c>
      <c r="S7" s="293"/>
      <c r="T7" s="294"/>
      <c r="U7" s="295"/>
      <c r="V7" s="148">
        <f t="shared" si="9"/>
        <v>41.9</v>
      </c>
      <c r="W7" s="296">
        <f t="shared" si="10"/>
        <v>20.763323362831862</v>
      </c>
      <c r="X7" s="355">
        <f>'25年版cogs'!F8</f>
        <v>0.3593912401292928</v>
      </c>
      <c r="Y7" s="365">
        <f>'25年版cogs'!G8</f>
        <v>2.5333520292894686E-2</v>
      </c>
      <c r="Z7" s="332">
        <f t="shared" si="17"/>
        <v>4.6433559011422076</v>
      </c>
      <c r="AA7" s="333">
        <f t="shared" si="18"/>
        <v>0.22363259580372449</v>
      </c>
      <c r="AB7" s="324"/>
      <c r="AC7" s="296">
        <f t="shared" si="13"/>
        <v>20.15856637168142</v>
      </c>
      <c r="AD7" s="296">
        <f t="shared" si="15"/>
        <v>4.0385989099917659</v>
      </c>
      <c r="AE7" s="143">
        <f t="shared" si="14"/>
        <v>0.20034157367783628</v>
      </c>
      <c r="AF7" s="143">
        <v>5.1970605221363293E-4</v>
      </c>
      <c r="AG7" s="143">
        <v>5.1970605221363293E-4</v>
      </c>
      <c r="AK7" s="335">
        <v>3.1E-2</v>
      </c>
      <c r="AL7" s="246">
        <f t="shared" si="1"/>
        <v>1.2988999999999999</v>
      </c>
    </row>
    <row r="8" spans="2:38">
      <c r="B8" s="304" t="s">
        <v>643</v>
      </c>
      <c r="C8" s="284" t="s">
        <v>104</v>
      </c>
      <c r="D8" s="142" t="str">
        <f>VLOOKUP($C8,[1]Assortment!$F:$BA,5,0)</f>
        <v>267300舒洁山茶花系列湿厕纸60片</v>
      </c>
      <c r="E8" s="1">
        <f>VLOOKUP($C8,[1]Assortment!$F:$AM,7,0)</f>
        <v>24</v>
      </c>
      <c r="F8" s="1">
        <f>VLOOKUP($C8,[1]Assortment!$F:$AM,31,0)</f>
        <v>24</v>
      </c>
      <c r="G8" s="291">
        <f>VLOOKUP($C8,[1]Assortment!$F:$AM,14,0)</f>
        <v>244.8</v>
      </c>
      <c r="H8" s="287">
        <f t="shared" si="16"/>
        <v>10.200000000000001</v>
      </c>
      <c r="I8" s="286">
        <v>1</v>
      </c>
      <c r="J8" s="300">
        <v>5.3658761061946905</v>
      </c>
      <c r="K8" s="300">
        <f t="shared" si="3"/>
        <v>6.0634399999999999</v>
      </c>
      <c r="L8" s="300">
        <v>6.0634399999999999</v>
      </c>
      <c r="M8" s="300">
        <f t="shared" si="4"/>
        <v>6.2453431999999998</v>
      </c>
      <c r="N8" s="300">
        <f>J8*1.13</f>
        <v>6.0634399999999999</v>
      </c>
      <c r="O8" s="300">
        <f t="shared" si="5"/>
        <v>6.2453431999999998</v>
      </c>
      <c r="P8" s="300">
        <f t="shared" si="6"/>
        <v>5.3658761061946905</v>
      </c>
      <c r="Q8" s="300">
        <f t="shared" si="7"/>
        <v>0</v>
      </c>
      <c r="R8" s="298">
        <f t="shared" si="8"/>
        <v>6.2453431999999998</v>
      </c>
      <c r="S8" s="293"/>
      <c r="T8" s="294"/>
      <c r="U8" s="295"/>
      <c r="V8" s="148">
        <f t="shared" si="9"/>
        <v>244.8</v>
      </c>
      <c r="W8" s="296">
        <f t="shared" si="10"/>
        <v>132.64445734513274</v>
      </c>
      <c r="X8" s="355">
        <f>'25年版cogs'!F9</f>
        <v>0.35822651469680938</v>
      </c>
      <c r="Y8" s="365">
        <f>'25年版cogs'!G9</f>
        <v>2.5367759294612966E-2</v>
      </c>
      <c r="Z8" s="332">
        <f t="shared" si="17"/>
        <v>38.740579072032531</v>
      </c>
      <c r="AA8" s="333">
        <f t="shared" si="18"/>
        <v>0.29206330854241369</v>
      </c>
      <c r="AB8" s="324"/>
      <c r="AC8" s="296">
        <f t="shared" si="13"/>
        <v>128.78102654867257</v>
      </c>
      <c r="AD8" s="296">
        <f t="shared" si="15"/>
        <v>34.877148275572367</v>
      </c>
      <c r="AE8" s="143">
        <f t="shared" si="14"/>
        <v>0.27082520779868613</v>
      </c>
      <c r="AF8" s="143">
        <v>3.5206814975814521E-3</v>
      </c>
      <c r="AG8" s="143">
        <v>3.5206814975814521E-3</v>
      </c>
      <c r="AK8" s="335">
        <v>0.16700000000000004</v>
      </c>
      <c r="AL8" s="246">
        <f t="shared" si="1"/>
        <v>40.881600000000013</v>
      </c>
    </row>
    <row r="9" spans="2:38">
      <c r="B9" s="304" t="s">
        <v>643</v>
      </c>
      <c r="C9" s="284" t="s">
        <v>77</v>
      </c>
      <c r="D9" s="142" t="str">
        <f>VLOOKUP($C9,[1]Assortment!$F:$BA,5,0)</f>
        <v>267030舒洁湿厕纸旅行装10包装</v>
      </c>
      <c r="E9" s="1">
        <f>VLOOKUP($C9,[1]Assortment!$F:$AM,7,0)</f>
        <v>4</v>
      </c>
      <c r="F9" s="1">
        <f>VLOOKUP($C9,[1]Assortment!$F:$AM,31,0)</f>
        <v>40</v>
      </c>
      <c r="G9" s="291">
        <f>VLOOKUP($C9,[1]Assortment!$F:$AM,14,0)</f>
        <v>151.33000000000001</v>
      </c>
      <c r="H9" s="287">
        <f t="shared" si="16"/>
        <v>37.832500000000003</v>
      </c>
      <c r="I9" s="286">
        <v>1</v>
      </c>
      <c r="J9" s="300">
        <v>0.94070026004424778</v>
      </c>
      <c r="K9" s="300">
        <f t="shared" si="3"/>
        <v>1.0629912938499999</v>
      </c>
      <c r="L9" s="300">
        <v>1.0629912938499999</v>
      </c>
      <c r="M9" s="300">
        <f t="shared" si="4"/>
        <v>1.0948810326654999</v>
      </c>
      <c r="N9" s="300">
        <f>J9*1.13</f>
        <v>1.0629912938499999</v>
      </c>
      <c r="O9" s="300">
        <f t="shared" si="5"/>
        <v>1.0948810326654999</v>
      </c>
      <c r="P9" s="300">
        <f t="shared" si="6"/>
        <v>0.94070026004424778</v>
      </c>
      <c r="Q9" s="300">
        <f t="shared" si="7"/>
        <v>0</v>
      </c>
      <c r="R9" s="298">
        <f t="shared" si="8"/>
        <v>1.0948810326654999</v>
      </c>
      <c r="S9" s="293"/>
      <c r="T9" s="294"/>
      <c r="U9" s="295"/>
      <c r="V9" s="148">
        <f t="shared" si="9"/>
        <v>151.33000000000001</v>
      </c>
      <c r="W9" s="296">
        <f t="shared" si="10"/>
        <v>38.756850713823006</v>
      </c>
      <c r="X9" s="355">
        <f>'25年版cogs'!F10</f>
        <v>0.18260265156782779</v>
      </c>
      <c r="Y9" s="365">
        <f>'25年版cogs'!G10</f>
        <v>2.53701174215193E-2</v>
      </c>
      <c r="Z9" s="332">
        <f t="shared" si="17"/>
        <v>7.2843315826651107</v>
      </c>
      <c r="AA9" s="333">
        <f t="shared" si="18"/>
        <v>0.18794952243287102</v>
      </c>
      <c r="AB9" s="324"/>
      <c r="AC9" s="296">
        <f t="shared" si="13"/>
        <v>37.628010401769913</v>
      </c>
      <c r="AD9" s="296">
        <f t="shared" si="15"/>
        <v>6.1554912706120177</v>
      </c>
      <c r="AE9" s="143">
        <f t="shared" si="14"/>
        <v>0.16358800810585725</v>
      </c>
      <c r="AF9" s="143">
        <v>5.6438213163016835E-4</v>
      </c>
      <c r="AG9" s="143">
        <v>5.6438213163016835E-4</v>
      </c>
      <c r="AK9" s="335">
        <v>1.0999999999999999E-2</v>
      </c>
      <c r="AL9" s="246">
        <f t="shared" si="1"/>
        <v>1.6646300000000001</v>
      </c>
    </row>
    <row r="10" spans="2:38">
      <c r="B10" s="304" t="s">
        <v>643</v>
      </c>
      <c r="C10" s="284" t="s">
        <v>70</v>
      </c>
      <c r="D10" s="142" t="str">
        <f>VLOOKUP($C10,[1]Assortment!$F:$BA,5,0)</f>
        <v>266600舒洁湿厕纸100片x6包-植物双萃</v>
      </c>
      <c r="E10" s="1">
        <f>VLOOKUP($C10,[1]Assortment!$F:$AM,7,0)</f>
        <v>1</v>
      </c>
      <c r="F10" s="1">
        <f>VLOOKUP($C10,[1]Assortment!$F:$AM,31,0)</f>
        <v>6</v>
      </c>
      <c r="G10" s="291">
        <f>VLOOKUP($C10,[1]Assortment!$F:$AM,14,0)</f>
        <v>86.8</v>
      </c>
      <c r="H10" s="287">
        <f t="shared" si="16"/>
        <v>86.8</v>
      </c>
      <c r="I10" s="286">
        <v>1</v>
      </c>
      <c r="J10" s="300">
        <v>6.8392271386430687</v>
      </c>
      <c r="K10" s="300">
        <f t="shared" si="3"/>
        <v>7.7283266666666668</v>
      </c>
      <c r="L10" s="300">
        <v>7.7283266666666668</v>
      </c>
      <c r="M10" s="300">
        <f t="shared" si="4"/>
        <v>7.9601764666666668</v>
      </c>
      <c r="N10" s="300">
        <f>J10*1.13</f>
        <v>7.7283266666666668</v>
      </c>
      <c r="O10" s="300">
        <f t="shared" si="5"/>
        <v>7.9601764666666668</v>
      </c>
      <c r="P10" s="300">
        <f t="shared" si="6"/>
        <v>6.8392271386430687</v>
      </c>
      <c r="Q10" s="300">
        <f t="shared" si="7"/>
        <v>0</v>
      </c>
      <c r="R10" s="298">
        <f t="shared" si="8"/>
        <v>7.9601764666666668</v>
      </c>
      <c r="S10" s="293"/>
      <c r="T10" s="294"/>
      <c r="U10" s="295"/>
      <c r="V10" s="148">
        <f t="shared" si="9"/>
        <v>86.8</v>
      </c>
      <c r="W10" s="296">
        <f t="shared" si="10"/>
        <v>42.266423716814167</v>
      </c>
      <c r="X10" s="355">
        <f>'25年版cogs'!F11</f>
        <v>0.32309187890232577</v>
      </c>
      <c r="Y10" s="365">
        <f>'25年版cogs'!G11</f>
        <v>2.5336010167948227E-2</v>
      </c>
      <c r="Z10" s="332">
        <f t="shared" si="17"/>
        <v>12.022882945514386</v>
      </c>
      <c r="AA10" s="333">
        <f t="shared" si="18"/>
        <v>0.28445470158696007</v>
      </c>
      <c r="AB10" s="324"/>
      <c r="AC10" s="296">
        <f t="shared" si="13"/>
        <v>41.035362831858414</v>
      </c>
      <c r="AD10" s="296">
        <f t="shared" si="15"/>
        <v>10.791822060558633</v>
      </c>
      <c r="AE10" s="143">
        <f t="shared" si="14"/>
        <v>0.26298834263456888</v>
      </c>
      <c r="AF10" s="143">
        <v>9.1353072408084603E-4</v>
      </c>
      <c r="AG10" s="143">
        <v>9.1353072408084603E-4</v>
      </c>
      <c r="AK10" s="335">
        <v>6.4000000000000001E-2</v>
      </c>
      <c r="AL10" s="246">
        <f t="shared" si="1"/>
        <v>5.5552000000000001</v>
      </c>
    </row>
    <row r="11" spans="2:38">
      <c r="B11" s="304" t="s">
        <v>643</v>
      </c>
      <c r="C11" s="284" t="s">
        <v>2</v>
      </c>
      <c r="D11" s="353" t="str">
        <f>VLOOKUP($C11,[1]Assortment!$F:$BA,5,0)</f>
        <v xml:space="preserve">266200舒洁湿厕纸80片x6包 </v>
      </c>
      <c r="E11" s="1">
        <f>VLOOKUP($C11,[1]Assortment!$F:$AM,7,0)</f>
        <v>1</v>
      </c>
      <c r="F11" s="1">
        <f>VLOOKUP($C11,[1]Assortment!$F:$AM,31,0)</f>
        <v>6</v>
      </c>
      <c r="G11" s="291">
        <f>VLOOKUP($C11,[1]Assortment!$F:$AM,14,0)</f>
        <v>69.44</v>
      </c>
      <c r="H11" s="287">
        <f t="shared" si="16"/>
        <v>69.44</v>
      </c>
      <c r="I11" s="286">
        <v>1</v>
      </c>
      <c r="J11" s="300">
        <v>4.9479303834808261</v>
      </c>
      <c r="K11" s="300">
        <f>J11*1.13</f>
        <v>5.591161333333333</v>
      </c>
      <c r="L11" s="300">
        <v>5.9</v>
      </c>
      <c r="M11" s="300">
        <f t="shared" si="4"/>
        <v>6.0770000000000008</v>
      </c>
      <c r="N11" s="300">
        <f>K11</f>
        <v>5.591161333333333</v>
      </c>
      <c r="O11" s="300">
        <f>N11*1.03</f>
        <v>5.7588961733333335</v>
      </c>
      <c r="P11" s="300">
        <f>N11/1.13</f>
        <v>4.9479303834808261</v>
      </c>
      <c r="Q11" s="300">
        <f t="shared" si="7"/>
        <v>0</v>
      </c>
      <c r="R11" s="298">
        <f t="shared" si="8"/>
        <v>5.7588961733333335</v>
      </c>
      <c r="S11" s="293"/>
      <c r="T11" s="294"/>
      <c r="U11" s="295"/>
      <c r="V11" s="148">
        <f t="shared" si="9"/>
        <v>69.44</v>
      </c>
      <c r="W11" s="296">
        <f t="shared" si="10"/>
        <v>30.57820976991151</v>
      </c>
      <c r="X11" s="355">
        <f>'25年版cogs'!F12</f>
        <v>0.34017627505490672</v>
      </c>
      <c r="Y11" s="365">
        <f>'25年版cogs'!G12</f>
        <v>2.5238484018626956E-2</v>
      </c>
      <c r="Z11" s="332">
        <f t="shared" si="17"/>
        <v>5.2038088998453347</v>
      </c>
      <c r="AA11" s="333">
        <f t="shared" si="18"/>
        <v>0.1701802995990237</v>
      </c>
      <c r="AB11" s="324"/>
      <c r="AC11" s="296">
        <f t="shared" si="13"/>
        <v>29.687582300884955</v>
      </c>
      <c r="AD11" s="296">
        <f t="shared" si="15"/>
        <v>4.3131814308187799</v>
      </c>
      <c r="AE11" s="143">
        <f>AD11/AC11</f>
        <v>0.14528570858699424</v>
      </c>
      <c r="AF11" s="143">
        <v>0.12721599609836617</v>
      </c>
      <c r="AG11" s="143">
        <v>0.17</v>
      </c>
      <c r="AK11" s="335">
        <v>25.258000000000003</v>
      </c>
      <c r="AL11" s="246">
        <f t="shared" si="1"/>
        <v>1753.91552</v>
      </c>
    </row>
    <row r="12" spans="2:38">
      <c r="B12" s="304" t="s">
        <v>643</v>
      </c>
      <c r="C12" s="284" t="s">
        <v>57</v>
      </c>
      <c r="D12" s="142" t="str">
        <f>VLOOKUP($C12,[1]Assortment!$F:$BA,5,0)</f>
        <v>266100舒洁湿厕纸80片x3包</v>
      </c>
      <c r="E12" s="1">
        <f>VLOOKUP($C12,[1]Assortment!$F:$AM,7,0)</f>
        <v>8</v>
      </c>
      <c r="F12" s="1">
        <f>VLOOKUP($C12,[1]Assortment!$F:$AM,31,0)</f>
        <v>24</v>
      </c>
      <c r="G12" s="291">
        <f>VLOOKUP($C12,[1]Assortment!$F:$AM,14,0)</f>
        <v>310.48</v>
      </c>
      <c r="H12" s="287">
        <f t="shared" si="16"/>
        <v>38.81</v>
      </c>
      <c r="I12" s="286">
        <v>1</v>
      </c>
      <c r="J12" s="300">
        <v>6.006985840707963</v>
      </c>
      <c r="K12" s="300">
        <f t="shared" si="3"/>
        <v>6.7878939999999979</v>
      </c>
      <c r="L12" s="300">
        <v>6.7878939999999979</v>
      </c>
      <c r="M12" s="300">
        <f t="shared" si="4"/>
        <v>6.9915308199999977</v>
      </c>
      <c r="N12" s="300">
        <f>J12*1.13</f>
        <v>6.7878939999999979</v>
      </c>
      <c r="O12" s="300">
        <f t="shared" si="5"/>
        <v>6.9915308199999977</v>
      </c>
      <c r="P12" s="300">
        <f t="shared" si="6"/>
        <v>6.006985840707963</v>
      </c>
      <c r="Q12" s="300">
        <f t="shared" si="7"/>
        <v>0</v>
      </c>
      <c r="R12" s="298">
        <f t="shared" si="8"/>
        <v>6.9915308199999977</v>
      </c>
      <c r="S12" s="293"/>
      <c r="T12" s="294"/>
      <c r="U12" s="295"/>
      <c r="V12" s="148">
        <f t="shared" si="9"/>
        <v>310.48</v>
      </c>
      <c r="W12" s="296">
        <f t="shared" si="10"/>
        <v>148.49268998230085</v>
      </c>
      <c r="X12" s="355">
        <f>'25年版cogs'!F13</f>
        <v>0.30486433058202039</v>
      </c>
      <c r="Y12" s="365">
        <f>'25年版cogs'!G13</f>
        <v>2.5424501922404755E-2</v>
      </c>
      <c r="Z12" s="332">
        <f t="shared" si="17"/>
        <v>45.944613266326925</v>
      </c>
      <c r="AA12" s="333">
        <f t="shared" si="18"/>
        <v>0.30940656588417353</v>
      </c>
      <c r="AB12" s="324"/>
      <c r="AC12" s="296">
        <f t="shared" si="13"/>
        <v>144.16766017699112</v>
      </c>
      <c r="AD12" s="296">
        <f t="shared" si="15"/>
        <v>41.6195834610172</v>
      </c>
      <c r="AE12" s="143">
        <f t="shared" si="14"/>
        <v>0.28868876286069878</v>
      </c>
      <c r="AF12" s="143">
        <v>4.5366618509328988E-3</v>
      </c>
      <c r="AG12" s="143">
        <v>4.5366618509328988E-3</v>
      </c>
      <c r="AK12" s="335">
        <v>0.23200000000000004</v>
      </c>
      <c r="AL12" s="246">
        <f t="shared" si="1"/>
        <v>72.031360000000021</v>
      </c>
    </row>
    <row r="13" spans="2:38">
      <c r="B13" s="304" t="s">
        <v>643</v>
      </c>
      <c r="C13" s="284" t="s">
        <v>96</v>
      </c>
      <c r="D13" s="142" t="str">
        <f>VLOOKUP($C13,[1]Assortment!$F:$BA,5,0)</f>
        <v>265500舒洁湿厕纸7抽6包装</v>
      </c>
      <c r="E13" s="1">
        <f>VLOOKUP($C13,[1]Assortment!$F:$AM,7,0)</f>
        <v>16</v>
      </c>
      <c r="F13" s="1">
        <f>VLOOKUP($C13,[1]Assortment!$F:$AM,31,0)</f>
        <v>96</v>
      </c>
      <c r="G13" s="291">
        <f>VLOOKUP($C13,[1]Assortment!$F:$AM,14,0)</f>
        <v>179.2</v>
      </c>
      <c r="H13" s="287">
        <f t="shared" si="16"/>
        <v>11.2</v>
      </c>
      <c r="I13" s="286">
        <v>1</v>
      </c>
      <c r="J13" s="300">
        <v>0.9927197640117994</v>
      </c>
      <c r="K13" s="300">
        <f t="shared" si="3"/>
        <v>1.1217733333333333</v>
      </c>
      <c r="L13" s="300">
        <v>0.95</v>
      </c>
      <c r="M13" s="300">
        <f t="shared" si="4"/>
        <v>0.97849999999999993</v>
      </c>
      <c r="N13" s="300">
        <f>L13*1.13</f>
        <v>1.0734999999999999</v>
      </c>
      <c r="O13" s="300">
        <f t="shared" si="5"/>
        <v>1.1057049999999999</v>
      </c>
      <c r="P13" s="327">
        <f>N13/1.13</f>
        <v>0.95</v>
      </c>
      <c r="Q13" s="300">
        <f>P13-J13</f>
        <v>-4.2719764011799444E-2</v>
      </c>
      <c r="R13" s="298">
        <f t="shared" si="8"/>
        <v>1.1057049999999999</v>
      </c>
      <c r="S13" s="293"/>
      <c r="T13" s="294"/>
      <c r="U13" s="295"/>
      <c r="V13" s="148">
        <f t="shared" si="9"/>
        <v>179.2</v>
      </c>
      <c r="W13" s="296">
        <f t="shared" si="10"/>
        <v>93.936000000000007</v>
      </c>
      <c r="X13" s="355">
        <f>'25年版cogs'!F14</f>
        <v>0.27365302206594172</v>
      </c>
      <c r="Y13" s="365">
        <f>'25年版cogs'!G14</f>
        <v>2.5424501922404755E-2</v>
      </c>
      <c r="Z13" s="332">
        <f t="shared" si="17"/>
        <v>40.341307701288322</v>
      </c>
      <c r="AA13" s="333">
        <f t="shared" si="18"/>
        <v>0.42945524294507237</v>
      </c>
      <c r="AB13" s="324"/>
      <c r="AC13" s="296">
        <f t="shared" si="13"/>
        <v>91.199999999999989</v>
      </c>
      <c r="AD13" s="296">
        <f t="shared" si="15"/>
        <v>37.605307701288304</v>
      </c>
      <c r="AE13" s="143">
        <f t="shared" si="14"/>
        <v>0.41233890023342445</v>
      </c>
      <c r="AF13" s="143">
        <v>4.6618358251641987E-3</v>
      </c>
      <c r="AG13" s="143">
        <v>4.0000000000000001E-3</v>
      </c>
      <c r="AK13" s="335">
        <v>0.30600000000000005</v>
      </c>
      <c r="AL13" s="246">
        <f t="shared" si="1"/>
        <v>54.835200000000007</v>
      </c>
    </row>
    <row r="14" spans="2:38">
      <c r="B14" s="304" t="s">
        <v>643</v>
      </c>
      <c r="C14" s="284" t="s">
        <v>244</v>
      </c>
      <c r="D14" s="301" t="str">
        <f>VLOOKUP($C14,[1]Assortment!$F:$BA,5,0)</f>
        <v>261300舒洁无香湿巾单包装</v>
      </c>
      <c r="E14" s="1">
        <f>VLOOKUP($C14,[1]Assortment!$F:$AM,7,0)</f>
        <v>30</v>
      </c>
      <c r="F14" s="1">
        <f>VLOOKUP($C14,[1]Assortment!$F:$AM,31,0)</f>
        <v>30</v>
      </c>
      <c r="G14" s="291">
        <f>VLOOKUP($C14,[1]Assortment!$F:$AM,14,0)</f>
        <v>91.362830000000002</v>
      </c>
      <c r="H14" s="287">
        <f t="shared" si="16"/>
        <v>3.0454276666666669</v>
      </c>
      <c r="I14" s="286">
        <v>1</v>
      </c>
      <c r="J14" s="300">
        <v>1.5982477913274336</v>
      </c>
      <c r="K14" s="300">
        <f t="shared" si="3"/>
        <v>1.8060200041999996</v>
      </c>
      <c r="L14" s="300">
        <v>1.53</v>
      </c>
      <c r="M14" s="300">
        <f t="shared" si="4"/>
        <v>1.5759000000000001</v>
      </c>
      <c r="N14" s="327">
        <v>1.53</v>
      </c>
      <c r="O14" s="300">
        <f t="shared" si="5"/>
        <v>1.5759000000000001</v>
      </c>
      <c r="P14" s="300">
        <f t="shared" si="6"/>
        <v>1.3539823008849559</v>
      </c>
      <c r="Q14" s="300">
        <f t="shared" si="7"/>
        <v>-0.2442654904424777</v>
      </c>
      <c r="R14" s="298">
        <f t="shared" si="8"/>
        <v>1.5759000000000001</v>
      </c>
      <c r="S14" s="293"/>
      <c r="T14" s="294"/>
      <c r="U14" s="295"/>
      <c r="V14" s="148">
        <f t="shared" si="9"/>
        <v>91.362830000000002</v>
      </c>
      <c r="W14" s="296">
        <f t="shared" si="10"/>
        <v>41.838053097345139</v>
      </c>
      <c r="X14" s="355">
        <f>'25年版cogs'!F15</f>
        <v>0.33593910703599916</v>
      </c>
      <c r="Y14" s="365">
        <f>'25年版cogs'!G15</f>
        <v>2.5420064922445213E-2</v>
      </c>
      <c r="Z14" s="332">
        <f t="shared" si="17"/>
        <v>8.8232565007650194</v>
      </c>
      <c r="AA14" s="333">
        <f t="shared" si="18"/>
        <v>0.21089070469497792</v>
      </c>
      <c r="AB14" s="324"/>
      <c r="AC14" s="296">
        <f t="shared" si="13"/>
        <v>40.619469026548678</v>
      </c>
      <c r="AD14" s="296">
        <f t="shared" si="15"/>
        <v>7.6046724299685593</v>
      </c>
      <c r="AE14" s="143">
        <f t="shared" si="14"/>
        <v>0.18721742583582726</v>
      </c>
      <c r="AF14" s="143">
        <v>9.0805241119005259E-2</v>
      </c>
      <c r="AG14" s="143">
        <v>9.0805241119005259E-2</v>
      </c>
      <c r="AK14" s="335">
        <v>15.199999999999996</v>
      </c>
      <c r="AL14" s="246">
        <f t="shared" si="1"/>
        <v>1388.7150159999997</v>
      </c>
    </row>
    <row r="15" spans="2:38">
      <c r="B15" s="304" t="s">
        <v>643</v>
      </c>
      <c r="C15" s="284" t="s">
        <v>236</v>
      </c>
      <c r="D15" s="142" t="str">
        <f>VLOOKUP($C15,[1]Assortment!$F:$BA,5,0)</f>
        <v>253000舒洁蚕丝洗脸巾80抽3包装</v>
      </c>
      <c r="E15" s="1">
        <f>VLOOKUP($C15,[1]Assortment!$F:$AM,7,0)</f>
        <v>6</v>
      </c>
      <c r="F15" s="1">
        <f>VLOOKUP($C15,[1]Assortment!$F:$AM,31,0)</f>
        <v>18</v>
      </c>
      <c r="G15" s="291">
        <f>VLOOKUP($C15,[1]Assortment!$F:$AM,14,0)</f>
        <v>358.2</v>
      </c>
      <c r="H15" s="287">
        <f t="shared" si="16"/>
        <v>59.699999999999996</v>
      </c>
      <c r="I15" s="286">
        <v>1</v>
      </c>
      <c r="J15" s="300">
        <v>6.7455280235988191</v>
      </c>
      <c r="K15" s="300">
        <f t="shared" si="3"/>
        <v>7.622446666666665</v>
      </c>
      <c r="L15" s="300">
        <v>7.622446666666665</v>
      </c>
      <c r="M15" s="300">
        <f t="shared" si="4"/>
        <v>7.851120066666665</v>
      </c>
      <c r="N15" s="300">
        <f>J15*1.13</f>
        <v>7.622446666666665</v>
      </c>
      <c r="O15" s="300">
        <f t="shared" si="5"/>
        <v>7.851120066666665</v>
      </c>
      <c r="P15" s="300">
        <f t="shared" si="6"/>
        <v>6.7455280235988191</v>
      </c>
      <c r="Q15" s="300">
        <f t="shared" si="7"/>
        <v>0</v>
      </c>
      <c r="R15" s="298">
        <f t="shared" si="8"/>
        <v>7.851120066666665</v>
      </c>
      <c r="S15" s="293"/>
      <c r="T15" s="294"/>
      <c r="U15" s="295"/>
      <c r="V15" s="148">
        <f t="shared" si="9"/>
        <v>358.2</v>
      </c>
      <c r="W15" s="296">
        <f t="shared" si="10"/>
        <v>125.06208955752211</v>
      </c>
      <c r="X15" s="355">
        <f>'25年版cogs'!F16</f>
        <v>0.2414926131963808</v>
      </c>
      <c r="Y15" s="365">
        <f>'25年版cogs'!G16</f>
        <v>2.531385367853289E-2</v>
      </c>
      <c r="Z15" s="332">
        <f t="shared" si="17"/>
        <v>29.492013122928043</v>
      </c>
      <c r="AA15" s="333">
        <f t="shared" si="18"/>
        <v>0.23581896981949305</v>
      </c>
      <c r="AB15" s="324"/>
      <c r="AC15" s="296">
        <f t="shared" si="13"/>
        <v>121.41950442477875</v>
      </c>
      <c r="AD15" s="296">
        <f t="shared" si="15"/>
        <v>25.84942799018468</v>
      </c>
      <c r="AE15" s="143">
        <f t="shared" si="14"/>
        <v>0.21289353891407783</v>
      </c>
      <c r="AF15" s="143">
        <v>3.4525429103014803E-3</v>
      </c>
      <c r="AG15" s="143">
        <v>3.4525429103014803E-3</v>
      </c>
      <c r="AK15" s="335">
        <v>6.0000000000000001E-3</v>
      </c>
      <c r="AL15" s="246">
        <f t="shared" si="1"/>
        <v>2.1492</v>
      </c>
    </row>
    <row r="16" spans="2:38">
      <c r="B16" s="304" t="s">
        <v>643</v>
      </c>
      <c r="C16" s="284" t="s">
        <v>195</v>
      </c>
      <c r="D16" s="340" t="str">
        <f>VLOOKUP($C16,[1]Assortment!$F:$BA,5,0)</f>
        <v>231216 舒洁马蹄莲盒面纸200抽3盒 FSC mix70%</v>
      </c>
      <c r="E16" s="1">
        <f>VLOOKUP($C16,[1]Assortment!$F:$AM,7,0)</f>
        <v>10</v>
      </c>
      <c r="F16" s="1">
        <f>VLOOKUP($C16,[1]Assortment!$F:$AM,31,0)</f>
        <v>30</v>
      </c>
      <c r="G16" s="291">
        <f>VLOOKUP($C16,[1]Assortment!$F:$AM,14,0)</f>
        <v>243.21306999999999</v>
      </c>
      <c r="H16" s="287">
        <f t="shared" si="16"/>
        <v>24.321306999999997</v>
      </c>
      <c r="I16" s="286">
        <v>1</v>
      </c>
      <c r="J16" s="300">
        <v>5.1610664853687318</v>
      </c>
      <c r="K16" s="300">
        <f t="shared" si="3"/>
        <v>5.8320051284666663</v>
      </c>
      <c r="L16" s="300">
        <v>6</v>
      </c>
      <c r="M16" s="300">
        <f t="shared" si="4"/>
        <v>6.18</v>
      </c>
      <c r="N16" s="341">
        <f>K16</f>
        <v>5.8320051284666663</v>
      </c>
      <c r="O16" s="300">
        <f t="shared" si="5"/>
        <v>6.0069652823206665</v>
      </c>
      <c r="P16" s="300">
        <f t="shared" si="6"/>
        <v>5.1610664853687318</v>
      </c>
      <c r="Q16" s="300">
        <f t="shared" si="7"/>
        <v>0</v>
      </c>
      <c r="R16" s="298">
        <f t="shared" si="8"/>
        <v>6.0069652823206665</v>
      </c>
      <c r="S16" s="293"/>
      <c r="T16" s="294"/>
      <c r="U16" s="295"/>
      <c r="V16" s="148">
        <f t="shared" si="9"/>
        <v>243.21306999999999</v>
      </c>
      <c r="W16" s="296">
        <f t="shared" si="10"/>
        <v>159.47695439789382</v>
      </c>
      <c r="X16" s="355">
        <f>'25年版cogs'!F17</f>
        <v>0.38128924028564587</v>
      </c>
      <c r="Y16" s="365">
        <f>'25年版cogs'!G17</f>
        <v>2.5408134744837801E-2</v>
      </c>
      <c r="Z16" s="332">
        <f t="shared" si="17"/>
        <v>60.562837255788551</v>
      </c>
      <c r="AA16" s="333">
        <f t="shared" si="18"/>
        <v>0.37975917890107636</v>
      </c>
      <c r="AB16" s="324"/>
      <c r="AC16" s="296">
        <f t="shared" si="13"/>
        <v>154.83199456106195</v>
      </c>
      <c r="AD16" s="296">
        <f t="shared" si="15"/>
        <v>55.917877418956678</v>
      </c>
      <c r="AE16" s="143">
        <f t="shared" si="14"/>
        <v>0.36115195426810859</v>
      </c>
      <c r="AF16" s="143">
        <v>0.11037747054972995</v>
      </c>
      <c r="AG16" s="143">
        <v>7.0000000000000007E-2</v>
      </c>
      <c r="AK16" s="335">
        <v>5.0641000000000016</v>
      </c>
      <c r="AL16" s="246">
        <f t="shared" si="1"/>
        <v>1231.6553077870003</v>
      </c>
    </row>
    <row r="17" spans="2:38">
      <c r="B17" s="304" t="s">
        <v>643</v>
      </c>
      <c r="C17" s="284" t="s">
        <v>219</v>
      </c>
      <c r="D17" s="301" t="str">
        <f>VLOOKUP($C17,[1]Assortment!$F:$BA,5,0)</f>
        <v>229160舒洁绿茶洋甘菊印花清香卷纸10粒</v>
      </c>
      <c r="E17" s="1">
        <f>VLOOKUP($C17,[1]Assortment!$F:$AM,7,0)</f>
        <v>5</v>
      </c>
      <c r="F17" s="1">
        <f>VLOOKUP($C17,[1]Assortment!$F:$AM,31,0)</f>
        <v>50</v>
      </c>
      <c r="G17" s="291">
        <f>VLOOKUP($C17,[1]Assortment!$F:$AM,14,0)</f>
        <v>153.64888999999999</v>
      </c>
      <c r="H17" s="287">
        <f t="shared" si="16"/>
        <v>30.729778</v>
      </c>
      <c r="I17" s="286">
        <v>1</v>
      </c>
      <c r="J17" s="300">
        <v>2.1727009780176991</v>
      </c>
      <c r="K17" s="300">
        <f t="shared" si="3"/>
        <v>2.4551521051599998</v>
      </c>
      <c r="L17" s="300">
        <v>2.2000000000000002</v>
      </c>
      <c r="M17" s="300">
        <f t="shared" si="4"/>
        <v>2.2660000000000005</v>
      </c>
      <c r="N17" s="327">
        <v>2.2000000000000002</v>
      </c>
      <c r="O17" s="300">
        <f t="shared" si="5"/>
        <v>2.2660000000000005</v>
      </c>
      <c r="P17" s="300">
        <f t="shared" si="6"/>
        <v>1.946902654867257</v>
      </c>
      <c r="Q17" s="300">
        <f t="shared" si="7"/>
        <v>-0.22579832315044213</v>
      </c>
      <c r="R17" s="298">
        <f t="shared" si="8"/>
        <v>2.2660000000000005</v>
      </c>
      <c r="S17" s="293"/>
      <c r="T17" s="294"/>
      <c r="U17" s="295"/>
      <c r="V17" s="148">
        <f t="shared" si="9"/>
        <v>153.64888999999999</v>
      </c>
      <c r="W17" s="296">
        <f t="shared" si="10"/>
        <v>100.26548672566375</v>
      </c>
      <c r="X17" s="355">
        <f>'25年版cogs'!F18</f>
        <v>0.49468306728938327</v>
      </c>
      <c r="Y17" s="365">
        <f>'25年版cogs'!G18</f>
        <v>2.5366739620046732E-2</v>
      </c>
      <c r="Z17" s="332">
        <f t="shared" si="17"/>
        <v>20.360411149315496</v>
      </c>
      <c r="AA17" s="333">
        <f t="shared" si="18"/>
        <v>0.2030650008713725</v>
      </c>
      <c r="AB17" s="324"/>
      <c r="AC17" s="296">
        <f t="shared" si="13"/>
        <v>97.345132743362853</v>
      </c>
      <c r="AD17" s="296">
        <f t="shared" si="15"/>
        <v>17.440057167014601</v>
      </c>
      <c r="AE17" s="143">
        <f t="shared" si="14"/>
        <v>0.17915695089751357</v>
      </c>
      <c r="AF17" s="143">
        <v>1.8186358107355728E-2</v>
      </c>
      <c r="AG17" s="143">
        <v>0.06</v>
      </c>
      <c r="AK17" s="335">
        <v>1.5</v>
      </c>
      <c r="AL17" s="246">
        <f t="shared" si="1"/>
        <v>230.47333499999999</v>
      </c>
    </row>
    <row r="18" spans="2:38">
      <c r="B18" s="304" t="s">
        <v>643</v>
      </c>
      <c r="C18" s="284" t="s">
        <v>211</v>
      </c>
      <c r="D18" s="301" t="str">
        <f>VLOOKUP($C18,[1]Assortment!$F:$BA,5,0)</f>
        <v>221635舒洁卷纸3层纯白10粒（蓝色）</v>
      </c>
      <c r="E18" s="1">
        <f>VLOOKUP($C18,[1]Assortment!$F:$AM,7,0)</f>
        <v>10</v>
      </c>
      <c r="F18" s="1">
        <f>VLOOKUP($C18,[1]Assortment!$F:$AM,31,0)</f>
        <v>100</v>
      </c>
      <c r="G18" s="291">
        <f>VLOOKUP($C18,[1]Assortment!$F:$AM,14,0)</f>
        <v>240.89676</v>
      </c>
      <c r="H18" s="287">
        <f t="shared" si="16"/>
        <v>24.089676000000001</v>
      </c>
      <c r="I18" s="286">
        <v>1</v>
      </c>
      <c r="J18" s="300">
        <v>1.67979822718584</v>
      </c>
      <c r="K18" s="300">
        <f t="shared" si="3"/>
        <v>1.898171996719999</v>
      </c>
      <c r="L18" s="300">
        <v>1.73</v>
      </c>
      <c r="M18" s="300">
        <f t="shared" si="4"/>
        <v>1.7819</v>
      </c>
      <c r="N18" s="327">
        <v>1.73</v>
      </c>
      <c r="O18" s="300">
        <f t="shared" si="5"/>
        <v>1.7819</v>
      </c>
      <c r="P18" s="300">
        <f t="shared" si="6"/>
        <v>1.5309734513274338</v>
      </c>
      <c r="Q18" s="300">
        <f t="shared" si="7"/>
        <v>-0.14882477585840626</v>
      </c>
      <c r="R18" s="298">
        <f t="shared" si="8"/>
        <v>1.7819</v>
      </c>
      <c r="S18" s="293"/>
      <c r="T18" s="294"/>
      <c r="U18" s="295"/>
      <c r="V18" s="148">
        <f t="shared" si="9"/>
        <v>240.89676</v>
      </c>
      <c r="W18" s="296">
        <f t="shared" si="10"/>
        <v>157.69026548672568</v>
      </c>
      <c r="X18" s="355">
        <f>'25年版cogs'!F19</f>
        <v>0.47353963688029582</v>
      </c>
      <c r="Y18" s="365">
        <f>'25年版cogs'!G19</f>
        <v>2.5423333707320025E-2</v>
      </c>
      <c r="Z18" s="332">
        <f t="shared" si="17"/>
        <v>37.491702512193726</v>
      </c>
      <c r="AA18" s="333">
        <f t="shared" si="18"/>
        <v>0.23775533890105452</v>
      </c>
      <c r="AB18" s="324"/>
      <c r="AC18" s="296">
        <f t="shared" si="13"/>
        <v>153.09734513274338</v>
      </c>
      <c r="AD18" s="296">
        <f t="shared" si="15"/>
        <v>32.898782158211432</v>
      </c>
      <c r="AE18" s="143">
        <f t="shared" si="14"/>
        <v>0.2148879990680862</v>
      </c>
      <c r="AF18" s="143">
        <v>7.98664345898904E-2</v>
      </c>
      <c r="AG18" s="143">
        <v>0.08</v>
      </c>
      <c r="AK18" s="335">
        <v>4.0651999999999999</v>
      </c>
      <c r="AL18" s="246">
        <f t="shared" si="1"/>
        <v>979.29350875199998</v>
      </c>
    </row>
    <row r="19" spans="2:38">
      <c r="B19" s="304" t="s">
        <v>643</v>
      </c>
      <c r="C19" s="284" t="s">
        <v>164</v>
      </c>
      <c r="D19" s="142" t="str">
        <f>VLOOKUP($C19,[1]Assortment!$F:$BA,5,0)</f>
        <v>216805舒洁®北海道牛乳系列乳霜纸面巾80抽5包装</v>
      </c>
      <c r="E19" s="1">
        <f>VLOOKUP($C19,[1]Assortment!$F:$AM,7,0)</f>
        <v>3</v>
      </c>
      <c r="F19" s="1">
        <f>VLOOKUP($C19,[1]Assortment!$F:$AM,31,0)</f>
        <v>15</v>
      </c>
      <c r="G19" s="291">
        <f>VLOOKUP($C19,[1]Assortment!$F:$AM,14,0)</f>
        <v>215.56800000000001</v>
      </c>
      <c r="H19" s="287">
        <f t="shared" si="16"/>
        <v>71.856000000000009</v>
      </c>
      <c r="I19" s="286">
        <v>1</v>
      </c>
      <c r="J19" s="300">
        <v>6.5589669380530982</v>
      </c>
      <c r="K19" s="300">
        <f t="shared" si="3"/>
        <v>7.4116326400000005</v>
      </c>
      <c r="L19" s="300">
        <v>7.4116326400000005</v>
      </c>
      <c r="M19" s="300">
        <f t="shared" si="4"/>
        <v>7.633981619200001</v>
      </c>
      <c r="N19" s="300">
        <f>J19*1.13</f>
        <v>7.4116326400000005</v>
      </c>
      <c r="O19" s="300">
        <f t="shared" si="5"/>
        <v>7.633981619200001</v>
      </c>
      <c r="P19" s="300">
        <f t="shared" si="6"/>
        <v>6.5589669380530982</v>
      </c>
      <c r="Q19" s="300">
        <f t="shared" si="7"/>
        <v>0</v>
      </c>
      <c r="R19" s="298">
        <f t="shared" si="8"/>
        <v>7.633981619200001</v>
      </c>
      <c r="S19" s="293"/>
      <c r="T19" s="294"/>
      <c r="U19" s="295"/>
      <c r="V19" s="148">
        <f t="shared" si="9"/>
        <v>215.56800000000001</v>
      </c>
      <c r="W19" s="296">
        <f t="shared" si="10"/>
        <v>101.33603919292038</v>
      </c>
      <c r="X19" s="355">
        <f>'25年版cogs'!F20</f>
        <v>0.26496938359231037</v>
      </c>
      <c r="Y19" s="365">
        <f>'25年版cogs'!G20</f>
        <v>2.5333386569427189E-2</v>
      </c>
      <c r="Z19" s="332">
        <f t="shared" si="17"/>
        <v>38.756051634694934</v>
      </c>
      <c r="AA19" s="333">
        <f t="shared" si="18"/>
        <v>0.38245082345198411</v>
      </c>
      <c r="AB19" s="324"/>
      <c r="AC19" s="296">
        <f t="shared" si="13"/>
        <v>98.384504070796467</v>
      </c>
      <c r="AD19" s="296">
        <f t="shared" si="15"/>
        <v>35.80451651257102</v>
      </c>
      <c r="AE19" s="143">
        <f t="shared" si="14"/>
        <v>0.36392434815554348</v>
      </c>
      <c r="AF19" s="143">
        <v>2.3216315772113902E-2</v>
      </c>
      <c r="AG19" s="143">
        <v>2.3216315772113902E-2</v>
      </c>
      <c r="AK19" s="335">
        <v>1.6062999999999994</v>
      </c>
      <c r="AL19" s="246">
        <f t="shared" si="1"/>
        <v>346.26687839999988</v>
      </c>
    </row>
    <row r="20" spans="2:38">
      <c r="B20" s="304" t="s">
        <v>643</v>
      </c>
      <c r="C20" s="284" t="s">
        <v>157</v>
      </c>
      <c r="D20" s="142" t="str">
        <f>VLOOKUP($C20,[1]Assortment!$F:$BA,5,0)</f>
        <v>216710舒洁®牛乳系列乳霜纸面巾口袋包7抽10包装</v>
      </c>
      <c r="E20" s="1">
        <f>VLOOKUP($C20,[1]Assortment!$F:$AM,7,0)</f>
        <v>12</v>
      </c>
      <c r="F20" s="1">
        <f>VLOOKUP($C20,[1]Assortment!$F:$AM,31,0)</f>
        <v>120</v>
      </c>
      <c r="G20" s="291">
        <f>VLOOKUP($C20,[1]Assortment!$F:$AM,14,0)</f>
        <v>202.8</v>
      </c>
      <c r="H20" s="287">
        <f t="shared" si="16"/>
        <v>16.900000000000002</v>
      </c>
      <c r="I20" s="286">
        <v>1</v>
      </c>
      <c r="J20" s="300">
        <v>0.85</v>
      </c>
      <c r="K20" s="300">
        <f t="shared" si="3"/>
        <v>0.96049999999999991</v>
      </c>
      <c r="L20" s="300">
        <v>0.96049999999999991</v>
      </c>
      <c r="M20" s="300">
        <f t="shared" si="4"/>
        <v>0.98931499999999994</v>
      </c>
      <c r="N20" s="300">
        <f>J20*1.13</f>
        <v>0.96049999999999991</v>
      </c>
      <c r="O20" s="300">
        <f t="shared" si="5"/>
        <v>0.98931499999999994</v>
      </c>
      <c r="P20" s="300">
        <f t="shared" si="6"/>
        <v>0.85</v>
      </c>
      <c r="Q20" s="300">
        <f t="shared" si="7"/>
        <v>0</v>
      </c>
      <c r="R20" s="298">
        <f t="shared" si="8"/>
        <v>0.98931499999999994</v>
      </c>
      <c r="S20" s="293"/>
      <c r="T20" s="294"/>
      <c r="U20" s="295"/>
      <c r="V20" s="148">
        <f t="shared" si="9"/>
        <v>202.8</v>
      </c>
      <c r="W20" s="296">
        <f t="shared" si="10"/>
        <v>105.06</v>
      </c>
      <c r="X20" s="355">
        <f>'25年版cogs'!F21</f>
        <v>0.2909103021060831</v>
      </c>
      <c r="Y20" s="365">
        <f>'25年版cogs'!G21</f>
        <v>2.5403037476649477E-2</v>
      </c>
      <c r="Z20" s="332">
        <f t="shared" si="17"/>
        <v>40.911654732621841</v>
      </c>
      <c r="AA20" s="333">
        <f t="shared" si="18"/>
        <v>0.38941228567125302</v>
      </c>
      <c r="AB20" s="324"/>
      <c r="AC20" s="296">
        <f t="shared" si="13"/>
        <v>102</v>
      </c>
      <c r="AD20" s="296">
        <f t="shared" si="15"/>
        <v>37.851654732621839</v>
      </c>
      <c r="AE20" s="143">
        <f t="shared" si="14"/>
        <v>0.3710946542413906</v>
      </c>
      <c r="AF20" s="143">
        <v>5.6779478175666325E-3</v>
      </c>
      <c r="AG20" s="143">
        <v>5.0000000000000001E-3</v>
      </c>
      <c r="AK20" s="335">
        <v>0.23600000000000002</v>
      </c>
      <c r="AL20" s="246">
        <f t="shared" si="1"/>
        <v>47.860800000000005</v>
      </c>
    </row>
    <row r="21" spans="2:38">
      <c r="B21" s="304" t="s">
        <v>643</v>
      </c>
      <c r="C21" s="284" t="s">
        <v>150</v>
      </c>
      <c r="D21" s="142" t="str">
        <f>VLOOKUP($C21,[1]Assortment!$F:$BA,5,0)</f>
        <v>216208舒洁®北海道牛乳系列乳霜纸面巾20抽8包装</v>
      </c>
      <c r="E21" s="1">
        <f>VLOOKUP($C21,[1]Assortment!$F:$AM,7,0)</f>
        <v>4</v>
      </c>
      <c r="F21" s="1">
        <f>VLOOKUP($C21,[1]Assortment!$F:$AM,31,0)</f>
        <v>32</v>
      </c>
      <c r="G21" s="291">
        <f>VLOOKUP($C21,[1]Assortment!$F:$AM,14,0)</f>
        <v>100.4986</v>
      </c>
      <c r="H21" s="287">
        <f t="shared" si="16"/>
        <v>25.124649999999999</v>
      </c>
      <c r="I21" s="286">
        <v>1</v>
      </c>
      <c r="J21" s="300">
        <v>1.4996182223451324</v>
      </c>
      <c r="K21" s="300">
        <f t="shared" si="3"/>
        <v>1.6945685912499995</v>
      </c>
      <c r="L21" s="300">
        <v>1.6945685912499995</v>
      </c>
      <c r="M21" s="300">
        <f t="shared" si="4"/>
        <v>1.7454056489874996</v>
      </c>
      <c r="N21" s="300">
        <f>J21*1.13</f>
        <v>1.6945685912499995</v>
      </c>
      <c r="O21" s="300">
        <f t="shared" si="5"/>
        <v>1.7454056489874996</v>
      </c>
      <c r="P21" s="300">
        <f t="shared" si="6"/>
        <v>1.4996182223451324</v>
      </c>
      <c r="Q21" s="300">
        <f t="shared" si="7"/>
        <v>0</v>
      </c>
      <c r="R21" s="298">
        <f t="shared" si="8"/>
        <v>1.7454056489874996</v>
      </c>
      <c r="S21" s="293"/>
      <c r="T21" s="294"/>
      <c r="U21" s="295"/>
      <c r="V21" s="148">
        <f t="shared" si="9"/>
        <v>100.4986</v>
      </c>
      <c r="W21" s="296">
        <f t="shared" si="10"/>
        <v>49.42741660849557</v>
      </c>
      <c r="X21" s="355">
        <f>'25年版cogs'!F22</f>
        <v>0.29650668428487109</v>
      </c>
      <c r="Y21" s="365">
        <f>'25年版cogs'!G22</f>
        <v>2.5358570544791955E-2</v>
      </c>
      <c r="Z21" s="332">
        <f t="shared" si="17"/>
        <v>17.080409109471198</v>
      </c>
      <c r="AA21" s="333">
        <f t="shared" si="18"/>
        <v>0.34556548331792486</v>
      </c>
      <c r="AB21" s="324"/>
      <c r="AC21" s="296">
        <f t="shared" si="13"/>
        <v>47.987783115044238</v>
      </c>
      <c r="AD21" s="296">
        <f t="shared" si="15"/>
        <v>15.640775616019866</v>
      </c>
      <c r="AE21" s="143">
        <f t="shared" si="14"/>
        <v>0.32593244781746256</v>
      </c>
      <c r="AF21" s="143">
        <v>5.8378523563716155E-3</v>
      </c>
      <c r="AG21" s="143">
        <v>5.0000000000000001E-3</v>
      </c>
      <c r="AK21" s="335">
        <v>0.64450000000000007</v>
      </c>
      <c r="AL21" s="246">
        <f t="shared" si="1"/>
        <v>64.771347700000007</v>
      </c>
    </row>
    <row r="22" spans="2:38">
      <c r="B22" s="304" t="s">
        <v>643</v>
      </c>
      <c r="C22" s="284" t="s">
        <v>143</v>
      </c>
      <c r="D22" s="352" t="str">
        <f>VLOOKUP($C22,[1]Assortment!$F:$BA,5,0)</f>
        <v>215610舒洁®北海道轻牛乳系列乳霜纸面巾100抽3包装</v>
      </c>
      <c r="E22" s="1">
        <f>VLOOKUP($C22,[1]Assortment!$F:$AM,7,0)</f>
        <v>6</v>
      </c>
      <c r="F22" s="1">
        <f>VLOOKUP($C22,[1]Assortment!$F:$AM,31,0)</f>
        <v>18</v>
      </c>
      <c r="G22" s="291">
        <f>VLOOKUP($C22,[1]Assortment!$F:$AM,14,0)</f>
        <v>215.4</v>
      </c>
      <c r="H22" s="287">
        <f t="shared" si="16"/>
        <v>35.9</v>
      </c>
      <c r="I22" s="286">
        <v>1</v>
      </c>
      <c r="J22" s="300">
        <v>4.1861297935103252</v>
      </c>
      <c r="K22" s="300">
        <f t="shared" si="3"/>
        <v>4.7303266666666675</v>
      </c>
      <c r="L22" s="300">
        <v>5.2</v>
      </c>
      <c r="M22" s="300">
        <f t="shared" si="4"/>
        <v>5.3560000000000008</v>
      </c>
      <c r="N22" s="300">
        <f>K22</f>
        <v>4.7303266666666675</v>
      </c>
      <c r="O22" s="300">
        <f t="shared" si="5"/>
        <v>4.872236466666668</v>
      </c>
      <c r="P22" s="300">
        <f t="shared" si="6"/>
        <v>4.1861297935103252</v>
      </c>
      <c r="Q22" s="300">
        <f t="shared" si="7"/>
        <v>0</v>
      </c>
      <c r="R22" s="298">
        <f t="shared" si="8"/>
        <v>4.872236466666668</v>
      </c>
      <c r="S22" s="293"/>
      <c r="T22" s="294"/>
      <c r="U22" s="295"/>
      <c r="V22" s="148">
        <f t="shared" si="9"/>
        <v>215.4</v>
      </c>
      <c r="W22" s="296">
        <f t="shared" si="10"/>
        <v>77.610846371681447</v>
      </c>
      <c r="X22" s="355">
        <f>'25年版cogs'!F23</f>
        <v>0.22394372927331715</v>
      </c>
      <c r="Y22" s="365">
        <f>'25年版cogs'!G23</f>
        <v>2.5367320298030818E-2</v>
      </c>
      <c r="Z22" s="332">
        <f t="shared" si="17"/>
        <v>23.909246294013094</v>
      </c>
      <c r="AA22" s="333">
        <f t="shared" si="18"/>
        <v>0.30806578476815932</v>
      </c>
      <c r="AB22" s="324"/>
      <c r="AC22" s="296">
        <f t="shared" si="13"/>
        <v>75.350336283185854</v>
      </c>
      <c r="AD22" s="296">
        <f t="shared" si="15"/>
        <v>21.648736205517501</v>
      </c>
      <c r="AE22" s="143">
        <f t="shared" si="14"/>
        <v>0.28730775831120392</v>
      </c>
      <c r="AF22" s="143">
        <v>6.2721701845398648E-3</v>
      </c>
      <c r="AG22" s="143">
        <v>0.01</v>
      </c>
      <c r="AK22" s="335">
        <v>0.47900000000000009</v>
      </c>
      <c r="AL22" s="246">
        <f t="shared" si="1"/>
        <v>103.17660000000002</v>
      </c>
    </row>
    <row r="23" spans="2:38">
      <c r="B23" s="304" t="s">
        <v>643</v>
      </c>
      <c r="C23" s="284" t="s">
        <v>136</v>
      </c>
      <c r="D23" s="306" t="str">
        <f>VLOOKUP($C23,[1]Assortment!$F:$BA,5,0)</f>
        <v>215503舒洁®北海道轻牛乳系列乳霜纸面巾40抽3包装</v>
      </c>
      <c r="E23" s="1">
        <f>VLOOKUP($C23,[1]Assortment!$F:$AM,7,0)</f>
        <v>16</v>
      </c>
      <c r="F23" s="1">
        <f>VLOOKUP($C23,[1]Assortment!$F:$AM,31,0)</f>
        <v>48</v>
      </c>
      <c r="G23" s="291">
        <f>VLOOKUP($C23,[1]Assortment!$F:$AM,14,0)</f>
        <v>222.4</v>
      </c>
      <c r="H23" s="287">
        <f t="shared" si="16"/>
        <v>13.9</v>
      </c>
      <c r="I23" s="286">
        <v>1</v>
      </c>
      <c r="J23" s="300">
        <v>1.7765722713864305</v>
      </c>
      <c r="K23" s="300">
        <f t="shared" si="3"/>
        <v>2.0075266666666662</v>
      </c>
      <c r="L23" s="300">
        <v>2.0075266666666662</v>
      </c>
      <c r="M23" s="300">
        <f t="shared" si="4"/>
        <v>2.0677524666666662</v>
      </c>
      <c r="N23" s="300">
        <f>J23*1.13</f>
        <v>2.0075266666666662</v>
      </c>
      <c r="O23" s="300">
        <f t="shared" si="5"/>
        <v>2.0677524666666662</v>
      </c>
      <c r="P23" s="300">
        <f t="shared" si="6"/>
        <v>1.7765722713864305</v>
      </c>
      <c r="Q23" s="300">
        <f t="shared" si="7"/>
        <v>0</v>
      </c>
      <c r="R23" s="298">
        <f t="shared" si="8"/>
        <v>2.0677524666666662</v>
      </c>
      <c r="S23" s="293"/>
      <c r="T23" s="294"/>
      <c r="U23" s="295"/>
      <c r="V23" s="148">
        <f t="shared" si="9"/>
        <v>222.4</v>
      </c>
      <c r="W23" s="296">
        <f t="shared" si="10"/>
        <v>87.833733097345117</v>
      </c>
      <c r="X23" s="355">
        <f>'25年版cogs'!F24</f>
        <v>0.22149679389880211</v>
      </c>
      <c r="Y23" s="365">
        <f>'25年版cogs'!G24</f>
        <v>2.5475022958540674E-2</v>
      </c>
      <c r="Z23" s="332">
        <f t="shared" si="17"/>
        <v>32.907201028272077</v>
      </c>
      <c r="AA23" s="333">
        <f t="shared" si="18"/>
        <v>0.37465333497554298</v>
      </c>
      <c r="AB23" s="324"/>
      <c r="AC23" s="296">
        <f t="shared" si="13"/>
        <v>85.275469026548663</v>
      </c>
      <c r="AD23" s="296">
        <f t="shared" si="15"/>
        <v>30.348936957475622</v>
      </c>
      <c r="AE23" s="143">
        <f t="shared" si="14"/>
        <v>0.35589293502480929</v>
      </c>
      <c r="AF23" s="143">
        <v>1.7386836643602317E-3</v>
      </c>
      <c r="AG23" s="143">
        <v>6.0000000000000001E-3</v>
      </c>
      <c r="AK23" s="335">
        <v>7.1000000000000008E-2</v>
      </c>
      <c r="AL23" s="246">
        <f t="shared" si="1"/>
        <v>15.790400000000002</v>
      </c>
    </row>
    <row r="24" spans="2:38">
      <c r="B24" s="304" t="s">
        <v>656</v>
      </c>
      <c r="C24" s="284" t="s">
        <v>127</v>
      </c>
      <c r="D24" s="142" t="str">
        <f>VLOOKUP($C24,[1]Assortment!$F:$BA,5,0)</f>
        <v>215204舒洁鎏金系列乳霜纸巾40抽8包</v>
      </c>
      <c r="E24" s="1">
        <f>VLOOKUP($C24,[1]Assortment!$F:$AM,7,0)</f>
        <v>4</v>
      </c>
      <c r="F24" s="1">
        <f>VLOOKUP($C24,[1]Assortment!$F:$AM,31,0)</f>
        <v>32</v>
      </c>
      <c r="G24" s="291">
        <f>VLOOKUP($C24,[1]Assortment!$F:$AM,14,0)</f>
        <v>105.788</v>
      </c>
      <c r="H24" s="287">
        <f t="shared" si="16"/>
        <v>26.446999999999999</v>
      </c>
      <c r="I24" s="286">
        <v>1</v>
      </c>
      <c r="J24" s="300">
        <v>1.3851651991150442</v>
      </c>
      <c r="K24" s="300">
        <f t="shared" si="3"/>
        <v>1.5652366749999997</v>
      </c>
      <c r="L24" s="300">
        <v>1.5652366749999997</v>
      </c>
      <c r="M24" s="300">
        <f t="shared" si="4"/>
        <v>1.6121937752499997</v>
      </c>
      <c r="N24" s="300">
        <f>J24*1.13</f>
        <v>1.5652366749999997</v>
      </c>
      <c r="O24" s="300">
        <f t="shared" si="5"/>
        <v>1.6121937752499997</v>
      </c>
      <c r="P24" s="300">
        <f t="shared" si="6"/>
        <v>1.3851651991150442</v>
      </c>
      <c r="Q24" s="300">
        <f t="shared" si="7"/>
        <v>0</v>
      </c>
      <c r="R24" s="298">
        <f t="shared" si="8"/>
        <v>1.6121937752499997</v>
      </c>
      <c r="S24" s="293"/>
      <c r="T24" s="294"/>
      <c r="U24" s="295"/>
      <c r="V24" s="148">
        <f t="shared" si="9"/>
        <v>105.788</v>
      </c>
      <c r="W24" s="296">
        <f t="shared" si="10"/>
        <v>45.655044962831852</v>
      </c>
      <c r="X24" s="355">
        <f>'25年版cogs'!F25</f>
        <v>0.25536402616000919</v>
      </c>
      <c r="Y24" s="365">
        <f>'25年版cogs'!G25</f>
        <v>2.5361359742858736E-2</v>
      </c>
      <c r="Z24" s="332">
        <f t="shared" si="17"/>
        <v>15.957667838939258</v>
      </c>
      <c r="AA24" s="333">
        <f t="shared" si="18"/>
        <v>0.34952693293655779</v>
      </c>
      <c r="AB24" s="324"/>
      <c r="AC24" s="296">
        <f t="shared" si="13"/>
        <v>44.325286371681415</v>
      </c>
      <c r="AD24" s="296">
        <f t="shared" si="15"/>
        <v>14.627909247788821</v>
      </c>
      <c r="AE24" s="143">
        <f t="shared" si="14"/>
        <v>0.3300127409246546</v>
      </c>
      <c r="AF24" s="143">
        <v>2.2587735612832867E-3</v>
      </c>
      <c r="AG24" s="143">
        <v>2.2587735612832867E-3</v>
      </c>
      <c r="AK24" s="335">
        <v>0.22500000000000001</v>
      </c>
      <c r="AL24" s="246">
        <f t="shared" si="1"/>
        <v>23.802299999999999</v>
      </c>
    </row>
    <row r="25" spans="2:38">
      <c r="B25" s="304" t="s">
        <v>643</v>
      </c>
      <c r="C25" s="284" t="s">
        <v>187</v>
      </c>
      <c r="D25" s="142" t="str">
        <f>VLOOKUP($C25,[1]Assortment!$F:$BA,5,0)</f>
        <v>210761舒洁卡通系列抽纸200抽3包 FSC mix70%</v>
      </c>
      <c r="E25" s="1">
        <f>VLOOKUP($C25,[1]Assortment!$F:$AM,7,0)</f>
        <v>20</v>
      </c>
      <c r="F25" s="1">
        <f>VLOOKUP($C25,[1]Assortment!$F:$AM,31,0)</f>
        <v>60</v>
      </c>
      <c r="G25" s="291">
        <f>VLOOKUP($C25,[1]Assortment!$F:$AM,14,0)</f>
        <v>338.18198999999998</v>
      </c>
      <c r="H25" s="287">
        <f t="shared" si="16"/>
        <v>16.9090995</v>
      </c>
      <c r="I25" s="286">
        <v>1</v>
      </c>
      <c r="J25" s="300">
        <v>3.7503135852212393</v>
      </c>
      <c r="K25" s="300">
        <f t="shared" si="3"/>
        <v>4.2378543513000002</v>
      </c>
      <c r="L25" s="300">
        <v>4.24</v>
      </c>
      <c r="M25" s="300">
        <f t="shared" si="4"/>
        <v>4.3672000000000004</v>
      </c>
      <c r="N25" s="300">
        <v>4.24</v>
      </c>
      <c r="O25" s="300">
        <f t="shared" si="5"/>
        <v>4.3672000000000004</v>
      </c>
      <c r="P25" s="300">
        <f t="shared" si="6"/>
        <v>3.7522123893805315</v>
      </c>
      <c r="Q25" s="300">
        <f t="shared" si="7"/>
        <v>1.8988041592922222E-3</v>
      </c>
      <c r="R25" s="298">
        <f t="shared" si="8"/>
        <v>4.3672000000000004</v>
      </c>
      <c r="S25" s="293"/>
      <c r="T25" s="294"/>
      <c r="U25" s="295"/>
      <c r="V25" s="148">
        <f t="shared" si="9"/>
        <v>338.18198999999998</v>
      </c>
      <c r="W25" s="296">
        <f t="shared" si="10"/>
        <v>231.88672566371687</v>
      </c>
      <c r="X25" s="355">
        <f>'25年版cogs'!F26</f>
        <v>0.42805769036569208</v>
      </c>
      <c r="Y25" s="365">
        <f>'25年版cogs'!G26</f>
        <v>2.5434117717440075E-2</v>
      </c>
      <c r="Z25" s="332">
        <f t="shared" si="17"/>
        <v>78.523963557465152</v>
      </c>
      <c r="AA25" s="333">
        <f t="shared" si="18"/>
        <v>0.33863069709018595</v>
      </c>
      <c r="AB25" s="324"/>
      <c r="AC25" s="296">
        <f t="shared" si="13"/>
        <v>225.13274336283189</v>
      </c>
      <c r="AD25" s="296">
        <f t="shared" si="15"/>
        <v>71.769981256580166</v>
      </c>
      <c r="AE25" s="143">
        <f t="shared" si="14"/>
        <v>0.31878961800289141</v>
      </c>
      <c r="AF25" s="143">
        <v>0.13403528524478422</v>
      </c>
      <c r="AG25" s="143">
        <v>0.12</v>
      </c>
      <c r="AK25" s="335">
        <v>4.8199999999999976</v>
      </c>
      <c r="AL25" s="246">
        <f t="shared" si="1"/>
        <v>1630.0371917999992</v>
      </c>
    </row>
    <row r="26" spans="2:38">
      <c r="B26" s="304" t="s">
        <v>643</v>
      </c>
      <c r="C26" s="284" t="s">
        <v>172</v>
      </c>
      <c r="D26" s="301" t="str">
        <f>VLOOKUP($C26,[1]Assortment!$F:$BA,5,0)</f>
        <v>210390舒洁小熊印花抽纸3层80抽4包FSC mix70%</v>
      </c>
      <c r="E26" s="1">
        <f>VLOOKUP($C26,[1]Assortment!$F:$AM,7,0)</f>
        <v>24</v>
      </c>
      <c r="F26" s="1">
        <f>VLOOKUP($C26,[1]Assortment!$F:$AM,31,0)</f>
        <v>96</v>
      </c>
      <c r="G26" s="291">
        <f>VLOOKUP($C26,[1]Assortment!$F:$AM,14,0)</f>
        <v>287.22305</v>
      </c>
      <c r="H26" s="287">
        <f t="shared" si="16"/>
        <v>11.967627083333333</v>
      </c>
      <c r="I26" s="286">
        <v>1</v>
      </c>
      <c r="J26" s="300">
        <v>2.0583193584070791</v>
      </c>
      <c r="K26" s="300">
        <f>J26*1.13</f>
        <v>2.3259008749999994</v>
      </c>
      <c r="L26" s="300">
        <v>2.16</v>
      </c>
      <c r="M26" s="300">
        <f t="shared" si="4"/>
        <v>2.2248000000000001</v>
      </c>
      <c r="N26" s="327">
        <v>2.16</v>
      </c>
      <c r="O26" s="300">
        <f>N26*1.03</f>
        <v>2.2248000000000001</v>
      </c>
      <c r="P26" s="300">
        <f t="shared" si="6"/>
        <v>1.9115044247787614</v>
      </c>
      <c r="Q26" s="300">
        <f t="shared" si="7"/>
        <v>-0.14681493362831777</v>
      </c>
      <c r="R26" s="298">
        <v>2.2200000000000002</v>
      </c>
      <c r="S26" s="293"/>
      <c r="T26" s="294"/>
      <c r="U26" s="295"/>
      <c r="V26" s="148">
        <f t="shared" si="9"/>
        <v>287.22305</v>
      </c>
      <c r="W26" s="296">
        <f t="shared" si="10"/>
        <v>188.60176991150445</v>
      </c>
      <c r="X26" s="355">
        <f>'25年版cogs'!F27</f>
        <v>0.46342069628326699</v>
      </c>
      <c r="Y26" s="365">
        <f>'25年版cogs'!G27</f>
        <v>2.5450892425433764E-2</v>
      </c>
      <c r="Z26" s="332">
        <f t="shared" si="17"/>
        <v>48.186581144245849</v>
      </c>
      <c r="AA26" s="333">
        <f t="shared" si="18"/>
        <v>0.25549379078921641</v>
      </c>
      <c r="AB26" s="324"/>
      <c r="AC26" s="296">
        <f t="shared" si="13"/>
        <v>183.50442477876109</v>
      </c>
      <c r="AD26" s="296">
        <f t="shared" si="15"/>
        <v>43.089236011502493</v>
      </c>
      <c r="AE26" s="143">
        <f t="shared" si="14"/>
        <v>0.23481306275558356</v>
      </c>
      <c r="AF26" s="143">
        <v>0.1268698985792468</v>
      </c>
      <c r="AG26" s="143">
        <v>0.11</v>
      </c>
      <c r="AK26" s="335">
        <v>5.2749999999999977</v>
      </c>
      <c r="AL26" s="246">
        <f t="shared" si="1"/>
        <v>1515.1015887499993</v>
      </c>
    </row>
    <row r="27" spans="2:38" hidden="1">
      <c r="B27" s="299" t="s">
        <v>643</v>
      </c>
      <c r="C27" s="284" t="s">
        <v>227</v>
      </c>
      <c r="D27" s="142" t="str">
        <f>VLOOKUP($C27,[1]Assortment!$F:$BA,5,0)</f>
        <v>270190舒洁小熊印花手帕纸3层10包FSC mix70%</v>
      </c>
      <c r="E27" s="1">
        <f>VLOOKUP($C27,[1]Assortment!$F:$AM,7,0)</f>
        <v>36</v>
      </c>
      <c r="F27" s="1">
        <f>VLOOKUP($C27,[1]Assortment!$F:$AM,31,0)</f>
        <v>360</v>
      </c>
      <c r="G27" s="291">
        <f>VLOOKUP($C27,[1]Assortment!$F:$AM,14,0)</f>
        <v>208.46834000000001</v>
      </c>
      <c r="H27" s="287">
        <f t="shared" si="16"/>
        <v>5.7907872222222228</v>
      </c>
      <c r="I27" s="286">
        <v>1</v>
      </c>
      <c r="J27" s="300">
        <v>0.41625595691740419</v>
      </c>
      <c r="K27" s="302">
        <f t="shared" si="3"/>
        <v>0.47036923131666669</v>
      </c>
      <c r="L27" s="302"/>
      <c r="M27" s="302"/>
      <c r="N27" s="292">
        <f t="shared" ref="N27:N58" si="19">J27*1.13</f>
        <v>0.47036923131666669</v>
      </c>
      <c r="O27" s="292"/>
      <c r="P27" s="303">
        <f t="shared" ref="P27:P58" si="20">O27/1.13</f>
        <v>0</v>
      </c>
      <c r="Q27" s="303"/>
      <c r="R27" s="298">
        <v>0.41625595691740419</v>
      </c>
      <c r="S27" s="293"/>
      <c r="T27" s="294"/>
      <c r="U27" s="295"/>
      <c r="V27" s="148">
        <f t="shared" si="9"/>
        <v>208.46834000000001</v>
      </c>
      <c r="W27" s="296">
        <f t="shared" si="10"/>
        <v>132.61251724802258</v>
      </c>
      <c r="X27" s="355">
        <f>VLOOKUP(C27,'[3]Cost YTD'!$A:$L,12,0)</f>
        <v>0.43247839805493093</v>
      </c>
      <c r="Y27" s="143">
        <v>2.7E-2</v>
      </c>
      <c r="Z27" s="332">
        <f t="shared" si="17"/>
        <v>36.825818339651889</v>
      </c>
      <c r="AA27" s="333">
        <f t="shared" si="18"/>
        <v>0.27769488962174876</v>
      </c>
      <c r="AB27" s="324"/>
      <c r="AC27" s="296">
        <f t="shared" ref="AC27:AC34" si="21">P27*F27*I27</f>
        <v>0</v>
      </c>
      <c r="AD27" s="296">
        <f t="shared" si="15"/>
        <v>-95.786698908370695</v>
      </c>
      <c r="AE27" s="143" t="e">
        <f t="shared" si="14"/>
        <v>#DIV/0!</v>
      </c>
      <c r="AL27" s="246">
        <f t="shared" si="1"/>
        <v>0</v>
      </c>
    </row>
    <row r="28" spans="2:38" hidden="1">
      <c r="B28" s="299" t="s">
        <v>643</v>
      </c>
      <c r="C28" s="284" t="s">
        <v>8</v>
      </c>
      <c r="D28" s="142" t="str">
        <f>VLOOKUP($C28,[1]Assortment!$F:$BA,5,0)</f>
        <v>269440舒洁湿厕纸家庭装40抽10包装</v>
      </c>
      <c r="E28" s="1">
        <f>VLOOKUP($C28,[1]Assortment!$F:$AM,7,0)</f>
        <v>4</v>
      </c>
      <c r="F28" s="1">
        <f>VLOOKUP($C28,[1]Assortment!$F:$AM,31,0)</f>
        <v>40</v>
      </c>
      <c r="G28" s="291">
        <f>VLOOKUP($C28,[1]Assortment!$F:$AM,14,0)</f>
        <v>330.25</v>
      </c>
      <c r="H28" s="287">
        <f t="shared" si="16"/>
        <v>82.5625</v>
      </c>
      <c r="I28" s="286">
        <v>1</v>
      </c>
      <c r="J28" s="300">
        <v>3.0354980707079644</v>
      </c>
      <c r="K28" s="302">
        <f t="shared" si="3"/>
        <v>3.4301128198999993</v>
      </c>
      <c r="L28" s="302"/>
      <c r="M28" s="302"/>
      <c r="N28" s="292">
        <f t="shared" si="19"/>
        <v>3.4301128198999993</v>
      </c>
      <c r="O28" s="292"/>
      <c r="P28" s="303">
        <f t="shared" si="20"/>
        <v>0</v>
      </c>
      <c r="Q28" s="303"/>
      <c r="R28" s="298">
        <v>3.8500222393141597</v>
      </c>
      <c r="S28" s="293"/>
      <c r="T28" s="294"/>
      <c r="U28" s="295"/>
      <c r="V28" s="148">
        <f t="shared" si="9"/>
        <v>330.25</v>
      </c>
      <c r="W28" s="296">
        <f t="shared" si="10"/>
        <v>136.28397307306761</v>
      </c>
      <c r="X28" s="355">
        <f>VLOOKUP(C28,'[3]Cost YTD'!$A:$L,12,0)</f>
        <v>0.26998220956803232</v>
      </c>
      <c r="Y28" s="143">
        <v>2.7E-2</v>
      </c>
      <c r="Z28" s="332">
        <f t="shared" si="17"/>
        <v>38.205598363224937</v>
      </c>
      <c r="AA28" s="333">
        <f t="shared" si="18"/>
        <v>0.28033816083965574</v>
      </c>
      <c r="AB28" s="324"/>
      <c r="AC28" s="296">
        <f t="shared" si="21"/>
        <v>0</v>
      </c>
      <c r="AD28" s="296">
        <f t="shared" si="15"/>
        <v>-98.078374709842677</v>
      </c>
      <c r="AE28" s="143" t="e">
        <f t="shared" si="14"/>
        <v>#DIV/0!</v>
      </c>
      <c r="AL28" s="246">
        <f t="shared" si="1"/>
        <v>0</v>
      </c>
    </row>
    <row r="29" spans="2:38" hidden="1">
      <c r="B29" s="299" t="s">
        <v>643</v>
      </c>
      <c r="C29" s="284" t="s">
        <v>19</v>
      </c>
      <c r="D29" s="142" t="str">
        <f>VLOOKUP($C29,[1]Assortment!$F:$BA,5,0)</f>
        <v>269430舒洁湿厕纸家庭装40抽</v>
      </c>
      <c r="E29" s="1">
        <f>VLOOKUP($C29,[1]Assortment!$F:$AM,7,0)</f>
        <v>40</v>
      </c>
      <c r="F29" s="1">
        <f>VLOOKUP($C29,[1]Assortment!$F:$AM,31,0)</f>
        <v>40</v>
      </c>
      <c r="G29" s="291">
        <f>VLOOKUP($C29,[1]Assortment!$F:$AM,14,0)</f>
        <v>367.52</v>
      </c>
      <c r="H29" s="287">
        <f t="shared" si="16"/>
        <v>9.1879999999999988</v>
      </c>
      <c r="I29" s="286">
        <v>1</v>
      </c>
      <c r="J29" s="300">
        <v>3.8500222393141597</v>
      </c>
      <c r="K29" s="302">
        <f t="shared" si="3"/>
        <v>4.3505251304249999</v>
      </c>
      <c r="L29" s="302"/>
      <c r="M29" s="302"/>
      <c r="N29" s="292">
        <f t="shared" si="19"/>
        <v>4.3505251304249999</v>
      </c>
      <c r="O29" s="292"/>
      <c r="P29" s="303">
        <f t="shared" si="20"/>
        <v>0</v>
      </c>
      <c r="Q29" s="303"/>
      <c r="R29" s="298">
        <v>3.8500222393141597</v>
      </c>
      <c r="S29" s="293"/>
      <c r="T29" s="294"/>
      <c r="U29" s="295"/>
      <c r="V29" s="148">
        <f t="shared" si="9"/>
        <v>367.52</v>
      </c>
      <c r="W29" s="296">
        <f t="shared" si="10"/>
        <v>136.28397307306761</v>
      </c>
      <c r="X29" s="355">
        <f>VLOOKUP(C29,'[3]Cost YTD'!$A:$L,12,0)</f>
        <v>0.23244983260668389</v>
      </c>
      <c r="Y29" s="143">
        <v>2.7E-2</v>
      </c>
      <c r="Z29" s="332">
        <f t="shared" si="17"/>
        <v>40.930970593459151</v>
      </c>
      <c r="AA29" s="333">
        <f t="shared" si="18"/>
        <v>0.30033590649367348</v>
      </c>
      <c r="AB29" s="324"/>
      <c r="AC29" s="296">
        <f t="shared" si="21"/>
        <v>0</v>
      </c>
      <c r="AD29" s="296">
        <f t="shared" si="15"/>
        <v>-95.353002479608463</v>
      </c>
      <c r="AE29" s="143" t="e">
        <f t="shared" si="14"/>
        <v>#DIV/0!</v>
      </c>
      <c r="AL29" s="246">
        <f t="shared" si="1"/>
        <v>0</v>
      </c>
    </row>
    <row r="30" spans="2:38" hidden="1">
      <c r="B30" s="299" t="s">
        <v>643</v>
      </c>
      <c r="C30" s="284" t="s">
        <v>118</v>
      </c>
      <c r="D30" s="142" t="str">
        <f>VLOOKUP($C30,[1]Assortment!$F:$BA,5,0)</f>
        <v>268220舒洁女性湿厕纸10包装</v>
      </c>
      <c r="E30" s="1">
        <f>VLOOKUP($C30,[1]Assortment!$F:$AM,7,0)</f>
        <v>4</v>
      </c>
      <c r="F30" s="1">
        <f>VLOOKUP($C30,[1]Assortment!$F:$AM,31,0)</f>
        <v>40</v>
      </c>
      <c r="G30" s="291">
        <f>VLOOKUP($C30,[1]Assortment!$F:$AM,14,0)</f>
        <v>255.40530999999999</v>
      </c>
      <c r="H30" s="287">
        <f t="shared" si="16"/>
        <v>63.851327499999996</v>
      </c>
      <c r="I30" s="286">
        <v>1</v>
      </c>
      <c r="J30" s="300">
        <v>2.4659681413938053</v>
      </c>
      <c r="K30" s="302">
        <f t="shared" si="3"/>
        <v>2.7865439997749997</v>
      </c>
      <c r="L30" s="302"/>
      <c r="M30" s="302"/>
      <c r="N30" s="292">
        <f t="shared" si="19"/>
        <v>2.7865439997749997</v>
      </c>
      <c r="O30" s="292"/>
      <c r="P30" s="303">
        <f t="shared" si="20"/>
        <v>0</v>
      </c>
      <c r="Q30" s="303"/>
      <c r="R30" s="298">
        <v>2.4659681413938053</v>
      </c>
      <c r="S30" s="293"/>
      <c r="T30" s="294"/>
      <c r="U30" s="295"/>
      <c r="V30" s="148">
        <f t="shared" si="9"/>
        <v>255.40530999999999</v>
      </c>
      <c r="W30" s="296">
        <f t="shared" si="10"/>
        <v>87.290907659957711</v>
      </c>
      <c r="X30" s="355">
        <f>VLOOKUP(C30,'[3]Cost YTD'!$A:$L,12,0)</f>
        <v>0.2341979756724677</v>
      </c>
      <c r="Y30" s="143">
        <v>2.7E-2</v>
      </c>
      <c r="Z30" s="332">
        <f t="shared" si="17"/>
        <v>20.579557711958643</v>
      </c>
      <c r="AA30" s="333">
        <f t="shared" si="18"/>
        <v>0.23575831966516422</v>
      </c>
      <c r="AB30" s="324"/>
      <c r="AC30" s="296">
        <f t="shared" si="21"/>
        <v>0</v>
      </c>
      <c r="AD30" s="296">
        <f t="shared" si="15"/>
        <v>-66.711349947999068</v>
      </c>
      <c r="AE30" s="143" t="e">
        <f t="shared" si="14"/>
        <v>#DIV/0!</v>
      </c>
      <c r="AL30" s="246">
        <f t="shared" si="1"/>
        <v>0</v>
      </c>
    </row>
    <row r="31" spans="2:38" hidden="1">
      <c r="B31" s="299" t="s">
        <v>643</v>
      </c>
      <c r="C31" s="284" t="s">
        <v>112</v>
      </c>
      <c r="D31" s="142" t="str">
        <f>VLOOKUP($C31,[1]Assortment!$F:$BA,5,0)</f>
        <v>267400舒洁山茶花系列湿厕纸60片x4包</v>
      </c>
      <c r="E31" s="1">
        <f>VLOOKUP($C31,[1]Assortment!$F:$AM,7,0)</f>
        <v>1</v>
      </c>
      <c r="F31" s="1">
        <f>VLOOKUP($C31,[1]Assortment!$F:$AM,31,0)</f>
        <v>4</v>
      </c>
      <c r="G31" s="291">
        <f>VLOOKUP($C31,[1]Assortment!$F:$AM,14,0)</f>
        <v>41.9</v>
      </c>
      <c r="H31" s="287">
        <f t="shared" si="16"/>
        <v>41.9</v>
      </c>
      <c r="I31" s="286">
        <v>1</v>
      </c>
      <c r="J31" s="300">
        <v>5.3848650442477872</v>
      </c>
      <c r="K31" s="302">
        <f t="shared" si="3"/>
        <v>6.0848974999999994</v>
      </c>
      <c r="L31" s="302"/>
      <c r="M31" s="302"/>
      <c r="N31" s="292">
        <f t="shared" si="19"/>
        <v>6.0848974999999994</v>
      </c>
      <c r="O31" s="292"/>
      <c r="P31" s="303">
        <f t="shared" si="20"/>
        <v>0</v>
      </c>
      <c r="Q31" s="303"/>
      <c r="R31" s="298">
        <v>5.3848650442477872</v>
      </c>
      <c r="S31" s="293"/>
      <c r="T31" s="294"/>
      <c r="U31" s="295"/>
      <c r="V31" s="148">
        <f t="shared" si="9"/>
        <v>41.9</v>
      </c>
      <c r="W31" s="296">
        <f t="shared" si="10"/>
        <v>19.061469183178009</v>
      </c>
      <c r="X31" s="355">
        <f>VLOOKUP(C31,'[3]Cost YTD'!$A:$L,12,0)</f>
        <v>0.36133012658561275</v>
      </c>
      <c r="Y31" s="143">
        <v>2.7E-2</v>
      </c>
      <c r="Z31" s="332">
        <f t="shared" si="17"/>
        <v>2.7904368792408327</v>
      </c>
      <c r="AA31" s="333">
        <f t="shared" si="18"/>
        <v>0.14639149020598208</v>
      </c>
      <c r="AB31" s="324"/>
      <c r="AC31" s="296">
        <f t="shared" si="21"/>
        <v>0</v>
      </c>
      <c r="AD31" s="296">
        <f t="shared" si="15"/>
        <v>-16.271032303937176</v>
      </c>
      <c r="AE31" s="143" t="e">
        <f t="shared" si="14"/>
        <v>#DIV/0!</v>
      </c>
      <c r="AL31" s="246">
        <f t="shared" si="1"/>
        <v>0</v>
      </c>
    </row>
    <row r="32" spans="2:38" hidden="1">
      <c r="B32" s="299" t="s">
        <v>643</v>
      </c>
      <c r="C32" s="284" t="s">
        <v>104</v>
      </c>
      <c r="D32" s="142" t="str">
        <f>VLOOKUP($C32,[1]Assortment!$F:$BA,5,0)</f>
        <v>267300舒洁山茶花系列湿厕纸60片</v>
      </c>
      <c r="E32" s="1">
        <f>VLOOKUP($C32,[1]Assortment!$F:$AM,7,0)</f>
        <v>24</v>
      </c>
      <c r="F32" s="1">
        <f>VLOOKUP($C32,[1]Assortment!$F:$AM,31,0)</f>
        <v>24</v>
      </c>
      <c r="G32" s="291">
        <f>VLOOKUP($C32,[1]Assortment!$F:$AM,14,0)</f>
        <v>244.8</v>
      </c>
      <c r="H32" s="287">
        <f t="shared" si="16"/>
        <v>10.200000000000001</v>
      </c>
      <c r="I32" s="286">
        <v>1</v>
      </c>
      <c r="J32" s="300">
        <v>5.7647964601769921</v>
      </c>
      <c r="K32" s="302">
        <f t="shared" si="3"/>
        <v>6.5142200000000008</v>
      </c>
      <c r="L32" s="302"/>
      <c r="M32" s="302"/>
      <c r="N32" s="292">
        <f t="shared" si="19"/>
        <v>6.5142200000000008</v>
      </c>
      <c r="O32" s="292"/>
      <c r="P32" s="303">
        <f t="shared" si="20"/>
        <v>0</v>
      </c>
      <c r="Q32" s="303"/>
      <c r="R32" s="298">
        <v>5.7647964601769921</v>
      </c>
      <c r="S32" s="293"/>
      <c r="T32" s="294"/>
      <c r="U32" s="295"/>
      <c r="V32" s="148">
        <f t="shared" si="9"/>
        <v>244.8</v>
      </c>
      <c r="W32" s="296">
        <f t="shared" si="10"/>
        <v>122.438154906414</v>
      </c>
      <c r="X32" s="355">
        <f>VLOOKUP(C32,'[3]Cost YTD'!$A:$L,12,0)</f>
        <v>0.36023809478885227</v>
      </c>
      <c r="Y32" s="143">
        <v>2.7E-2</v>
      </c>
      <c r="Z32" s="332">
        <f t="shared" si="17"/>
        <v>27.642269302102946</v>
      </c>
      <c r="AA32" s="333">
        <f t="shared" si="18"/>
        <v>0.22576515730109953</v>
      </c>
      <c r="AB32" s="324"/>
      <c r="AC32" s="296">
        <f t="shared" si="21"/>
        <v>0</v>
      </c>
      <c r="AD32" s="296">
        <f t="shared" si="15"/>
        <v>-94.795885604311053</v>
      </c>
      <c r="AE32" s="143" t="e">
        <f t="shared" si="14"/>
        <v>#DIV/0!</v>
      </c>
      <c r="AL32" s="246">
        <f t="shared" si="1"/>
        <v>0</v>
      </c>
    </row>
    <row r="33" spans="2:38" hidden="1">
      <c r="B33" s="299" t="s">
        <v>643</v>
      </c>
      <c r="C33" s="284" t="s">
        <v>77</v>
      </c>
      <c r="D33" s="142" t="str">
        <f>VLOOKUP($C33,[1]Assortment!$F:$BA,5,0)</f>
        <v>267030舒洁湿厕纸旅行装10包装</v>
      </c>
      <c r="E33" s="1">
        <f>VLOOKUP($C33,[1]Assortment!$F:$AM,7,0)</f>
        <v>4</v>
      </c>
      <c r="F33" s="1">
        <f>VLOOKUP($C33,[1]Assortment!$F:$AM,31,0)</f>
        <v>40</v>
      </c>
      <c r="G33" s="291">
        <f>VLOOKUP($C33,[1]Assortment!$F:$AM,14,0)</f>
        <v>151.33000000000001</v>
      </c>
      <c r="H33" s="287">
        <f t="shared" si="16"/>
        <v>37.832500000000003</v>
      </c>
      <c r="I33" s="286">
        <v>1</v>
      </c>
      <c r="J33" s="300">
        <v>1.0634917229424778</v>
      </c>
      <c r="K33" s="302">
        <f t="shared" si="3"/>
        <v>1.2017456469249999</v>
      </c>
      <c r="L33" s="302"/>
      <c r="M33" s="302"/>
      <c r="N33" s="292">
        <f t="shared" si="19"/>
        <v>1.2017456469249999</v>
      </c>
      <c r="O33" s="292"/>
      <c r="P33" s="303">
        <f t="shared" si="20"/>
        <v>0</v>
      </c>
      <c r="Q33" s="303"/>
      <c r="R33" s="298">
        <v>1.0634917229424778</v>
      </c>
      <c r="S33" s="293"/>
      <c r="T33" s="294"/>
      <c r="U33" s="295"/>
      <c r="V33" s="148">
        <f t="shared" si="9"/>
        <v>151.33000000000001</v>
      </c>
      <c r="W33" s="296">
        <f t="shared" si="10"/>
        <v>37.645724705928423</v>
      </c>
      <c r="X33" s="355">
        <f>VLOOKUP(C33,'[3]Cost YTD'!$A:$L,12,0)</f>
        <v>0.19361901119079922</v>
      </c>
      <c r="Y33" s="143">
        <v>2.7E-2</v>
      </c>
      <c r="Z33" s="332">
        <f t="shared" si="17"/>
        <v>4.2594497424247777</v>
      </c>
      <c r="AA33" s="333">
        <f t="shared" si="18"/>
        <v>0.11314564338175703</v>
      </c>
      <c r="AB33" s="324"/>
      <c r="AC33" s="296">
        <f t="shared" si="21"/>
        <v>0</v>
      </c>
      <c r="AD33" s="296">
        <f t="shared" si="15"/>
        <v>-33.386274963503645</v>
      </c>
      <c r="AE33" s="143" t="e">
        <f t="shared" si="14"/>
        <v>#DIV/0!</v>
      </c>
      <c r="AL33" s="246">
        <f t="shared" si="1"/>
        <v>0</v>
      </c>
    </row>
    <row r="34" spans="2:38" hidden="1">
      <c r="B34" s="299" t="s">
        <v>643</v>
      </c>
      <c r="C34" s="284" t="s">
        <v>70</v>
      </c>
      <c r="D34" s="142" t="str">
        <f>VLOOKUP($C34,[1]Assortment!$F:$BA,5,0)</f>
        <v>266600舒洁湿厕纸100片x6包-植物双萃</v>
      </c>
      <c r="E34" s="1">
        <f>VLOOKUP($C34,[1]Assortment!$F:$AM,7,0)</f>
        <v>1</v>
      </c>
      <c r="F34" s="1">
        <f>VLOOKUP($C34,[1]Assortment!$F:$AM,31,0)</f>
        <v>6</v>
      </c>
      <c r="G34" s="291">
        <f>VLOOKUP($C34,[1]Assortment!$F:$AM,14,0)</f>
        <v>86.8</v>
      </c>
      <c r="H34" s="287">
        <f t="shared" si="16"/>
        <v>86.8</v>
      </c>
      <c r="I34" s="286">
        <v>1</v>
      </c>
      <c r="J34" s="300">
        <v>7.2990383480825969</v>
      </c>
      <c r="K34" s="302">
        <f t="shared" si="3"/>
        <v>8.247913333333333</v>
      </c>
      <c r="L34" s="302"/>
      <c r="M34" s="302"/>
      <c r="N34" s="292">
        <f t="shared" si="19"/>
        <v>8.247913333333333</v>
      </c>
      <c r="O34" s="292"/>
      <c r="P34" s="303">
        <f t="shared" si="20"/>
        <v>0</v>
      </c>
      <c r="Q34" s="303"/>
      <c r="R34" s="298">
        <v>7.2990383480825969</v>
      </c>
      <c r="S34" s="293"/>
      <c r="T34" s="294"/>
      <c r="U34" s="295"/>
      <c r="V34" s="148">
        <f t="shared" si="9"/>
        <v>86.8</v>
      </c>
      <c r="W34" s="296">
        <f t="shared" si="10"/>
        <v>38.755955830527064</v>
      </c>
      <c r="X34" s="355">
        <f>VLOOKUP(C34,'[3]Cost YTD'!$A:$L,12,0)</f>
        <v>0.32475112510666782</v>
      </c>
      <c r="Y34" s="143">
        <v>2.7E-2</v>
      </c>
      <c r="Z34" s="332">
        <f t="shared" si="17"/>
        <v>8.223958171268297</v>
      </c>
      <c r="AA34" s="333">
        <f t="shared" si="18"/>
        <v>0.21219856393763609</v>
      </c>
      <c r="AB34" s="324"/>
      <c r="AC34" s="296">
        <f t="shared" si="21"/>
        <v>0</v>
      </c>
      <c r="AD34" s="296">
        <f t="shared" si="15"/>
        <v>-30.531997659258767</v>
      </c>
      <c r="AE34" s="143" t="e">
        <f t="shared" si="14"/>
        <v>#DIV/0!</v>
      </c>
      <c r="AL34" s="246">
        <f t="shared" si="1"/>
        <v>0</v>
      </c>
    </row>
    <row r="35" spans="2:38" hidden="1">
      <c r="B35" s="299" t="s">
        <v>643</v>
      </c>
      <c r="C35" s="284" t="s">
        <v>2</v>
      </c>
      <c r="D35" s="142" t="str">
        <f>VLOOKUP($C35,[1]Assortment!$F:$BA,5,0)</f>
        <v xml:space="preserve">266200舒洁湿厕纸80片x6包 </v>
      </c>
      <c r="E35" s="1">
        <f>VLOOKUP($C35,[1]Assortment!$F:$AM,7,0)</f>
        <v>1</v>
      </c>
      <c r="F35" s="1">
        <f>VLOOKUP($C35,[1]Assortment!$F:$AM,31,0)</f>
        <v>6</v>
      </c>
      <c r="G35" s="291">
        <f>VLOOKUP($C35,[1]Assortment!$F:$AM,14,0)</f>
        <v>69.44</v>
      </c>
      <c r="H35" s="287">
        <f t="shared" si="16"/>
        <v>69.44</v>
      </c>
      <c r="I35" s="286">
        <v>1</v>
      </c>
      <c r="J35" s="300">
        <v>5.320941592920355</v>
      </c>
      <c r="K35" s="302">
        <f t="shared" si="3"/>
        <v>6.0126640000000009</v>
      </c>
      <c r="L35" s="302"/>
      <c r="M35" s="302"/>
      <c r="N35" s="292">
        <f t="shared" si="19"/>
        <v>6.0126640000000009</v>
      </c>
      <c r="O35" s="292"/>
      <c r="P35" s="303">
        <f t="shared" si="20"/>
        <v>0</v>
      </c>
      <c r="Q35" s="303"/>
      <c r="R35" s="298">
        <v>6.4260592920353981</v>
      </c>
      <c r="S35" s="293"/>
      <c r="T35" s="294"/>
      <c r="U35" s="295"/>
      <c r="V35" s="148">
        <f t="shared" ref="V35:V66" si="22">G35*I35</f>
        <v>69.44</v>
      </c>
      <c r="W35" s="296">
        <f t="shared" ref="W35:W66" si="23">R35*F35*I35/1.13</f>
        <v>34.120668807267606</v>
      </c>
      <c r="X35" s="355">
        <f>VLOOKUP(C35,'[3]Cost YTD'!$A:$L,12,0)</f>
        <v>0.32389512456073061</v>
      </c>
      <c r="Y35" s="143">
        <v>2.7E-2</v>
      </c>
      <c r="Z35" s="332">
        <f t="shared" si="17"/>
        <v>9.7545113577704718</v>
      </c>
      <c r="AA35" s="333">
        <f t="shared" si="18"/>
        <v>0.28588277131580692</v>
      </c>
      <c r="AB35" s="324"/>
      <c r="AC35" s="296">
        <f t="shared" ref="AC35:AC66" si="24">P35*F35*I35</f>
        <v>0</v>
      </c>
      <c r="AD35" s="296">
        <f t="shared" si="15"/>
        <v>-24.366157449497134</v>
      </c>
      <c r="AE35" s="143" t="e">
        <f t="shared" si="14"/>
        <v>#DIV/0!</v>
      </c>
      <c r="AL35" s="246">
        <f t="shared" ref="AL35:AL66" si="25">AK35*G35</f>
        <v>0</v>
      </c>
    </row>
    <row r="36" spans="2:38" hidden="1">
      <c r="B36" s="299" t="s">
        <v>643</v>
      </c>
      <c r="C36" s="284" t="s">
        <v>57</v>
      </c>
      <c r="D36" s="142" t="str">
        <f>VLOOKUP($C36,[1]Assortment!$F:$BA,5,0)</f>
        <v>266100舒洁湿厕纸80片x3包</v>
      </c>
      <c r="E36" s="1">
        <f>VLOOKUP($C36,[1]Assortment!$F:$AM,7,0)</f>
        <v>8</v>
      </c>
      <c r="F36" s="1">
        <f>VLOOKUP($C36,[1]Assortment!$F:$AM,31,0)</f>
        <v>24</v>
      </c>
      <c r="G36" s="291">
        <f>VLOOKUP($C36,[1]Assortment!$F:$AM,14,0)</f>
        <v>310.48</v>
      </c>
      <c r="H36" s="287">
        <f t="shared" si="16"/>
        <v>38.81</v>
      </c>
      <c r="I36" s="286">
        <v>1</v>
      </c>
      <c r="J36" s="300">
        <v>6.4260592920353981</v>
      </c>
      <c r="K36" s="302">
        <f t="shared" si="3"/>
        <v>7.2614469999999995</v>
      </c>
      <c r="L36" s="302"/>
      <c r="M36" s="302"/>
      <c r="N36" s="292">
        <f t="shared" si="19"/>
        <v>7.2614469999999995</v>
      </c>
      <c r="O36" s="292"/>
      <c r="P36" s="303">
        <f t="shared" si="20"/>
        <v>0</v>
      </c>
      <c r="Q36" s="303"/>
      <c r="R36" s="298">
        <v>6.4260592920353981</v>
      </c>
      <c r="S36" s="293"/>
      <c r="T36" s="294"/>
      <c r="U36" s="295"/>
      <c r="V36" s="148">
        <f t="shared" si="22"/>
        <v>310.48</v>
      </c>
      <c r="W36" s="296">
        <f t="shared" si="23"/>
        <v>136.48267522907042</v>
      </c>
      <c r="X36" s="355">
        <f>VLOOKUP(C36,'[3]Cost YTD'!$A:$L,12,0)</f>
        <v>0.29821889159854614</v>
      </c>
      <c r="Y36" s="143">
        <v>2.7E-2</v>
      </c>
      <c r="Z36" s="332">
        <f t="shared" si="17"/>
        <v>35.508713765553807</v>
      </c>
      <c r="AA36" s="333">
        <f t="shared" si="18"/>
        <v>0.26017011833887727</v>
      </c>
      <c r="AB36" s="324"/>
      <c r="AC36" s="296">
        <f t="shared" si="24"/>
        <v>0</v>
      </c>
      <c r="AD36" s="296">
        <f t="shared" si="15"/>
        <v>-100.97396146351662</v>
      </c>
      <c r="AE36" s="143" t="e">
        <f t="shared" si="14"/>
        <v>#DIV/0!</v>
      </c>
      <c r="AL36" s="246">
        <f t="shared" si="25"/>
        <v>0</v>
      </c>
    </row>
    <row r="37" spans="2:38" hidden="1">
      <c r="B37" s="299" t="s">
        <v>643</v>
      </c>
      <c r="C37" s="284" t="s">
        <v>635</v>
      </c>
      <c r="D37" s="142" t="e">
        <f>VLOOKUP($C37,[1]Assortment!$F:$BA,5,0)</f>
        <v>#N/A</v>
      </c>
      <c r="E37" s="1" t="e">
        <f>VLOOKUP($C37,[1]Assortment!$F:$AM,7,0)</f>
        <v>#N/A</v>
      </c>
      <c r="F37" s="1" t="e">
        <f>VLOOKUP($C37,[1]Assortment!$F:$AM,31,0)</f>
        <v>#N/A</v>
      </c>
      <c r="G37" s="291" t="e">
        <f>VLOOKUP($C37,[1]Assortment!$F:$AM,14,0)</f>
        <v>#N/A</v>
      </c>
      <c r="H37" s="287" t="e">
        <f t="shared" si="16"/>
        <v>#N/A</v>
      </c>
      <c r="I37" s="286">
        <v>1</v>
      </c>
      <c r="J37" s="300">
        <v>5.7860902654867266</v>
      </c>
      <c r="K37" s="302">
        <f t="shared" si="3"/>
        <v>6.5382820000000006</v>
      </c>
      <c r="L37" s="302"/>
      <c r="M37" s="302"/>
      <c r="N37" s="292">
        <f t="shared" si="19"/>
        <v>6.5382820000000006</v>
      </c>
      <c r="O37" s="292"/>
      <c r="P37" s="303">
        <f t="shared" si="20"/>
        <v>0</v>
      </c>
      <c r="Q37" s="303"/>
      <c r="R37" s="298">
        <v>5.7860902654867266</v>
      </c>
      <c r="S37" s="293"/>
      <c r="T37" s="294"/>
      <c r="U37" s="295"/>
      <c r="V37" s="148" t="e">
        <f t="shared" si="22"/>
        <v>#N/A</v>
      </c>
      <c r="W37" s="296" t="e">
        <f t="shared" si="23"/>
        <v>#N/A</v>
      </c>
      <c r="X37" s="355" t="e">
        <f>VLOOKUP(C37,'[3]Cost YTD'!$A:$L,12,0)</f>
        <v>#N/A</v>
      </c>
      <c r="Y37" s="143">
        <v>2.7E-2</v>
      </c>
      <c r="Z37" s="332" t="e">
        <f t="shared" si="17"/>
        <v>#N/A</v>
      </c>
      <c r="AA37" s="333" t="e">
        <f t="shared" si="18"/>
        <v>#N/A</v>
      </c>
      <c r="AB37" s="324"/>
      <c r="AC37" s="296" t="e">
        <f t="shared" si="24"/>
        <v>#N/A</v>
      </c>
      <c r="AD37" s="296" t="e">
        <f t="shared" si="15"/>
        <v>#N/A</v>
      </c>
      <c r="AE37" s="143" t="e">
        <f t="shared" si="14"/>
        <v>#N/A</v>
      </c>
      <c r="AL37" s="246" t="e">
        <f t="shared" si="25"/>
        <v>#N/A</v>
      </c>
    </row>
    <row r="38" spans="2:38" hidden="1">
      <c r="B38" s="299" t="s">
        <v>643</v>
      </c>
      <c r="C38" s="284" t="s">
        <v>96</v>
      </c>
      <c r="D38" s="142" t="str">
        <f>VLOOKUP($C38,[1]Assortment!$F:$BA,5,0)</f>
        <v>265500舒洁湿厕纸7抽6包装</v>
      </c>
      <c r="E38" s="1">
        <f>VLOOKUP($C38,[1]Assortment!$F:$AM,7,0)</f>
        <v>16</v>
      </c>
      <c r="F38" s="1">
        <f>VLOOKUP($C38,[1]Assortment!$F:$AM,31,0)</f>
        <v>96</v>
      </c>
      <c r="G38" s="291">
        <f>VLOOKUP($C38,[1]Assortment!$F:$AM,14,0)</f>
        <v>179.2</v>
      </c>
      <c r="H38" s="287">
        <f t="shared" si="16"/>
        <v>11.2</v>
      </c>
      <c r="I38" s="286">
        <v>1</v>
      </c>
      <c r="J38" s="300">
        <v>1.0590442477876107</v>
      </c>
      <c r="K38" s="302">
        <f t="shared" si="3"/>
        <v>1.19672</v>
      </c>
      <c r="L38" s="302"/>
      <c r="M38" s="302"/>
      <c r="N38" s="292">
        <f t="shared" si="19"/>
        <v>1.19672</v>
      </c>
      <c r="O38" s="292"/>
      <c r="P38" s="303">
        <f t="shared" si="20"/>
        <v>0</v>
      </c>
      <c r="Q38" s="303"/>
      <c r="R38" s="298">
        <v>1.0590442477876107</v>
      </c>
      <c r="S38" s="293"/>
      <c r="T38" s="294"/>
      <c r="U38" s="295"/>
      <c r="V38" s="148">
        <f t="shared" si="22"/>
        <v>179.2</v>
      </c>
      <c r="W38" s="296">
        <f t="shared" si="23"/>
        <v>89.971900697000564</v>
      </c>
      <c r="X38" s="355">
        <f>VLOOKUP(C38,'[3]Cost YTD'!$A:$L,12,0)</f>
        <v>0.2663167418092946</v>
      </c>
      <c r="Y38" s="143">
        <v>2.7E-2</v>
      </c>
      <c r="Z38" s="332">
        <f t="shared" si="17"/>
        <v>37.409540564774971</v>
      </c>
      <c r="AA38" s="333">
        <f t="shared" si="18"/>
        <v>0.41579137791875181</v>
      </c>
      <c r="AB38" s="324"/>
      <c r="AC38" s="296">
        <f t="shared" si="24"/>
        <v>0</v>
      </c>
      <c r="AD38" s="296">
        <f t="shared" si="15"/>
        <v>-52.562360132225592</v>
      </c>
      <c r="AE38" s="143" t="e">
        <f t="shared" si="14"/>
        <v>#DIV/0!</v>
      </c>
      <c r="AL38" s="246">
        <f t="shared" si="25"/>
        <v>0</v>
      </c>
    </row>
    <row r="39" spans="2:38" hidden="1">
      <c r="B39" s="299" t="s">
        <v>643</v>
      </c>
      <c r="C39" s="284" t="s">
        <v>244</v>
      </c>
      <c r="D39" s="142" t="str">
        <f>VLOOKUP($C39,[1]Assortment!$F:$BA,5,0)</f>
        <v>261300舒洁无香湿巾单包装</v>
      </c>
      <c r="E39" s="1">
        <f>VLOOKUP($C39,[1]Assortment!$F:$AM,7,0)</f>
        <v>30</v>
      </c>
      <c r="F39" s="1">
        <f>VLOOKUP($C39,[1]Assortment!$F:$AM,31,0)</f>
        <v>30</v>
      </c>
      <c r="G39" s="291">
        <f>VLOOKUP($C39,[1]Assortment!$F:$AM,14,0)</f>
        <v>91.362830000000002</v>
      </c>
      <c r="H39" s="287">
        <f t="shared" si="16"/>
        <v>3.0454276666666669</v>
      </c>
      <c r="I39" s="286">
        <v>1</v>
      </c>
      <c r="J39" s="300">
        <v>1.7050973469911501</v>
      </c>
      <c r="K39" s="302">
        <f t="shared" si="3"/>
        <v>1.9267600020999995</v>
      </c>
      <c r="L39" s="302"/>
      <c r="M39" s="302"/>
      <c r="N39" s="292">
        <f t="shared" si="19"/>
        <v>1.9267600020999995</v>
      </c>
      <c r="O39" s="292"/>
      <c r="P39" s="303">
        <f t="shared" si="20"/>
        <v>0</v>
      </c>
      <c r="Q39" s="303"/>
      <c r="R39" s="298">
        <v>1.7050973469911501</v>
      </c>
      <c r="S39" s="293"/>
      <c r="T39" s="294"/>
      <c r="U39" s="295"/>
      <c r="V39" s="148">
        <f t="shared" si="22"/>
        <v>91.362830000000002</v>
      </c>
      <c r="W39" s="296">
        <f t="shared" si="23"/>
        <v>45.268071159057087</v>
      </c>
      <c r="X39" s="355">
        <f>VLOOKUP(C39,'[3]Cost YTD'!$A:$L,12,0)</f>
        <v>0.33841875289225204</v>
      </c>
      <c r="Y39" s="143">
        <v>2.7E-2</v>
      </c>
      <c r="Z39" s="332">
        <f t="shared" si="17"/>
        <v>11.882379759750251</v>
      </c>
      <c r="AA39" s="333">
        <f t="shared" si="18"/>
        <v>0.26248919946245297</v>
      </c>
      <c r="AB39" s="324"/>
      <c r="AC39" s="296">
        <f t="shared" si="24"/>
        <v>0</v>
      </c>
      <c r="AD39" s="296">
        <f t="shared" si="15"/>
        <v>-33.385691399306836</v>
      </c>
      <c r="AE39" s="143" t="e">
        <f t="shared" si="14"/>
        <v>#DIV/0!</v>
      </c>
      <c r="AL39" s="246">
        <f t="shared" si="25"/>
        <v>0</v>
      </c>
    </row>
    <row r="40" spans="2:38" hidden="1">
      <c r="B40" s="299" t="s">
        <v>643</v>
      </c>
      <c r="C40" s="284" t="s">
        <v>236</v>
      </c>
      <c r="D40" s="142" t="str">
        <f>VLOOKUP($C40,[1]Assortment!$F:$BA,5,0)</f>
        <v>253000舒洁蚕丝洗脸巾80抽3包装</v>
      </c>
      <c r="E40" s="1">
        <f>VLOOKUP($C40,[1]Assortment!$F:$AM,7,0)</f>
        <v>6</v>
      </c>
      <c r="F40" s="1">
        <f>VLOOKUP($C40,[1]Assortment!$F:$AM,31,0)</f>
        <v>18</v>
      </c>
      <c r="G40" s="291">
        <f>VLOOKUP($C40,[1]Assortment!$F:$AM,14,0)</f>
        <v>358.2</v>
      </c>
      <c r="H40" s="287">
        <f t="shared" si="16"/>
        <v>59.699999999999996</v>
      </c>
      <c r="I40" s="286">
        <v>1</v>
      </c>
      <c r="J40" s="300">
        <v>7.3941504424778763</v>
      </c>
      <c r="K40" s="302">
        <f t="shared" si="3"/>
        <v>8.3553899999999999</v>
      </c>
      <c r="L40" s="302"/>
      <c r="M40" s="302"/>
      <c r="N40" s="292">
        <f t="shared" si="19"/>
        <v>8.3553899999999999</v>
      </c>
      <c r="O40" s="292"/>
      <c r="P40" s="303">
        <f t="shared" si="20"/>
        <v>0</v>
      </c>
      <c r="Q40" s="303"/>
      <c r="R40" s="298">
        <v>7.3941504424778763</v>
      </c>
      <c r="S40" s="293"/>
      <c r="T40" s="294"/>
      <c r="U40" s="295"/>
      <c r="V40" s="148">
        <f t="shared" si="22"/>
        <v>358.2</v>
      </c>
      <c r="W40" s="296">
        <f t="shared" si="23"/>
        <v>117.78292740230248</v>
      </c>
      <c r="X40" s="355">
        <f>VLOOKUP(C40,'[3]Cost YTD'!$A:$L,12,0)</f>
        <v>0.25617794633936342</v>
      </c>
      <c r="Y40" s="143">
        <v>2.7E-2</v>
      </c>
      <c r="Z40" s="332">
        <f t="shared" si="17"/>
        <v>16.348587023542493</v>
      </c>
      <c r="AA40" s="333">
        <f t="shared" si="18"/>
        <v>0.1388026888455729</v>
      </c>
      <c r="AB40" s="324"/>
      <c r="AC40" s="296">
        <f t="shared" si="24"/>
        <v>0</v>
      </c>
      <c r="AD40" s="296">
        <f t="shared" si="15"/>
        <v>-101.43434037875998</v>
      </c>
      <c r="AE40" s="143" t="e">
        <f t="shared" si="14"/>
        <v>#DIV/0!</v>
      </c>
      <c r="AL40" s="246">
        <f t="shared" si="25"/>
        <v>0</v>
      </c>
    </row>
    <row r="41" spans="2:38" hidden="1">
      <c r="B41" s="299" t="s">
        <v>643</v>
      </c>
      <c r="C41" s="284" t="s">
        <v>195</v>
      </c>
      <c r="D41" s="142" t="str">
        <f>VLOOKUP($C41,[1]Assortment!$F:$BA,5,0)</f>
        <v>231216 舒洁马蹄莲盒面纸200抽3盒 FSC mix70%</v>
      </c>
      <c r="E41" s="1">
        <f>VLOOKUP($C41,[1]Assortment!$F:$AM,7,0)</f>
        <v>10</v>
      </c>
      <c r="F41" s="1">
        <f>VLOOKUP($C41,[1]Assortment!$F:$AM,31,0)</f>
        <v>30</v>
      </c>
      <c r="G41" s="291">
        <f>VLOOKUP($C41,[1]Assortment!$F:$AM,14,0)</f>
        <v>243.21306999999999</v>
      </c>
      <c r="H41" s="287">
        <f t="shared" si="16"/>
        <v>24.321306999999997</v>
      </c>
      <c r="I41" s="286">
        <v>1</v>
      </c>
      <c r="J41" s="300">
        <v>5.4662264580235984</v>
      </c>
      <c r="K41" s="302">
        <f t="shared" si="3"/>
        <v>6.176835897566666</v>
      </c>
      <c r="L41" s="302"/>
      <c r="M41" s="302"/>
      <c r="N41" s="292">
        <f t="shared" si="19"/>
        <v>6.176835897566666</v>
      </c>
      <c r="O41" s="292"/>
      <c r="P41" s="303">
        <f t="shared" si="20"/>
        <v>0</v>
      </c>
      <c r="Q41" s="303"/>
      <c r="R41" s="298">
        <v>5.4662264580235984</v>
      </c>
      <c r="S41" s="293"/>
      <c r="T41" s="294"/>
      <c r="U41" s="295"/>
      <c r="V41" s="148">
        <f t="shared" si="22"/>
        <v>243.21306999999999</v>
      </c>
      <c r="W41" s="296">
        <f t="shared" si="23"/>
        <v>145.12105640770616</v>
      </c>
      <c r="X41" s="355">
        <f>VLOOKUP(C41,'[3]Cost YTD'!$A:$L,12,0)</f>
        <v>0.40988132072151023</v>
      </c>
      <c r="Y41" s="143">
        <v>2.7E-2</v>
      </c>
      <c r="Z41" s="332">
        <f t="shared" si="17"/>
        <v>38.865809169373037</v>
      </c>
      <c r="AA41" s="333">
        <f t="shared" si="18"/>
        <v>0.26781647082407262</v>
      </c>
      <c r="AB41" s="324"/>
      <c r="AC41" s="296">
        <f t="shared" si="24"/>
        <v>0</v>
      </c>
      <c r="AD41" s="296">
        <f t="shared" si="15"/>
        <v>-106.25524723833313</v>
      </c>
      <c r="AE41" s="143" t="e">
        <f t="shared" si="14"/>
        <v>#DIV/0!</v>
      </c>
      <c r="AL41" s="246">
        <f t="shared" si="25"/>
        <v>0</v>
      </c>
    </row>
    <row r="42" spans="2:38" hidden="1">
      <c r="B42" s="299" t="s">
        <v>643</v>
      </c>
      <c r="C42" s="284" t="s">
        <v>219</v>
      </c>
      <c r="D42" s="142" t="str">
        <f>VLOOKUP($C42,[1]Assortment!$F:$BA,5,0)</f>
        <v>229160舒洁绿茶洋甘菊印花清香卷纸10粒</v>
      </c>
      <c r="E42" s="1">
        <f>VLOOKUP($C42,[1]Assortment!$F:$AM,7,0)</f>
        <v>5</v>
      </c>
      <c r="F42" s="1">
        <f>VLOOKUP($C42,[1]Assortment!$F:$AM,31,0)</f>
        <v>50</v>
      </c>
      <c r="G42" s="291">
        <f>VLOOKUP($C42,[1]Assortment!$F:$AM,14,0)</f>
        <v>153.64888999999999</v>
      </c>
      <c r="H42" s="287">
        <f t="shared" si="16"/>
        <v>30.729778</v>
      </c>
      <c r="I42" s="286">
        <v>1</v>
      </c>
      <c r="J42" s="300">
        <v>2.2679876571504423</v>
      </c>
      <c r="K42" s="302">
        <f t="shared" si="3"/>
        <v>2.5628260525799993</v>
      </c>
      <c r="L42" s="302"/>
      <c r="M42" s="302"/>
      <c r="N42" s="292">
        <f t="shared" si="19"/>
        <v>2.5628260525799993</v>
      </c>
      <c r="O42" s="292"/>
      <c r="P42" s="303">
        <f t="shared" si="20"/>
        <v>0</v>
      </c>
      <c r="Q42" s="303"/>
      <c r="R42" s="298">
        <v>2.2679876571504423</v>
      </c>
      <c r="S42" s="293"/>
      <c r="T42" s="294"/>
      <c r="U42" s="295"/>
      <c r="V42" s="148">
        <f t="shared" si="22"/>
        <v>153.64888999999999</v>
      </c>
      <c r="W42" s="296">
        <f t="shared" si="23"/>
        <v>100.35343615709922</v>
      </c>
      <c r="X42" s="355">
        <f>VLOOKUP(C42,'[3]Cost YTD'!$A:$L,12,0)</f>
        <v>0.50615632874392735</v>
      </c>
      <c r="Y42" s="143">
        <v>2.7E-2</v>
      </c>
      <c r="Z42" s="332">
        <f t="shared" si="17"/>
        <v>18.434558049119687</v>
      </c>
      <c r="AA42" s="333">
        <f t="shared" si="18"/>
        <v>0.18369633123733936</v>
      </c>
      <c r="AB42" s="324"/>
      <c r="AC42" s="296">
        <f t="shared" si="24"/>
        <v>0</v>
      </c>
      <c r="AD42" s="296">
        <f t="shared" si="15"/>
        <v>-81.918878107979538</v>
      </c>
      <c r="AE42" s="143" t="e">
        <f t="shared" si="14"/>
        <v>#DIV/0!</v>
      </c>
      <c r="AL42" s="246">
        <f t="shared" si="25"/>
        <v>0</v>
      </c>
    </row>
    <row r="43" spans="2:38" hidden="1">
      <c r="B43" s="299" t="s">
        <v>643</v>
      </c>
      <c r="C43" s="284" t="s">
        <v>211</v>
      </c>
      <c r="D43" s="142" t="str">
        <f>VLOOKUP($C43,[1]Assortment!$F:$BA,5,0)</f>
        <v>221635舒洁卷纸3层纯白10粒（蓝色）</v>
      </c>
      <c r="E43" s="1">
        <f>VLOOKUP($C43,[1]Assortment!$F:$AM,7,0)</f>
        <v>10</v>
      </c>
      <c r="F43" s="1">
        <f>VLOOKUP($C43,[1]Assortment!$F:$AM,31,0)</f>
        <v>100</v>
      </c>
      <c r="G43" s="291">
        <f>VLOOKUP($C43,[1]Assortment!$F:$AM,14,0)</f>
        <v>240.89676</v>
      </c>
      <c r="H43" s="287">
        <f t="shared" si="16"/>
        <v>24.089676000000001</v>
      </c>
      <c r="I43" s="286">
        <v>1</v>
      </c>
      <c r="J43" s="300">
        <v>17.675539808495579</v>
      </c>
      <c r="K43" s="302">
        <f t="shared" si="3"/>
        <v>19.973359983600002</v>
      </c>
      <c r="L43" s="302"/>
      <c r="M43" s="302"/>
      <c r="N43" s="292">
        <f t="shared" si="19"/>
        <v>19.973359983600002</v>
      </c>
      <c r="O43" s="292"/>
      <c r="P43" s="303">
        <f t="shared" si="20"/>
        <v>0</v>
      </c>
      <c r="Q43" s="303"/>
      <c r="R43" s="298">
        <v>1.8</v>
      </c>
      <c r="S43" s="293"/>
      <c r="T43" s="294"/>
      <c r="U43" s="295"/>
      <c r="V43" s="148">
        <f t="shared" si="22"/>
        <v>240.89676</v>
      </c>
      <c r="W43" s="296">
        <f t="shared" si="23"/>
        <v>159.2920353982301</v>
      </c>
      <c r="X43" s="355">
        <f>VLOOKUP(C43,'[3]Cost YTD'!$A:$L,12,0)</f>
        <v>0.48521181381160644</v>
      </c>
      <c r="Y43" s="143">
        <v>2.7E-2</v>
      </c>
      <c r="Z43" s="332">
        <f t="shared" si="17"/>
        <v>35.901869017290863</v>
      </c>
      <c r="AA43" s="333">
        <f t="shared" si="18"/>
        <v>0.22538395549743706</v>
      </c>
      <c r="AB43" s="324"/>
      <c r="AC43" s="296">
        <f t="shared" si="24"/>
        <v>0</v>
      </c>
      <c r="AD43" s="296">
        <f t="shared" si="15"/>
        <v>-123.39016638093923</v>
      </c>
      <c r="AE43" s="143" t="e">
        <f t="shared" si="14"/>
        <v>#DIV/0!</v>
      </c>
      <c r="AL43" s="246">
        <f t="shared" si="25"/>
        <v>0</v>
      </c>
    </row>
    <row r="44" spans="2:38" hidden="1">
      <c r="B44" s="299" t="s">
        <v>643</v>
      </c>
      <c r="C44" s="284" t="s">
        <v>164</v>
      </c>
      <c r="D44" s="142" t="str">
        <f>VLOOKUP($C44,[1]Assortment!$F:$BA,5,0)</f>
        <v>216805舒洁®北海道牛乳系列乳霜纸面巾80抽5包装</v>
      </c>
      <c r="E44" s="1">
        <f>VLOOKUP($C44,[1]Assortment!$F:$AM,7,0)</f>
        <v>3</v>
      </c>
      <c r="F44" s="1">
        <f>VLOOKUP($C44,[1]Assortment!$F:$AM,31,0)</f>
        <v>15</v>
      </c>
      <c r="G44" s="291">
        <f>VLOOKUP($C44,[1]Assortment!$F:$AM,14,0)</f>
        <v>215.56800000000001</v>
      </c>
      <c r="H44" s="287">
        <f t="shared" si="16"/>
        <v>71.856000000000009</v>
      </c>
      <c r="I44" s="286">
        <v>1</v>
      </c>
      <c r="J44" s="300">
        <v>7.0024923185840722</v>
      </c>
      <c r="K44" s="302">
        <f t="shared" si="3"/>
        <v>7.912816320000001</v>
      </c>
      <c r="L44" s="302"/>
      <c r="M44" s="302"/>
      <c r="N44" s="292">
        <f t="shared" si="19"/>
        <v>7.912816320000001</v>
      </c>
      <c r="O44" s="292"/>
      <c r="P44" s="303">
        <f t="shared" si="20"/>
        <v>0</v>
      </c>
      <c r="Q44" s="303"/>
      <c r="R44" s="298">
        <v>7.2</v>
      </c>
      <c r="S44" s="293"/>
      <c r="T44" s="294"/>
      <c r="U44" s="295"/>
      <c r="V44" s="148">
        <f t="shared" si="22"/>
        <v>215.56800000000001</v>
      </c>
      <c r="W44" s="296">
        <f t="shared" si="23"/>
        <v>95.575221238938056</v>
      </c>
      <c r="X44" s="355">
        <f>VLOOKUP(C44,'[3]Cost YTD'!$A:$L,12,0)</f>
        <v>0.28547005678913662</v>
      </c>
      <c r="Y44" s="143">
        <v>2.7E-2</v>
      </c>
      <c r="Z44" s="332">
        <f t="shared" si="17"/>
        <v>28.21667603701745</v>
      </c>
      <c r="AA44" s="333">
        <f t="shared" si="18"/>
        <v>0.29523003631323813</v>
      </c>
      <c r="AB44" s="324"/>
      <c r="AC44" s="296">
        <f t="shared" si="24"/>
        <v>0</v>
      </c>
      <c r="AD44" s="296">
        <f t="shared" si="15"/>
        <v>-67.358545201920606</v>
      </c>
      <c r="AE44" s="143" t="e">
        <f t="shared" si="14"/>
        <v>#DIV/0!</v>
      </c>
      <c r="AL44" s="246">
        <f t="shared" si="25"/>
        <v>0</v>
      </c>
    </row>
    <row r="45" spans="2:38" hidden="1">
      <c r="B45" s="299" t="s">
        <v>643</v>
      </c>
      <c r="C45" s="284" t="s">
        <v>157</v>
      </c>
      <c r="D45" s="142" t="str">
        <f>VLOOKUP($C45,[1]Assortment!$F:$BA,5,0)</f>
        <v>216710舒洁®牛乳系列乳霜纸面巾口袋包7抽10包装</v>
      </c>
      <c r="E45" s="1">
        <f>VLOOKUP($C45,[1]Assortment!$F:$AM,7,0)</f>
        <v>12</v>
      </c>
      <c r="F45" s="1">
        <f>VLOOKUP($C45,[1]Assortment!$F:$AM,31,0)</f>
        <v>120</v>
      </c>
      <c r="G45" s="291">
        <f>VLOOKUP($C45,[1]Assortment!$F:$AM,14,0)</f>
        <v>202.8</v>
      </c>
      <c r="H45" s="287">
        <f t="shared" si="16"/>
        <v>16.900000000000002</v>
      </c>
      <c r="I45" s="286">
        <v>1</v>
      </c>
      <c r="J45" s="300">
        <v>0.80416725663716826</v>
      </c>
      <c r="K45" s="302">
        <f t="shared" si="3"/>
        <v>0.9087090000000001</v>
      </c>
      <c r="L45" s="302"/>
      <c r="M45" s="302"/>
      <c r="N45" s="292">
        <f t="shared" si="19"/>
        <v>0.9087090000000001</v>
      </c>
      <c r="O45" s="292"/>
      <c r="P45" s="303">
        <f t="shared" si="20"/>
        <v>0</v>
      </c>
      <c r="Q45" s="303"/>
      <c r="R45" s="298">
        <v>0.80416725663716826</v>
      </c>
      <c r="S45" s="293"/>
      <c r="T45" s="294"/>
      <c r="U45" s="295"/>
      <c r="V45" s="148">
        <f t="shared" si="22"/>
        <v>202.8</v>
      </c>
      <c r="W45" s="296">
        <f t="shared" si="23"/>
        <v>85.398292740230261</v>
      </c>
      <c r="X45" s="355">
        <f>VLOOKUP(C45,'[3]Cost YTD'!$A:$L,12,0)</f>
        <v>0.30604535523662951</v>
      </c>
      <c r="Y45" s="143">
        <v>2.7E-2</v>
      </c>
      <c r="Z45" s="332">
        <f t="shared" si="17"/>
        <v>17.856694698241782</v>
      </c>
      <c r="AA45" s="333">
        <f t="shared" si="18"/>
        <v>0.20909896586058652</v>
      </c>
      <c r="AB45" s="324"/>
      <c r="AC45" s="296">
        <f t="shared" si="24"/>
        <v>0</v>
      </c>
      <c r="AD45" s="296">
        <f t="shared" si="15"/>
        <v>-67.541598041988479</v>
      </c>
      <c r="AE45" s="143" t="e">
        <f t="shared" si="14"/>
        <v>#DIV/0!</v>
      </c>
      <c r="AL45" s="246">
        <f t="shared" si="25"/>
        <v>0</v>
      </c>
    </row>
    <row r="46" spans="2:38" hidden="1">
      <c r="B46" s="299" t="s">
        <v>643</v>
      </c>
      <c r="C46" s="284" t="s">
        <v>150</v>
      </c>
      <c r="D46" s="142" t="str">
        <f>VLOOKUP($C46,[1]Assortment!$F:$BA,5,0)</f>
        <v>216208舒洁®北海道牛乳系列乳霜纸面巾20抽8包装</v>
      </c>
      <c r="E46" s="1">
        <f>VLOOKUP($C46,[1]Assortment!$F:$AM,7,0)</f>
        <v>4</v>
      </c>
      <c r="F46" s="1">
        <f>VLOOKUP($C46,[1]Assortment!$F:$AM,31,0)</f>
        <v>32</v>
      </c>
      <c r="G46" s="291">
        <f>VLOOKUP($C46,[1]Assortment!$F:$AM,14,0)</f>
        <v>100.4986</v>
      </c>
      <c r="H46" s="287">
        <f t="shared" si="16"/>
        <v>25.124649999999999</v>
      </c>
      <c r="I46" s="286">
        <v>1</v>
      </c>
      <c r="J46" s="300">
        <v>1.601579022676991</v>
      </c>
      <c r="K46" s="302">
        <f t="shared" si="3"/>
        <v>1.8097842956249997</v>
      </c>
      <c r="L46" s="302"/>
      <c r="M46" s="302"/>
      <c r="N46" s="292">
        <f t="shared" si="19"/>
        <v>1.8097842956249997</v>
      </c>
      <c r="O46" s="292"/>
      <c r="P46" s="303">
        <f t="shared" si="20"/>
        <v>0</v>
      </c>
      <c r="Q46" s="303"/>
      <c r="R46" s="298">
        <v>1.601579022676991</v>
      </c>
      <c r="S46" s="293"/>
      <c r="T46" s="294"/>
      <c r="U46" s="295"/>
      <c r="V46" s="148">
        <f t="shared" si="22"/>
        <v>100.4986</v>
      </c>
      <c r="W46" s="296">
        <f t="shared" si="23"/>
        <v>45.354450199702406</v>
      </c>
      <c r="X46" s="355">
        <f>VLOOKUP(C46,'[3]Cost YTD'!$A:$L,12,0)</f>
        <v>0.31234929480367374</v>
      </c>
      <c r="Y46" s="143">
        <v>2.7E-2</v>
      </c>
      <c r="Z46" s="332">
        <f t="shared" si="17"/>
        <v>11.250321160945916</v>
      </c>
      <c r="AA46" s="333">
        <f t="shared" si="18"/>
        <v>0.24805330262871833</v>
      </c>
      <c r="AB46" s="324"/>
      <c r="AC46" s="296">
        <f t="shared" si="24"/>
        <v>0</v>
      </c>
      <c r="AD46" s="296">
        <f t="shared" si="15"/>
        <v>-34.10412903875649</v>
      </c>
      <c r="AE46" s="143" t="e">
        <f t="shared" si="14"/>
        <v>#DIV/0!</v>
      </c>
      <c r="AL46" s="246">
        <f t="shared" si="25"/>
        <v>0</v>
      </c>
    </row>
    <row r="47" spans="2:38" hidden="1">
      <c r="B47" s="299" t="s">
        <v>643</v>
      </c>
      <c r="C47" s="284" t="s">
        <v>143</v>
      </c>
      <c r="D47" s="142" t="str">
        <f>VLOOKUP($C47,[1]Assortment!$F:$BA,5,0)</f>
        <v>215610舒洁®北海道轻牛乳系列乳霜纸面巾100抽3包装</v>
      </c>
      <c r="E47" s="1">
        <f>VLOOKUP($C47,[1]Assortment!$F:$AM,7,0)</f>
        <v>6</v>
      </c>
      <c r="F47" s="1">
        <f>VLOOKUP($C47,[1]Assortment!$F:$AM,31,0)</f>
        <v>18</v>
      </c>
      <c r="G47" s="291">
        <f>VLOOKUP($C47,[1]Assortment!$F:$AM,14,0)</f>
        <v>215.4</v>
      </c>
      <c r="H47" s="287">
        <f t="shared" si="16"/>
        <v>35.9</v>
      </c>
      <c r="I47" s="286">
        <v>1</v>
      </c>
      <c r="J47" s="300">
        <v>4.5967522123893803</v>
      </c>
      <c r="K47" s="302">
        <f t="shared" si="3"/>
        <v>5.194329999999999</v>
      </c>
      <c r="L47" s="302"/>
      <c r="M47" s="302"/>
      <c r="N47" s="292">
        <f t="shared" si="19"/>
        <v>5.194329999999999</v>
      </c>
      <c r="O47" s="292"/>
      <c r="P47" s="303">
        <f t="shared" si="20"/>
        <v>0</v>
      </c>
      <c r="Q47" s="303"/>
      <c r="R47" s="298">
        <v>4.5967522123893803</v>
      </c>
      <c r="S47" s="293"/>
      <c r="T47" s="294"/>
      <c r="U47" s="295"/>
      <c r="V47" s="148">
        <f t="shared" si="22"/>
        <v>215.4</v>
      </c>
      <c r="W47" s="296">
        <f t="shared" si="23"/>
        <v>73.22260161328218</v>
      </c>
      <c r="X47" s="355">
        <f>VLOOKUP(C47,'[3]Cost YTD'!$A:$L,12,0)</f>
        <v>0.2556926203465249</v>
      </c>
      <c r="Y47" s="143">
        <v>2.7E-2</v>
      </c>
      <c r="Z47" s="332">
        <f t="shared" si="17"/>
        <v>12.33061119064071</v>
      </c>
      <c r="AA47" s="333">
        <f t="shared" si="18"/>
        <v>0.16839897680450627</v>
      </c>
      <c r="AB47" s="324"/>
      <c r="AC47" s="296">
        <f t="shared" si="24"/>
        <v>0</v>
      </c>
      <c r="AD47" s="296">
        <f t="shared" si="15"/>
        <v>-60.89199042264147</v>
      </c>
      <c r="AE47" s="143" t="e">
        <f t="shared" si="14"/>
        <v>#DIV/0!</v>
      </c>
      <c r="AL47" s="246">
        <f t="shared" si="25"/>
        <v>0</v>
      </c>
    </row>
    <row r="48" spans="2:38" hidden="1">
      <c r="B48" s="299" t="s">
        <v>643</v>
      </c>
      <c r="C48" s="284" t="s">
        <v>136</v>
      </c>
      <c r="D48" s="142" t="str">
        <f>VLOOKUP($C48,[1]Assortment!$F:$BA,5,0)</f>
        <v>215503舒洁®北海道轻牛乳系列乳霜纸面巾40抽3包装</v>
      </c>
      <c r="E48" s="1">
        <f>VLOOKUP($C48,[1]Assortment!$F:$AM,7,0)</f>
        <v>16</v>
      </c>
      <c r="F48" s="1">
        <f>VLOOKUP($C48,[1]Assortment!$F:$AM,31,0)</f>
        <v>48</v>
      </c>
      <c r="G48" s="291">
        <f>VLOOKUP($C48,[1]Assortment!$F:$AM,14,0)</f>
        <v>222.4</v>
      </c>
      <c r="H48" s="287">
        <f t="shared" si="16"/>
        <v>13.9</v>
      </c>
      <c r="I48" s="286">
        <v>1</v>
      </c>
      <c r="J48" s="300">
        <v>1.9258967551622426</v>
      </c>
      <c r="K48" s="302">
        <f t="shared" si="3"/>
        <v>2.1762633333333339</v>
      </c>
      <c r="L48" s="302"/>
      <c r="M48" s="302"/>
      <c r="N48" s="292">
        <f t="shared" si="19"/>
        <v>2.1762633333333339</v>
      </c>
      <c r="O48" s="292"/>
      <c r="P48" s="303">
        <f t="shared" si="20"/>
        <v>0</v>
      </c>
      <c r="Q48" s="303"/>
      <c r="R48" s="298">
        <v>1.9258967551622426</v>
      </c>
      <c r="S48" s="293"/>
      <c r="T48" s="294"/>
      <c r="U48" s="295"/>
      <c r="V48" s="148">
        <f t="shared" si="22"/>
        <v>222.4</v>
      </c>
      <c r="W48" s="296">
        <f t="shared" si="23"/>
        <v>81.80800375910411</v>
      </c>
      <c r="X48" s="355">
        <f>VLOOKUP(C48,'[3]Cost YTD'!$A:$L,12,0)</f>
        <v>0.24928738317349211</v>
      </c>
      <c r="Y48" s="143">
        <v>2.7E-2</v>
      </c>
      <c r="Z48" s="332">
        <f t="shared" si="17"/>
        <v>20.361689741319466</v>
      </c>
      <c r="AA48" s="333">
        <f t="shared" si="18"/>
        <v>0.24889605913472115</v>
      </c>
      <c r="AB48" s="324"/>
      <c r="AC48" s="296">
        <f t="shared" si="24"/>
        <v>0</v>
      </c>
      <c r="AD48" s="296">
        <f t="shared" si="15"/>
        <v>-61.446314017784644</v>
      </c>
      <c r="AE48" s="143" t="e">
        <f t="shared" si="14"/>
        <v>#DIV/0!</v>
      </c>
      <c r="AL48" s="246">
        <f t="shared" si="25"/>
        <v>0</v>
      </c>
    </row>
    <row r="49" spans="2:38" hidden="1">
      <c r="B49" s="299" t="s">
        <v>643</v>
      </c>
      <c r="C49" s="284" t="s">
        <v>127</v>
      </c>
      <c r="D49" s="142" t="str">
        <f>VLOOKUP($C49,[1]Assortment!$F:$BA,5,0)</f>
        <v>215204舒洁鎏金系列乳霜纸巾40抽8包</v>
      </c>
      <c r="E49" s="1">
        <f>VLOOKUP($C49,[1]Assortment!$F:$AM,7,0)</f>
        <v>4</v>
      </c>
      <c r="F49" s="1">
        <f>VLOOKUP($C49,[1]Assortment!$F:$AM,31,0)</f>
        <v>32</v>
      </c>
      <c r="G49" s="291">
        <f>VLOOKUP($C49,[1]Assortment!$F:$AM,14,0)</f>
        <v>105.788</v>
      </c>
      <c r="H49" s="287">
        <f t="shared" si="16"/>
        <v>26.446999999999999</v>
      </c>
      <c r="I49" s="286">
        <v>1</v>
      </c>
      <c r="J49" s="300">
        <v>1.4882131305309736</v>
      </c>
      <c r="K49" s="302">
        <f t="shared" si="3"/>
        <v>1.6816808375000001</v>
      </c>
      <c r="L49" s="302"/>
      <c r="M49" s="302"/>
      <c r="N49" s="292">
        <f t="shared" si="19"/>
        <v>1.6816808375000001</v>
      </c>
      <c r="O49" s="292"/>
      <c r="P49" s="303">
        <f t="shared" si="20"/>
        <v>0</v>
      </c>
      <c r="Q49" s="303"/>
      <c r="R49" s="298">
        <v>1.4882131305309736</v>
      </c>
      <c r="S49" s="293"/>
      <c r="T49" s="294"/>
      <c r="U49" s="295"/>
      <c r="V49" s="148">
        <f t="shared" si="22"/>
        <v>105.788</v>
      </c>
      <c r="W49" s="296">
        <f t="shared" si="23"/>
        <v>42.144088652204566</v>
      </c>
      <c r="X49" s="355">
        <f>VLOOKUP(C49,'[3]Cost YTD'!$A:$L,12,0)</f>
        <v>0.29234795400060104</v>
      </c>
      <c r="Y49" s="143">
        <v>2.7E-2</v>
      </c>
      <c r="Z49" s="332">
        <f t="shared" si="17"/>
        <v>8.3609072943889799</v>
      </c>
      <c r="AA49" s="333">
        <f t="shared" si="18"/>
        <v>0.198388613012554</v>
      </c>
      <c r="AB49" s="324"/>
      <c r="AC49" s="296">
        <f t="shared" si="24"/>
        <v>0</v>
      </c>
      <c r="AD49" s="296">
        <f t="shared" si="15"/>
        <v>-33.783181357815586</v>
      </c>
      <c r="AE49" s="143" t="e">
        <f t="shared" si="14"/>
        <v>#DIV/0!</v>
      </c>
      <c r="AL49" s="246">
        <f t="shared" si="25"/>
        <v>0</v>
      </c>
    </row>
    <row r="50" spans="2:38" hidden="1">
      <c r="B50" s="299" t="s">
        <v>643</v>
      </c>
      <c r="C50" s="284" t="s">
        <v>180</v>
      </c>
      <c r="D50" s="142" t="str">
        <f>VLOOKUP($C50,[1]Assortment!$F:$BA,5,0)</f>
        <v>214890舒洁小熊印花抽纸3层80抽16包FSC mix70%</v>
      </c>
      <c r="E50" s="1">
        <f>VLOOKUP($C50,[1]Assortment!$F:$AM,7,0)</f>
        <v>6</v>
      </c>
      <c r="F50" s="1">
        <f>VLOOKUP($C50,[1]Assortment!$F:$AM,31,0)</f>
        <v>96</v>
      </c>
      <c r="G50" s="291">
        <f>VLOOKUP($C50,[1]Assortment!$F:$AM,14,0)</f>
        <v>283.80122999999998</v>
      </c>
      <c r="H50" s="287">
        <f t="shared" si="16"/>
        <v>47.300204999999998</v>
      </c>
      <c r="I50" s="286">
        <v>1</v>
      </c>
      <c r="J50" s="300">
        <v>2.0755820271294247</v>
      </c>
      <c r="K50" s="302">
        <f t="shared" si="3"/>
        <v>2.3454076906562498</v>
      </c>
      <c r="L50" s="302"/>
      <c r="M50" s="302"/>
      <c r="N50" s="292">
        <f t="shared" si="19"/>
        <v>2.3454076906562498</v>
      </c>
      <c r="O50" s="292"/>
      <c r="P50" s="303">
        <f t="shared" si="20"/>
        <v>0</v>
      </c>
      <c r="Q50" s="303"/>
      <c r="R50" s="298">
        <v>2.0755820271294247</v>
      </c>
      <c r="S50" s="293"/>
      <c r="T50" s="294"/>
      <c r="U50" s="295"/>
      <c r="V50" s="148">
        <f t="shared" si="22"/>
        <v>283.80122999999998</v>
      </c>
      <c r="W50" s="296">
        <f t="shared" si="23"/>
        <v>176.33263239329628</v>
      </c>
      <c r="X50" s="355">
        <f>VLOOKUP(C50,'[3]Cost YTD'!$A:$L,12,0)</f>
        <v>0.46847941311762015</v>
      </c>
      <c r="Y50" s="143">
        <v>2.7E-2</v>
      </c>
      <c r="Z50" s="332">
        <f t="shared" si="17"/>
        <v>35.714965510837544</v>
      </c>
      <c r="AA50" s="333">
        <f t="shared" si="18"/>
        <v>0.20254314261683612</v>
      </c>
      <c r="AB50" s="324"/>
      <c r="AC50" s="296">
        <f t="shared" si="24"/>
        <v>0</v>
      </c>
      <c r="AD50" s="296">
        <f t="shared" si="15"/>
        <v>-140.61766688245874</v>
      </c>
      <c r="AE50" s="143" t="e">
        <f t="shared" si="14"/>
        <v>#DIV/0!</v>
      </c>
      <c r="AL50" s="246">
        <f t="shared" si="25"/>
        <v>0</v>
      </c>
    </row>
    <row r="51" spans="2:38" hidden="1">
      <c r="B51" s="299" t="s">
        <v>643</v>
      </c>
      <c r="C51" s="284" t="s">
        <v>187</v>
      </c>
      <c r="D51" s="142" t="str">
        <f>VLOOKUP($C51,[1]Assortment!$F:$BA,5,0)</f>
        <v>210761舒洁卡通系列抽纸200抽3包 FSC mix70%</v>
      </c>
      <c r="E51" s="1">
        <f>VLOOKUP($C51,[1]Assortment!$F:$AM,7,0)</f>
        <v>20</v>
      </c>
      <c r="F51" s="1">
        <f>VLOOKUP($C51,[1]Assortment!$F:$AM,31,0)</f>
        <v>60</v>
      </c>
      <c r="G51" s="291">
        <f>VLOOKUP($C51,[1]Assortment!$F:$AM,14,0)</f>
        <v>338.18198999999998</v>
      </c>
      <c r="H51" s="287">
        <f t="shared" si="16"/>
        <v>16.9090995</v>
      </c>
      <c r="I51" s="286">
        <v>1</v>
      </c>
      <c r="J51" s="300">
        <v>3.9400535477728611</v>
      </c>
      <c r="K51" s="302">
        <f t="shared" si="3"/>
        <v>4.4522605089833327</v>
      </c>
      <c r="L51" s="302"/>
      <c r="M51" s="302"/>
      <c r="N51" s="292">
        <f t="shared" si="19"/>
        <v>4.4522605089833327</v>
      </c>
      <c r="O51" s="292"/>
      <c r="P51" s="303">
        <f t="shared" si="20"/>
        <v>0</v>
      </c>
      <c r="Q51" s="303"/>
      <c r="R51" s="298">
        <v>3.9400535477728611</v>
      </c>
      <c r="S51" s="293"/>
      <c r="T51" s="294"/>
      <c r="U51" s="295"/>
      <c r="V51" s="148">
        <f t="shared" si="22"/>
        <v>338.18198999999998</v>
      </c>
      <c r="W51" s="296">
        <f t="shared" si="23"/>
        <v>209.20638306758556</v>
      </c>
      <c r="X51" s="355">
        <f>VLOOKUP(C51,'[3]Cost YTD'!$A:$L,12,0)</f>
        <v>0.46297308548951832</v>
      </c>
      <c r="Y51" s="143">
        <v>2.7E-2</v>
      </c>
      <c r="Z51" s="332">
        <f t="shared" si="17"/>
        <v>43.506309970300123</v>
      </c>
      <c r="AA51" s="333">
        <f t="shared" si="18"/>
        <v>0.20795880762512448</v>
      </c>
      <c r="AB51" s="324"/>
      <c r="AC51" s="296">
        <f t="shared" si="24"/>
        <v>0</v>
      </c>
      <c r="AD51" s="296">
        <f t="shared" si="15"/>
        <v>-165.70007309728544</v>
      </c>
      <c r="AE51" s="143" t="e">
        <f t="shared" si="14"/>
        <v>#DIV/0!</v>
      </c>
      <c r="AL51" s="246">
        <f t="shared" si="25"/>
        <v>0</v>
      </c>
    </row>
    <row r="52" spans="2:38" hidden="1">
      <c r="B52" s="299" t="s">
        <v>643</v>
      </c>
      <c r="C52" s="284" t="s">
        <v>172</v>
      </c>
      <c r="D52" s="142" t="str">
        <f>VLOOKUP($C52,[1]Assortment!$F:$BA,5,0)</f>
        <v>210390舒洁小熊印花抽纸3层80抽4包FSC mix70%</v>
      </c>
      <c r="E52" s="1">
        <f>VLOOKUP($C52,[1]Assortment!$F:$AM,7,0)</f>
        <v>24</v>
      </c>
      <c r="F52" s="1">
        <f>VLOOKUP($C52,[1]Assortment!$F:$AM,31,0)</f>
        <v>96</v>
      </c>
      <c r="G52" s="291">
        <f>VLOOKUP($C52,[1]Assortment!$F:$AM,14,0)</f>
        <v>287.22305</v>
      </c>
      <c r="H52" s="287">
        <f t="shared" si="16"/>
        <v>11.967627083333333</v>
      </c>
      <c r="I52" s="286">
        <v>1</v>
      </c>
      <c r="J52" s="300">
        <v>2.1945357853982301</v>
      </c>
      <c r="K52" s="302">
        <f t="shared" si="3"/>
        <v>2.4798254374999997</v>
      </c>
      <c r="L52" s="302"/>
      <c r="M52" s="302"/>
      <c r="N52" s="292">
        <f t="shared" si="19"/>
        <v>2.4798254374999997</v>
      </c>
      <c r="O52" s="292"/>
      <c r="P52" s="303">
        <f t="shared" si="20"/>
        <v>0</v>
      </c>
      <c r="Q52" s="303"/>
      <c r="R52" s="298">
        <v>2.1945357853982301</v>
      </c>
      <c r="S52" s="293"/>
      <c r="T52" s="294"/>
      <c r="U52" s="295"/>
      <c r="V52" s="148">
        <f t="shared" si="22"/>
        <v>287.22305</v>
      </c>
      <c r="W52" s="296">
        <f t="shared" si="23"/>
        <v>186.43843840551338</v>
      </c>
      <c r="X52" s="355">
        <f>VLOOKUP(C52,'[3]Cost YTD'!$A:$L,12,0)</f>
        <v>0.47224779147046408</v>
      </c>
      <c r="Y52" s="143">
        <v>2.7E-2</v>
      </c>
      <c r="Z52" s="332">
        <f t="shared" si="17"/>
        <v>43.042965033602684</v>
      </c>
      <c r="AA52" s="333">
        <f t="shared" si="18"/>
        <v>0.23086958570196764</v>
      </c>
      <c r="AB52" s="324"/>
      <c r="AC52" s="296">
        <f t="shared" si="24"/>
        <v>0</v>
      </c>
      <c r="AD52" s="296">
        <f t="shared" si="15"/>
        <v>-143.3954733719107</v>
      </c>
      <c r="AE52" s="143" t="e">
        <f t="shared" si="14"/>
        <v>#DIV/0!</v>
      </c>
      <c r="AL52" s="246">
        <f t="shared" si="25"/>
        <v>0</v>
      </c>
    </row>
    <row r="53" spans="2:38" hidden="1">
      <c r="B53" s="299" t="s">
        <v>643</v>
      </c>
      <c r="C53" s="285" t="s">
        <v>96</v>
      </c>
      <c r="D53" s="142" t="str">
        <f>VLOOKUP($C53,[1]Assortment!$F:$BA,5,0)</f>
        <v>265500舒洁湿厕纸7抽6包装</v>
      </c>
      <c r="E53" s="1">
        <f>VLOOKUP($C53,[1]Assortment!$F:$AM,7,0)</f>
        <v>16</v>
      </c>
      <c r="F53" s="1">
        <f>VLOOKUP($C53,[1]Assortment!$F:$AM,31,0)</f>
        <v>96</v>
      </c>
      <c r="G53" s="291">
        <f>VLOOKUP($C53,[1]Assortment!$F:$AM,14,0)</f>
        <v>179.2</v>
      </c>
      <c r="H53" s="287">
        <f t="shared" si="16"/>
        <v>11.2</v>
      </c>
      <c r="I53" s="286">
        <v>1</v>
      </c>
      <c r="J53" s="300">
        <v>1.0590442477876107</v>
      </c>
      <c r="K53" s="302">
        <f t="shared" si="3"/>
        <v>1.19672</v>
      </c>
      <c r="L53" s="302"/>
      <c r="M53" s="302"/>
      <c r="N53" s="292">
        <f t="shared" si="19"/>
        <v>1.19672</v>
      </c>
      <c r="O53" s="292"/>
      <c r="P53" s="303">
        <f t="shared" si="20"/>
        <v>0</v>
      </c>
      <c r="Q53" s="303"/>
      <c r="R53" s="298">
        <v>1.0590442477876107</v>
      </c>
      <c r="S53" s="293"/>
      <c r="T53" s="294"/>
      <c r="U53" s="295"/>
      <c r="V53" s="148">
        <f t="shared" si="22"/>
        <v>179.2</v>
      </c>
      <c r="W53" s="296">
        <f t="shared" si="23"/>
        <v>89.971900697000564</v>
      </c>
      <c r="X53" s="355">
        <f>VLOOKUP(C53,'[3]Cost YTD'!$A:$L,12,0)</f>
        <v>0.2663167418092946</v>
      </c>
      <c r="Y53" s="143">
        <v>2.7E-2</v>
      </c>
      <c r="Z53" s="332">
        <f t="shared" si="17"/>
        <v>37.409540564774971</v>
      </c>
      <c r="AA53" s="333">
        <f t="shared" si="18"/>
        <v>0.41579137791875181</v>
      </c>
      <c r="AB53" s="324"/>
      <c r="AC53" s="296">
        <f t="shared" si="24"/>
        <v>0</v>
      </c>
      <c r="AD53" s="296">
        <f t="shared" si="15"/>
        <v>-52.562360132225592</v>
      </c>
      <c r="AE53" s="143" t="e">
        <f t="shared" si="14"/>
        <v>#DIV/0!</v>
      </c>
      <c r="AL53" s="246">
        <f t="shared" si="25"/>
        <v>0</v>
      </c>
    </row>
    <row r="54" spans="2:38" hidden="1">
      <c r="B54" s="299" t="s">
        <v>643</v>
      </c>
      <c r="C54" s="285" t="s">
        <v>634</v>
      </c>
      <c r="D54" s="142" t="str">
        <f>VLOOKUP($C54,[1]Assortment!$F:$BA,5,0)</f>
        <v>267030舒洁湿厕纸旅行装10包装</v>
      </c>
      <c r="E54" s="1">
        <f>VLOOKUP($C54,[1]Assortment!$F:$AM,7,0)</f>
        <v>4</v>
      </c>
      <c r="F54" s="1">
        <f>VLOOKUP($C54,[1]Assortment!$F:$AM,31,0)</f>
        <v>40</v>
      </c>
      <c r="G54" s="291">
        <f>VLOOKUP($C54,[1]Assortment!$F:$AM,14,0)</f>
        <v>151.33000000000001</v>
      </c>
      <c r="H54" s="287">
        <f t="shared" si="16"/>
        <v>37.832500000000003</v>
      </c>
      <c r="I54" s="286">
        <v>1</v>
      </c>
      <c r="J54" s="300">
        <v>1.0634917229424778</v>
      </c>
      <c r="K54" s="302">
        <f t="shared" si="3"/>
        <v>1.2017456469249999</v>
      </c>
      <c r="L54" s="302"/>
      <c r="M54" s="302"/>
      <c r="N54" s="292">
        <f t="shared" si="19"/>
        <v>1.2017456469249999</v>
      </c>
      <c r="O54" s="292"/>
      <c r="P54" s="303">
        <f t="shared" si="20"/>
        <v>0</v>
      </c>
      <c r="Q54" s="303"/>
      <c r="R54" s="298">
        <v>1.0634917229424778</v>
      </c>
      <c r="S54" s="293"/>
      <c r="T54" s="294"/>
      <c r="U54" s="295"/>
      <c r="V54" s="148">
        <f t="shared" si="22"/>
        <v>151.33000000000001</v>
      </c>
      <c r="W54" s="296">
        <f t="shared" si="23"/>
        <v>37.645724705928423</v>
      </c>
      <c r="X54" s="355">
        <f>VLOOKUP(C54,'[3]Cost YTD'!$A:$L,12,0)</f>
        <v>0.19361901119079922</v>
      </c>
      <c r="Y54" s="143">
        <v>2.7E-2</v>
      </c>
      <c r="Z54" s="332">
        <f t="shared" si="17"/>
        <v>4.2594497424247777</v>
      </c>
      <c r="AA54" s="333">
        <f t="shared" si="18"/>
        <v>0.11314564338175703</v>
      </c>
      <c r="AB54" s="324"/>
      <c r="AC54" s="296">
        <f t="shared" si="24"/>
        <v>0</v>
      </c>
      <c r="AD54" s="296">
        <f t="shared" si="15"/>
        <v>-33.386274963503645</v>
      </c>
      <c r="AE54" s="143" t="e">
        <f t="shared" si="14"/>
        <v>#DIV/0!</v>
      </c>
      <c r="AL54" s="246">
        <f t="shared" si="25"/>
        <v>0</v>
      </c>
    </row>
    <row r="55" spans="2:38" hidden="1">
      <c r="B55" s="299" t="s">
        <v>643</v>
      </c>
      <c r="C55" s="285" t="s">
        <v>497</v>
      </c>
      <c r="D55" s="142" t="str">
        <f>VLOOKUP($C55,[1]Assortment!$F:$BA,5,0)</f>
        <v>269430舒洁湿厕纸家庭装40抽</v>
      </c>
      <c r="E55" s="1">
        <f>VLOOKUP($C55,[1]Assortment!$F:$AM,7,0)</f>
        <v>40</v>
      </c>
      <c r="F55" s="1">
        <f>VLOOKUP($C55,[1]Assortment!$F:$AM,31,0)</f>
        <v>40</v>
      </c>
      <c r="G55" s="291">
        <f>VLOOKUP($C55,[1]Assortment!$F:$AM,14,0)</f>
        <v>367.52</v>
      </c>
      <c r="H55" s="287">
        <f t="shared" si="16"/>
        <v>9.1879999999999988</v>
      </c>
      <c r="I55" s="286">
        <v>1</v>
      </c>
      <c r="J55" s="300">
        <v>3.8500222393141597</v>
      </c>
      <c r="K55" s="302">
        <f t="shared" si="3"/>
        <v>4.3505251304249999</v>
      </c>
      <c r="L55" s="302"/>
      <c r="M55" s="302"/>
      <c r="N55" s="292">
        <f t="shared" si="19"/>
        <v>4.3505251304249999</v>
      </c>
      <c r="O55" s="292"/>
      <c r="P55" s="303">
        <f t="shared" si="20"/>
        <v>0</v>
      </c>
      <c r="Q55" s="303"/>
      <c r="R55" s="298">
        <v>3.8500222393141597</v>
      </c>
      <c r="S55" s="293"/>
      <c r="T55" s="294"/>
      <c r="U55" s="295"/>
      <c r="V55" s="148">
        <f t="shared" si="22"/>
        <v>367.52</v>
      </c>
      <c r="W55" s="296">
        <f t="shared" si="23"/>
        <v>136.28397307306761</v>
      </c>
      <c r="X55" s="355">
        <f>VLOOKUP(C55,'[3]Cost YTD'!$A:$L,12,0)</f>
        <v>0.23244983260668389</v>
      </c>
      <c r="Y55" s="143">
        <v>2.7E-2</v>
      </c>
      <c r="Z55" s="332">
        <f t="shared" si="17"/>
        <v>40.930970593459151</v>
      </c>
      <c r="AA55" s="333">
        <f t="shared" si="18"/>
        <v>0.30033590649367348</v>
      </c>
      <c r="AB55" s="324"/>
      <c r="AC55" s="296">
        <f t="shared" si="24"/>
        <v>0</v>
      </c>
      <c r="AD55" s="296">
        <f t="shared" si="15"/>
        <v>-95.353002479608463</v>
      </c>
      <c r="AE55" s="143" t="e">
        <f t="shared" si="14"/>
        <v>#DIV/0!</v>
      </c>
      <c r="AL55" s="246">
        <f t="shared" si="25"/>
        <v>0</v>
      </c>
    </row>
    <row r="56" spans="2:38" hidden="1">
      <c r="B56" s="299" t="s">
        <v>643</v>
      </c>
      <c r="C56" s="285" t="s">
        <v>8</v>
      </c>
      <c r="D56" s="142" t="str">
        <f>VLOOKUP($C56,[1]Assortment!$F:$BA,5,0)</f>
        <v>269440舒洁湿厕纸家庭装40抽10包装</v>
      </c>
      <c r="E56" s="1">
        <f>VLOOKUP($C56,[1]Assortment!$F:$AM,7,0)</f>
        <v>4</v>
      </c>
      <c r="F56" s="1">
        <f>VLOOKUP($C56,[1]Assortment!$F:$AM,31,0)</f>
        <v>40</v>
      </c>
      <c r="G56" s="291">
        <f>VLOOKUP($C56,[1]Assortment!$F:$AM,14,0)</f>
        <v>330.25</v>
      </c>
      <c r="H56" s="287">
        <f t="shared" si="16"/>
        <v>82.5625</v>
      </c>
      <c r="I56" s="286">
        <v>1</v>
      </c>
      <c r="J56" s="300">
        <v>3.0354980707079644</v>
      </c>
      <c r="K56" s="302">
        <f t="shared" si="3"/>
        <v>3.4301128198999993</v>
      </c>
      <c r="L56" s="302"/>
      <c r="M56" s="302"/>
      <c r="N56" s="292">
        <f t="shared" si="19"/>
        <v>3.4301128198999993</v>
      </c>
      <c r="O56" s="292"/>
      <c r="P56" s="303">
        <f t="shared" si="20"/>
        <v>0</v>
      </c>
      <c r="Q56" s="303"/>
      <c r="R56" s="298">
        <v>3.0354980707079644</v>
      </c>
      <c r="S56" s="293"/>
      <c r="T56" s="294"/>
      <c r="U56" s="295"/>
      <c r="V56" s="148">
        <f t="shared" si="22"/>
        <v>330.25</v>
      </c>
      <c r="W56" s="296">
        <f t="shared" si="23"/>
        <v>107.45125914010494</v>
      </c>
      <c r="X56" s="355">
        <f>VLOOKUP(C56,'[3]Cost YTD'!$A:$L,12,0)</f>
        <v>0.26998220956803232</v>
      </c>
      <c r="Y56" s="143">
        <v>2.7E-2</v>
      </c>
      <c r="Z56" s="332">
        <f t="shared" si="17"/>
        <v>9.3728844302622605</v>
      </c>
      <c r="AA56" s="333">
        <f t="shared" si="18"/>
        <v>8.7229172605981495E-2</v>
      </c>
      <c r="AB56" s="324"/>
      <c r="AC56" s="296">
        <f t="shared" si="24"/>
        <v>0</v>
      </c>
      <c r="AD56" s="296">
        <f t="shared" si="15"/>
        <v>-98.078374709842677</v>
      </c>
      <c r="AE56" s="143" t="e">
        <f t="shared" si="14"/>
        <v>#DIV/0!</v>
      </c>
      <c r="AL56" s="246">
        <f t="shared" si="25"/>
        <v>0</v>
      </c>
    </row>
    <row r="57" spans="2:38" hidden="1">
      <c r="B57" s="299" t="s">
        <v>643</v>
      </c>
      <c r="C57" s="285" t="s">
        <v>635</v>
      </c>
      <c r="D57" s="142" t="e">
        <f>VLOOKUP($C57,[1]Assortment!$F:$BA,5,0)</f>
        <v>#N/A</v>
      </c>
      <c r="E57" s="1" t="e">
        <f>VLOOKUP($C57,[1]Assortment!$F:$AM,7,0)</f>
        <v>#N/A</v>
      </c>
      <c r="F57" s="1" t="e">
        <f>VLOOKUP($C57,[1]Assortment!$F:$AM,31,0)</f>
        <v>#N/A</v>
      </c>
      <c r="G57" s="291" t="e">
        <f>VLOOKUP($C57,[1]Assortment!$F:$AM,14,0)</f>
        <v>#N/A</v>
      </c>
      <c r="H57" s="287" t="e">
        <f t="shared" si="16"/>
        <v>#N/A</v>
      </c>
      <c r="I57" s="286">
        <v>1</v>
      </c>
      <c r="J57" s="300">
        <v>5.7860902654867266</v>
      </c>
      <c r="K57" s="302">
        <f t="shared" si="3"/>
        <v>6.5382820000000006</v>
      </c>
      <c r="L57" s="302"/>
      <c r="M57" s="302"/>
      <c r="N57" s="292">
        <f t="shared" si="19"/>
        <v>6.5382820000000006</v>
      </c>
      <c r="O57" s="292"/>
      <c r="P57" s="303">
        <f t="shared" si="20"/>
        <v>0</v>
      </c>
      <c r="Q57" s="303"/>
      <c r="R57" s="298">
        <v>5.7860902654867266</v>
      </c>
      <c r="S57" s="293"/>
      <c r="T57" s="294"/>
      <c r="U57" s="295"/>
      <c r="V57" s="148" t="e">
        <f t="shared" si="22"/>
        <v>#N/A</v>
      </c>
      <c r="W57" s="296" t="e">
        <f t="shared" si="23"/>
        <v>#N/A</v>
      </c>
      <c r="X57" s="355" t="e">
        <f>VLOOKUP(C57,'[3]Cost YTD'!$A:$L,12,0)</f>
        <v>#N/A</v>
      </c>
      <c r="Y57" s="143">
        <v>2.7E-2</v>
      </c>
      <c r="Z57" s="332" t="e">
        <f t="shared" si="17"/>
        <v>#N/A</v>
      </c>
      <c r="AA57" s="333" t="e">
        <f t="shared" si="18"/>
        <v>#N/A</v>
      </c>
      <c r="AB57" s="324"/>
      <c r="AC57" s="296" t="e">
        <f t="shared" si="24"/>
        <v>#N/A</v>
      </c>
      <c r="AD57" s="296" t="e">
        <f t="shared" si="15"/>
        <v>#N/A</v>
      </c>
      <c r="AE57" s="143" t="e">
        <f t="shared" si="14"/>
        <v>#N/A</v>
      </c>
      <c r="AL57" s="246" t="e">
        <f t="shared" si="25"/>
        <v>#N/A</v>
      </c>
    </row>
    <row r="58" spans="2:38" hidden="1">
      <c r="B58" s="299" t="s">
        <v>643</v>
      </c>
      <c r="C58" s="285" t="s">
        <v>511</v>
      </c>
      <c r="D58" s="142" t="str">
        <f>VLOOKUP($C58,[1]Assortment!$F:$BA,5,0)</f>
        <v>266100舒洁湿厕纸80片x3包</v>
      </c>
      <c r="E58" s="1">
        <f>VLOOKUP($C58,[1]Assortment!$F:$AM,7,0)</f>
        <v>8</v>
      </c>
      <c r="F58" s="1">
        <f>VLOOKUP($C58,[1]Assortment!$F:$AM,31,0)</f>
        <v>24</v>
      </c>
      <c r="G58" s="291">
        <f>VLOOKUP($C58,[1]Assortment!$F:$AM,14,0)</f>
        <v>310.48</v>
      </c>
      <c r="H58" s="287">
        <f t="shared" si="16"/>
        <v>38.81</v>
      </c>
      <c r="I58" s="286">
        <v>1</v>
      </c>
      <c r="J58" s="300">
        <v>6.4260592920353981</v>
      </c>
      <c r="K58" s="302">
        <f t="shared" si="3"/>
        <v>7.2614469999999995</v>
      </c>
      <c r="L58" s="302"/>
      <c r="M58" s="302"/>
      <c r="N58" s="292">
        <f t="shared" si="19"/>
        <v>7.2614469999999995</v>
      </c>
      <c r="O58" s="292"/>
      <c r="P58" s="303">
        <f t="shared" si="20"/>
        <v>0</v>
      </c>
      <c r="Q58" s="303"/>
      <c r="R58" s="298">
        <v>6.4260592920353981</v>
      </c>
      <c r="S58" s="293"/>
      <c r="T58" s="294"/>
      <c r="U58" s="295"/>
      <c r="V58" s="148">
        <f t="shared" si="22"/>
        <v>310.48</v>
      </c>
      <c r="W58" s="296">
        <f t="shared" si="23"/>
        <v>136.48267522907042</v>
      </c>
      <c r="X58" s="355">
        <f>VLOOKUP(C58,'[3]Cost YTD'!$A:$L,12,0)</f>
        <v>0.29821889159854614</v>
      </c>
      <c r="Y58" s="143">
        <v>2.7E-2</v>
      </c>
      <c r="Z58" s="332">
        <f t="shared" si="17"/>
        <v>35.508713765553807</v>
      </c>
      <c r="AA58" s="333">
        <f t="shared" si="18"/>
        <v>0.26017011833887727</v>
      </c>
      <c r="AB58" s="324"/>
      <c r="AC58" s="296">
        <f t="shared" si="24"/>
        <v>0</v>
      </c>
      <c r="AD58" s="296">
        <f t="shared" si="15"/>
        <v>-100.97396146351662</v>
      </c>
      <c r="AE58" s="143" t="e">
        <f t="shared" si="14"/>
        <v>#DIV/0!</v>
      </c>
      <c r="AL58" s="246">
        <f t="shared" si="25"/>
        <v>0</v>
      </c>
    </row>
    <row r="59" spans="2:38" hidden="1">
      <c r="B59" s="299" t="s">
        <v>643</v>
      </c>
      <c r="C59" s="285" t="s">
        <v>636</v>
      </c>
      <c r="D59" s="142" t="str">
        <f>VLOOKUP($C59,[1]Assortment!$F:$BA,5,0)</f>
        <v xml:space="preserve">266200舒洁湿厕纸80片x6包 </v>
      </c>
      <c r="E59" s="1">
        <f>VLOOKUP($C59,[1]Assortment!$F:$AM,7,0)</f>
        <v>1</v>
      </c>
      <c r="F59" s="1">
        <f>VLOOKUP($C59,[1]Assortment!$F:$AM,31,0)</f>
        <v>6</v>
      </c>
      <c r="G59" s="291">
        <f>VLOOKUP($C59,[1]Assortment!$F:$AM,14,0)</f>
        <v>69.44</v>
      </c>
      <c r="H59" s="287">
        <f t="shared" si="16"/>
        <v>69.44</v>
      </c>
      <c r="I59" s="286">
        <v>1</v>
      </c>
      <c r="J59" s="300">
        <v>5.320941592920355</v>
      </c>
      <c r="K59" s="302">
        <f t="shared" si="3"/>
        <v>6.0126640000000009</v>
      </c>
      <c r="L59" s="302"/>
      <c r="M59" s="302"/>
      <c r="N59" s="292">
        <f t="shared" ref="N59:N92" si="26">J59*1.13</f>
        <v>6.0126640000000009</v>
      </c>
      <c r="O59" s="292"/>
      <c r="P59" s="303">
        <f t="shared" ref="P59:P90" si="27">O59/1.13</f>
        <v>0</v>
      </c>
      <c r="Q59" s="303"/>
      <c r="R59" s="298">
        <v>5.320941592920355</v>
      </c>
      <c r="S59" s="293"/>
      <c r="T59" s="294"/>
      <c r="U59" s="295"/>
      <c r="V59" s="148">
        <f t="shared" si="22"/>
        <v>69.44</v>
      </c>
      <c r="W59" s="296">
        <f t="shared" si="23"/>
        <v>28.252787219046134</v>
      </c>
      <c r="X59" s="355">
        <f>VLOOKUP(C59,'[3]Cost YTD'!$A:$L,12,0)</f>
        <v>0.32389512456073061</v>
      </c>
      <c r="Y59" s="143">
        <v>2.7E-2</v>
      </c>
      <c r="Z59" s="332">
        <f t="shared" si="17"/>
        <v>3.8866297695489997</v>
      </c>
      <c r="AA59" s="333">
        <f t="shared" si="18"/>
        <v>0.1375662422052609</v>
      </c>
      <c r="AB59" s="324"/>
      <c r="AC59" s="296">
        <f t="shared" si="24"/>
        <v>0</v>
      </c>
      <c r="AD59" s="296">
        <f t="shared" si="15"/>
        <v>-24.366157449497134</v>
      </c>
      <c r="AE59" s="143" t="e">
        <f t="shared" si="14"/>
        <v>#DIV/0!</v>
      </c>
      <c r="AL59" s="246">
        <f t="shared" si="25"/>
        <v>0</v>
      </c>
    </row>
    <row r="60" spans="2:38" hidden="1">
      <c r="B60" s="299" t="s">
        <v>643</v>
      </c>
      <c r="C60" s="284" t="s">
        <v>227</v>
      </c>
      <c r="D60" s="142" t="str">
        <f>VLOOKUP($C60,[1]Assortment!$F:$BA,5,0)</f>
        <v>270190舒洁小熊印花手帕纸3层10包FSC mix70%</v>
      </c>
      <c r="E60" s="1">
        <f>VLOOKUP($C60,[1]Assortment!$F:$AM,7,0)</f>
        <v>36</v>
      </c>
      <c r="F60" s="1">
        <f>VLOOKUP($C60,[1]Assortment!$F:$AM,31,0)</f>
        <v>360</v>
      </c>
      <c r="G60" s="291">
        <f>VLOOKUP($C60,[1]Assortment!$F:$AM,14,0)</f>
        <v>208.46834000000001</v>
      </c>
      <c r="H60" s="287">
        <f t="shared" si="16"/>
        <v>5.7907872222222228</v>
      </c>
      <c r="I60" s="286">
        <v>1</v>
      </c>
      <c r="J60" s="300">
        <v>0.45221238938053104</v>
      </c>
      <c r="K60" s="302">
        <f t="shared" si="3"/>
        <v>0.51100000000000001</v>
      </c>
      <c r="L60" s="302"/>
      <c r="M60" s="302"/>
      <c r="N60" s="292">
        <f t="shared" si="26"/>
        <v>0.51100000000000001</v>
      </c>
      <c r="O60" s="292"/>
      <c r="P60" s="303">
        <f t="shared" si="27"/>
        <v>0</v>
      </c>
      <c r="Q60" s="303"/>
      <c r="R60" s="298">
        <v>0.45221238938053104</v>
      </c>
      <c r="S60" s="293"/>
      <c r="T60" s="294"/>
      <c r="U60" s="295"/>
      <c r="V60" s="148">
        <f t="shared" si="22"/>
        <v>208.46834000000001</v>
      </c>
      <c r="W60" s="296">
        <f t="shared" si="23"/>
        <v>144.06766387344354</v>
      </c>
      <c r="X60" s="355">
        <f>VLOOKUP(C60,'[3]Cost YTD'!$A:$L,12,0)</f>
        <v>0.43247839805493093</v>
      </c>
      <c r="Y60" s="143">
        <v>2.7E-2</v>
      </c>
      <c r="Z60" s="332">
        <f t="shared" si="17"/>
        <v>48.28096496507284</v>
      </c>
      <c r="AA60" s="333">
        <f t="shared" si="18"/>
        <v>0.33512700676180418</v>
      </c>
      <c r="AB60" s="324"/>
      <c r="AC60" s="296">
        <f t="shared" si="24"/>
        <v>0</v>
      </c>
      <c r="AD60" s="296">
        <f t="shared" si="15"/>
        <v>-95.786698908370695</v>
      </c>
      <c r="AE60" s="143" t="e">
        <f t="shared" si="14"/>
        <v>#DIV/0!</v>
      </c>
      <c r="AL60" s="246">
        <f t="shared" si="25"/>
        <v>0</v>
      </c>
    </row>
    <row r="61" spans="2:38" hidden="1">
      <c r="B61" s="299" t="s">
        <v>643</v>
      </c>
      <c r="C61" s="284" t="s">
        <v>8</v>
      </c>
      <c r="D61" s="142" t="str">
        <f>VLOOKUP($C61,[1]Assortment!$F:$BA,5,0)</f>
        <v>269440舒洁湿厕纸家庭装40抽10包装</v>
      </c>
      <c r="E61" s="1">
        <f>VLOOKUP($C61,[1]Assortment!$F:$AM,7,0)</f>
        <v>4</v>
      </c>
      <c r="F61" s="1">
        <f>VLOOKUP($C61,[1]Assortment!$F:$AM,31,0)</f>
        <v>40</v>
      </c>
      <c r="G61" s="291">
        <f>VLOOKUP($C61,[1]Assortment!$F:$AM,14,0)</f>
        <v>330.25</v>
      </c>
      <c r="H61" s="287">
        <f t="shared" ref="H61:H91" si="28">G61/E61</f>
        <v>82.5625</v>
      </c>
      <c r="I61" s="286">
        <v>1</v>
      </c>
      <c r="J61" s="300">
        <v>3.3017699115044246</v>
      </c>
      <c r="K61" s="302">
        <f t="shared" si="3"/>
        <v>3.7309999999999994</v>
      </c>
      <c r="L61" s="302"/>
      <c r="M61" s="302"/>
      <c r="N61" s="292">
        <f t="shared" si="26"/>
        <v>3.7309999999999994</v>
      </c>
      <c r="O61" s="292"/>
      <c r="P61" s="303">
        <f t="shared" si="27"/>
        <v>0</v>
      </c>
      <c r="Q61" s="303"/>
      <c r="R61" s="298">
        <v>3.3017699115044246</v>
      </c>
      <c r="S61" s="293"/>
      <c r="T61" s="294"/>
      <c r="U61" s="295"/>
      <c r="V61" s="148">
        <f t="shared" si="22"/>
        <v>330.25</v>
      </c>
      <c r="W61" s="296">
        <f t="shared" si="23"/>
        <v>116.8768110267053</v>
      </c>
      <c r="X61" s="355">
        <f>VLOOKUP(C61,'[3]Cost YTD'!$A:$L,12,0)</f>
        <v>0.26998220956803232</v>
      </c>
      <c r="Y61" s="143">
        <v>2.7E-2</v>
      </c>
      <c r="Z61" s="332">
        <f t="shared" ref="Z61:Z91" si="29">W61-V61*(X61+Y61)</f>
        <v>18.79843631686262</v>
      </c>
      <c r="AA61" s="333">
        <f t="shared" ref="AA61:AA91" si="30">Z61/W61</f>
        <v>0.16083974358752265</v>
      </c>
      <c r="AB61" s="324"/>
      <c r="AC61" s="296">
        <f t="shared" si="24"/>
        <v>0</v>
      </c>
      <c r="AD61" s="296">
        <f t="shared" si="15"/>
        <v>-98.078374709842677</v>
      </c>
      <c r="AE61" s="143" t="e">
        <f t="shared" si="14"/>
        <v>#DIV/0!</v>
      </c>
      <c r="AL61" s="246">
        <f t="shared" si="25"/>
        <v>0</v>
      </c>
    </row>
    <row r="62" spans="2:38" hidden="1">
      <c r="B62" s="299" t="s">
        <v>643</v>
      </c>
      <c r="C62" s="284" t="s">
        <v>19</v>
      </c>
      <c r="D62" s="142" t="str">
        <f>VLOOKUP($C62,[1]Assortment!$F:$BA,5,0)</f>
        <v>269430舒洁湿厕纸家庭装40抽</v>
      </c>
      <c r="E62" s="1">
        <f>VLOOKUP($C62,[1]Assortment!$F:$AM,7,0)</f>
        <v>40</v>
      </c>
      <c r="F62" s="1">
        <f>VLOOKUP($C62,[1]Assortment!$F:$AM,31,0)</f>
        <v>40</v>
      </c>
      <c r="G62" s="291">
        <f>VLOOKUP($C62,[1]Assortment!$F:$AM,14,0)</f>
        <v>367.52</v>
      </c>
      <c r="H62" s="287">
        <f t="shared" si="28"/>
        <v>9.1879999999999988</v>
      </c>
      <c r="I62" s="286">
        <v>1</v>
      </c>
      <c r="J62" s="300">
        <v>4.1628318584070794</v>
      </c>
      <c r="K62" s="302">
        <f t="shared" si="3"/>
        <v>4.7039999999999988</v>
      </c>
      <c r="L62" s="302"/>
      <c r="M62" s="302"/>
      <c r="N62" s="292">
        <f t="shared" si="26"/>
        <v>4.7039999999999988</v>
      </c>
      <c r="O62" s="292"/>
      <c r="P62" s="303">
        <f t="shared" si="27"/>
        <v>0</v>
      </c>
      <c r="Q62" s="303"/>
      <c r="R62" s="298">
        <v>4.1628318584070794</v>
      </c>
      <c r="S62" s="293"/>
      <c r="T62" s="294"/>
      <c r="U62" s="295"/>
      <c r="V62" s="148">
        <f t="shared" si="22"/>
        <v>367.52</v>
      </c>
      <c r="W62" s="296">
        <f t="shared" si="23"/>
        <v>147.35687994361345</v>
      </c>
      <c r="X62" s="355">
        <f>VLOOKUP(C62,'[3]Cost YTD'!$A:$L,12,0)</f>
        <v>0.23244983260668389</v>
      </c>
      <c r="Y62" s="143">
        <v>2.7E-2</v>
      </c>
      <c r="Z62" s="332">
        <f t="shared" si="29"/>
        <v>52.003877464004987</v>
      </c>
      <c r="AA62" s="333">
        <f t="shared" si="30"/>
        <v>0.35291109233518264</v>
      </c>
      <c r="AB62" s="324"/>
      <c r="AC62" s="296">
        <f t="shared" si="24"/>
        <v>0</v>
      </c>
      <c r="AD62" s="296">
        <f t="shared" si="15"/>
        <v>-95.353002479608463</v>
      </c>
      <c r="AE62" s="143" t="e">
        <f t="shared" si="14"/>
        <v>#DIV/0!</v>
      </c>
      <c r="AL62" s="246">
        <f t="shared" si="25"/>
        <v>0</v>
      </c>
    </row>
    <row r="63" spans="2:38" hidden="1">
      <c r="B63" s="299" t="s">
        <v>643</v>
      </c>
      <c r="C63" s="284" t="s">
        <v>118</v>
      </c>
      <c r="D63" s="142" t="str">
        <f>VLOOKUP($C63,[1]Assortment!$F:$BA,5,0)</f>
        <v>268220舒洁女性湿厕纸10包装</v>
      </c>
      <c r="E63" s="1">
        <f>VLOOKUP($C63,[1]Assortment!$F:$AM,7,0)</f>
        <v>4</v>
      </c>
      <c r="F63" s="1">
        <f>VLOOKUP($C63,[1]Assortment!$F:$AM,31,0)</f>
        <v>40</v>
      </c>
      <c r="G63" s="291">
        <f>VLOOKUP($C63,[1]Assortment!$F:$AM,14,0)</f>
        <v>255.40530999999999</v>
      </c>
      <c r="H63" s="287">
        <f t="shared" si="28"/>
        <v>63.851327499999996</v>
      </c>
      <c r="I63" s="286">
        <v>1</v>
      </c>
      <c r="J63" s="300">
        <v>2.6761061946902656</v>
      </c>
      <c r="K63" s="302">
        <f t="shared" si="3"/>
        <v>3.0239999999999996</v>
      </c>
      <c r="L63" s="302"/>
      <c r="M63" s="302"/>
      <c r="N63" s="292">
        <f t="shared" si="26"/>
        <v>3.0239999999999996</v>
      </c>
      <c r="O63" s="292"/>
      <c r="P63" s="303">
        <f t="shared" si="27"/>
        <v>0</v>
      </c>
      <c r="Q63" s="303"/>
      <c r="R63" s="298">
        <v>2.6761061946902656</v>
      </c>
      <c r="S63" s="293"/>
      <c r="T63" s="294"/>
      <c r="U63" s="295"/>
      <c r="V63" s="148">
        <f t="shared" si="22"/>
        <v>255.40530999999999</v>
      </c>
      <c r="W63" s="296">
        <f t="shared" si="23"/>
        <v>94.729422820894371</v>
      </c>
      <c r="X63" s="355">
        <f>VLOOKUP(C63,'[3]Cost YTD'!$A:$L,12,0)</f>
        <v>0.2341979756724677</v>
      </c>
      <c r="Y63" s="143">
        <v>2.7E-2</v>
      </c>
      <c r="Z63" s="332">
        <f t="shared" si="29"/>
        <v>28.018072872895303</v>
      </c>
      <c r="AA63" s="333">
        <f t="shared" si="30"/>
        <v>0.29576948785879636</v>
      </c>
      <c r="AB63" s="324"/>
      <c r="AC63" s="296">
        <f t="shared" si="24"/>
        <v>0</v>
      </c>
      <c r="AD63" s="296">
        <f t="shared" si="15"/>
        <v>-66.711349947999068</v>
      </c>
      <c r="AE63" s="143" t="e">
        <f t="shared" si="14"/>
        <v>#DIV/0!</v>
      </c>
      <c r="AL63" s="246">
        <f t="shared" si="25"/>
        <v>0</v>
      </c>
    </row>
    <row r="64" spans="2:38" hidden="1">
      <c r="B64" s="299" t="s">
        <v>643</v>
      </c>
      <c r="C64" s="284" t="s">
        <v>112</v>
      </c>
      <c r="D64" s="142" t="str">
        <f>VLOOKUP($C64,[1]Assortment!$F:$BA,5,0)</f>
        <v>267400舒洁山茶花系列湿厕纸60片x4包</v>
      </c>
      <c r="E64" s="1">
        <f>VLOOKUP($C64,[1]Assortment!$F:$AM,7,0)</f>
        <v>1</v>
      </c>
      <c r="F64" s="1">
        <f>VLOOKUP($C64,[1]Assortment!$F:$AM,31,0)</f>
        <v>4</v>
      </c>
      <c r="G64" s="291">
        <f>VLOOKUP($C64,[1]Assortment!$F:$AM,14,0)</f>
        <v>41.9</v>
      </c>
      <c r="H64" s="287">
        <f t="shared" si="28"/>
        <v>41.9</v>
      </c>
      <c r="I64" s="286">
        <v>1</v>
      </c>
      <c r="J64" s="300">
        <v>5.7610619469026556</v>
      </c>
      <c r="K64" s="302">
        <f t="shared" si="3"/>
        <v>6.51</v>
      </c>
      <c r="L64" s="302"/>
      <c r="M64" s="302"/>
      <c r="N64" s="292">
        <f t="shared" si="26"/>
        <v>6.51</v>
      </c>
      <c r="O64" s="292"/>
      <c r="P64" s="303">
        <f t="shared" si="27"/>
        <v>0</v>
      </c>
      <c r="Q64" s="303"/>
      <c r="R64" s="298">
        <v>5.7610619469026556</v>
      </c>
      <c r="S64" s="293"/>
      <c r="T64" s="294"/>
      <c r="U64" s="295"/>
      <c r="V64" s="148">
        <f t="shared" si="22"/>
        <v>41.9</v>
      </c>
      <c r="W64" s="296">
        <f t="shared" si="23"/>
        <v>20.39313963505365</v>
      </c>
      <c r="X64" s="355">
        <f>VLOOKUP(C64,'[3]Cost YTD'!$A:$L,12,0)</f>
        <v>0.36133012658561275</v>
      </c>
      <c r="Y64" s="143">
        <v>2.7E-2</v>
      </c>
      <c r="Z64" s="332">
        <f t="shared" si="29"/>
        <v>4.1221073311164744</v>
      </c>
      <c r="AA64" s="333">
        <f t="shared" si="30"/>
        <v>0.2021320603342022</v>
      </c>
      <c r="AB64" s="324"/>
      <c r="AC64" s="296">
        <f t="shared" si="24"/>
        <v>0</v>
      </c>
      <c r="AD64" s="296">
        <f t="shared" si="15"/>
        <v>-16.271032303937176</v>
      </c>
      <c r="AE64" s="143" t="e">
        <f t="shared" si="14"/>
        <v>#DIV/0!</v>
      </c>
      <c r="AL64" s="246">
        <f t="shared" si="25"/>
        <v>0</v>
      </c>
    </row>
    <row r="65" spans="2:38" hidden="1">
      <c r="B65" s="299" t="s">
        <v>643</v>
      </c>
      <c r="C65" s="284" t="s">
        <v>104</v>
      </c>
      <c r="D65" s="142" t="str">
        <f>VLOOKUP($C65,[1]Assortment!$F:$BA,5,0)</f>
        <v>267300舒洁山茶花系列湿厕纸60片</v>
      </c>
      <c r="E65" s="1">
        <f>VLOOKUP($C65,[1]Assortment!$F:$AM,7,0)</f>
        <v>24</v>
      </c>
      <c r="F65" s="1">
        <f>VLOOKUP($C65,[1]Assortment!$F:$AM,31,0)</f>
        <v>24</v>
      </c>
      <c r="G65" s="291">
        <f>VLOOKUP($C65,[1]Assortment!$F:$AM,14,0)</f>
        <v>244.8</v>
      </c>
      <c r="H65" s="287">
        <f t="shared" si="28"/>
        <v>10.200000000000001</v>
      </c>
      <c r="I65" s="286">
        <v>1</v>
      </c>
      <c r="J65" s="300">
        <v>6.2566371681415927</v>
      </c>
      <c r="K65" s="302">
        <f t="shared" si="3"/>
        <v>7.0699999999999994</v>
      </c>
      <c r="L65" s="302"/>
      <c r="M65" s="302"/>
      <c r="N65" s="292">
        <f t="shared" si="26"/>
        <v>7.0699999999999994</v>
      </c>
      <c r="O65" s="292"/>
      <c r="P65" s="303">
        <f t="shared" si="27"/>
        <v>0</v>
      </c>
      <c r="Q65" s="303"/>
      <c r="R65" s="298">
        <v>6.2566371681415927</v>
      </c>
      <c r="S65" s="293"/>
      <c r="T65" s="294"/>
      <c r="U65" s="295"/>
      <c r="V65" s="148">
        <f t="shared" si="22"/>
        <v>244.8</v>
      </c>
      <c r="W65" s="296">
        <f t="shared" si="23"/>
        <v>132.88432923486567</v>
      </c>
      <c r="X65" s="355">
        <f>VLOOKUP(C65,'[3]Cost YTD'!$A:$L,12,0)</f>
        <v>0.36023809478885227</v>
      </c>
      <c r="Y65" s="143">
        <v>2.7E-2</v>
      </c>
      <c r="Z65" s="332">
        <f t="shared" si="29"/>
        <v>38.088443630554622</v>
      </c>
      <c r="AA65" s="333">
        <f t="shared" si="30"/>
        <v>0.28662855770777462</v>
      </c>
      <c r="AB65" s="324"/>
      <c r="AC65" s="296">
        <f t="shared" si="24"/>
        <v>0</v>
      </c>
      <c r="AD65" s="296">
        <f t="shared" si="15"/>
        <v>-94.795885604311053</v>
      </c>
      <c r="AE65" s="143" t="e">
        <f t="shared" si="14"/>
        <v>#DIV/0!</v>
      </c>
      <c r="AL65" s="246">
        <f t="shared" si="25"/>
        <v>0</v>
      </c>
    </row>
    <row r="66" spans="2:38" hidden="1">
      <c r="B66" s="299" t="s">
        <v>643</v>
      </c>
      <c r="C66" s="284" t="s">
        <v>77</v>
      </c>
      <c r="D66" s="142" t="str">
        <f>VLOOKUP($C66,[1]Assortment!$F:$BA,5,0)</f>
        <v>267030舒洁湿厕纸旅行装10包装</v>
      </c>
      <c r="E66" s="1">
        <f>VLOOKUP($C66,[1]Assortment!$F:$AM,7,0)</f>
        <v>4</v>
      </c>
      <c r="F66" s="1">
        <f>VLOOKUP($C66,[1]Assortment!$F:$AM,31,0)</f>
        <v>40</v>
      </c>
      <c r="G66" s="291">
        <f>VLOOKUP($C66,[1]Assortment!$F:$AM,14,0)</f>
        <v>151.33000000000001</v>
      </c>
      <c r="H66" s="287">
        <f t="shared" si="28"/>
        <v>37.832500000000003</v>
      </c>
      <c r="I66" s="286">
        <v>1</v>
      </c>
      <c r="J66" s="300">
        <v>1.1955752212389379</v>
      </c>
      <c r="K66" s="302">
        <f t="shared" si="3"/>
        <v>1.3509999999999998</v>
      </c>
      <c r="L66" s="302"/>
      <c r="M66" s="302"/>
      <c r="N66" s="292">
        <f t="shared" si="26"/>
        <v>1.3509999999999998</v>
      </c>
      <c r="O66" s="292"/>
      <c r="P66" s="303">
        <f t="shared" si="27"/>
        <v>0</v>
      </c>
      <c r="Q66" s="303"/>
      <c r="R66" s="298">
        <v>1.1955752212389379</v>
      </c>
      <c r="S66" s="293"/>
      <c r="T66" s="294"/>
      <c r="U66" s="295"/>
      <c r="V66" s="148">
        <f t="shared" si="22"/>
        <v>151.33000000000001</v>
      </c>
      <c r="W66" s="296">
        <f t="shared" si="23"/>
        <v>42.321246769519931</v>
      </c>
      <c r="X66" s="355">
        <f>VLOOKUP(C66,'[3]Cost YTD'!$A:$L,12,0)</f>
        <v>0.19361901119079922</v>
      </c>
      <c r="Y66" s="143">
        <v>2.7E-2</v>
      </c>
      <c r="Z66" s="332">
        <f t="shared" si="29"/>
        <v>8.9349718060162857</v>
      </c>
      <c r="AA66" s="333">
        <f t="shared" si="30"/>
        <v>0.21112260361032931</v>
      </c>
      <c r="AB66" s="324"/>
      <c r="AC66" s="296">
        <f t="shared" si="24"/>
        <v>0</v>
      </c>
      <c r="AD66" s="296">
        <f t="shared" si="15"/>
        <v>-33.386274963503645</v>
      </c>
      <c r="AE66" s="143" t="e">
        <f t="shared" si="14"/>
        <v>#DIV/0!</v>
      </c>
      <c r="AL66" s="246">
        <f t="shared" si="25"/>
        <v>0</v>
      </c>
    </row>
    <row r="67" spans="2:38" hidden="1">
      <c r="B67" s="299" t="s">
        <v>643</v>
      </c>
      <c r="C67" s="284" t="s">
        <v>70</v>
      </c>
      <c r="D67" s="142" t="str">
        <f>VLOOKUP($C67,[1]Assortment!$F:$BA,5,0)</f>
        <v>266600舒洁湿厕纸100片x6包-植物双萃</v>
      </c>
      <c r="E67" s="1">
        <f>VLOOKUP($C67,[1]Assortment!$F:$AM,7,0)</f>
        <v>1</v>
      </c>
      <c r="F67" s="1">
        <f>VLOOKUP($C67,[1]Assortment!$F:$AM,31,0)</f>
        <v>6</v>
      </c>
      <c r="G67" s="291">
        <f>VLOOKUP($C67,[1]Assortment!$F:$AM,14,0)</f>
        <v>86.8</v>
      </c>
      <c r="H67" s="287">
        <f t="shared" si="28"/>
        <v>86.8</v>
      </c>
      <c r="I67" s="286">
        <v>1</v>
      </c>
      <c r="J67" s="300">
        <v>7.784660766961653</v>
      </c>
      <c r="K67" s="302">
        <f t="shared" ref="K67:K92" si="31">J67*1.13</f>
        <v>8.7966666666666669</v>
      </c>
      <c r="L67" s="302"/>
      <c r="M67" s="302"/>
      <c r="N67" s="292">
        <f t="shared" si="26"/>
        <v>8.7966666666666669</v>
      </c>
      <c r="O67" s="292"/>
      <c r="P67" s="303">
        <f t="shared" si="27"/>
        <v>0</v>
      </c>
      <c r="Q67" s="303"/>
      <c r="R67" s="298">
        <v>7.784660766961653</v>
      </c>
      <c r="S67" s="293"/>
      <c r="T67" s="294"/>
      <c r="U67" s="295"/>
      <c r="V67" s="148">
        <f t="shared" ref="V67:V92" si="32">G67*I67</f>
        <v>86.8</v>
      </c>
      <c r="W67" s="296">
        <f t="shared" ref="W67:W92" si="33">R67*F67*I67/1.13</f>
        <v>41.334481948468955</v>
      </c>
      <c r="X67" s="355">
        <f>VLOOKUP(C67,'[3]Cost YTD'!$A:$L,12,0)</f>
        <v>0.32475112510666782</v>
      </c>
      <c r="Y67" s="143">
        <v>2.7E-2</v>
      </c>
      <c r="Z67" s="332">
        <f t="shared" si="29"/>
        <v>10.802484289210188</v>
      </c>
      <c r="AA67" s="333">
        <f t="shared" si="30"/>
        <v>0.26134316386685275</v>
      </c>
      <c r="AB67" s="324"/>
      <c r="AC67" s="296">
        <f t="shared" ref="AC67:AC92" si="34">P67*F67*I67</f>
        <v>0</v>
      </c>
      <c r="AD67" s="296">
        <f t="shared" ref="AD67:AD92" si="35">AC67-V67*(X67+Y67)</f>
        <v>-30.531997659258767</v>
      </c>
      <c r="AE67" s="143" t="e">
        <f t="shared" ref="AE67:AE92" si="36">AD67/AC67</f>
        <v>#DIV/0!</v>
      </c>
      <c r="AL67" s="246">
        <f t="shared" ref="AL67:AL92" si="37">AK67*G67</f>
        <v>0</v>
      </c>
    </row>
    <row r="68" spans="2:38" hidden="1">
      <c r="B68" s="299" t="s">
        <v>643</v>
      </c>
      <c r="C68" s="284" t="s">
        <v>2</v>
      </c>
      <c r="D68" s="142" t="str">
        <f>VLOOKUP($C68,[1]Assortment!$F:$BA,5,0)</f>
        <v xml:space="preserve">266200舒洁湿厕纸80片x6包 </v>
      </c>
      <c r="E68" s="1">
        <f>VLOOKUP($C68,[1]Assortment!$F:$AM,7,0)</f>
        <v>1</v>
      </c>
      <c r="F68" s="1">
        <f>VLOOKUP($C68,[1]Assortment!$F:$AM,31,0)</f>
        <v>6</v>
      </c>
      <c r="G68" s="291">
        <f>VLOOKUP($C68,[1]Assortment!$F:$AM,14,0)</f>
        <v>69.44</v>
      </c>
      <c r="H68" s="287">
        <f t="shared" si="28"/>
        <v>69.44</v>
      </c>
      <c r="I68" s="286">
        <v>1</v>
      </c>
      <c r="J68" s="300">
        <v>5.71976401179941</v>
      </c>
      <c r="K68" s="302">
        <f t="shared" si="31"/>
        <v>6.4633333333333329</v>
      </c>
      <c r="L68" s="302"/>
      <c r="M68" s="302"/>
      <c r="N68" s="292">
        <f t="shared" si="26"/>
        <v>6.4633333333333329</v>
      </c>
      <c r="O68" s="292"/>
      <c r="P68" s="303">
        <f t="shared" si="27"/>
        <v>0</v>
      </c>
      <c r="Q68" s="303"/>
      <c r="R68" s="298">
        <v>5.71976401179941</v>
      </c>
      <c r="S68" s="293"/>
      <c r="T68" s="294"/>
      <c r="U68" s="295"/>
      <c r="V68" s="148">
        <f t="shared" si="32"/>
        <v>69.44</v>
      </c>
      <c r="W68" s="296">
        <f t="shared" si="33"/>
        <v>30.370428381235808</v>
      </c>
      <c r="X68" s="355">
        <f>VLOOKUP(C68,'[3]Cost YTD'!$A:$L,12,0)</f>
        <v>0.32389512456073061</v>
      </c>
      <c r="Y68" s="143">
        <v>2.7E-2</v>
      </c>
      <c r="Z68" s="332">
        <f t="shared" si="29"/>
        <v>6.0042709317386738</v>
      </c>
      <c r="AA68" s="333">
        <f t="shared" si="30"/>
        <v>0.1977012262180792</v>
      </c>
      <c r="AB68" s="324"/>
      <c r="AC68" s="296">
        <f t="shared" si="34"/>
        <v>0</v>
      </c>
      <c r="AD68" s="296">
        <f t="shared" si="35"/>
        <v>-24.366157449497134</v>
      </c>
      <c r="AE68" s="143" t="e">
        <f t="shared" si="36"/>
        <v>#DIV/0!</v>
      </c>
      <c r="AL68" s="246">
        <f t="shared" si="37"/>
        <v>0</v>
      </c>
    </row>
    <row r="69" spans="2:38" hidden="1">
      <c r="B69" s="299" t="s">
        <v>643</v>
      </c>
      <c r="C69" s="284" t="s">
        <v>57</v>
      </c>
      <c r="D69" s="142" t="str">
        <f>VLOOKUP($C69,[1]Assortment!$F:$BA,5,0)</f>
        <v>266100舒洁湿厕纸80片x3包</v>
      </c>
      <c r="E69" s="1">
        <f>VLOOKUP($C69,[1]Assortment!$F:$AM,7,0)</f>
        <v>8</v>
      </c>
      <c r="F69" s="1">
        <f>VLOOKUP($C69,[1]Assortment!$F:$AM,31,0)</f>
        <v>24</v>
      </c>
      <c r="G69" s="291">
        <f>VLOOKUP($C69,[1]Assortment!$F:$AM,14,0)</f>
        <v>310.48</v>
      </c>
      <c r="H69" s="287">
        <f t="shared" si="28"/>
        <v>38.81</v>
      </c>
      <c r="I69" s="286">
        <v>1</v>
      </c>
      <c r="J69" s="300">
        <v>6.8761061946902649</v>
      </c>
      <c r="K69" s="302">
        <f t="shared" si="31"/>
        <v>7.7699999999999987</v>
      </c>
      <c r="L69" s="302"/>
      <c r="M69" s="302"/>
      <c r="N69" s="292">
        <f t="shared" si="26"/>
        <v>7.7699999999999987</v>
      </c>
      <c r="O69" s="292"/>
      <c r="P69" s="303">
        <f t="shared" si="27"/>
        <v>0</v>
      </c>
      <c r="Q69" s="303"/>
      <c r="R69" s="298">
        <v>6.8761061946902649</v>
      </c>
      <c r="S69" s="293"/>
      <c r="T69" s="294"/>
      <c r="U69" s="295"/>
      <c r="V69" s="148">
        <f t="shared" si="32"/>
        <v>310.48</v>
      </c>
      <c r="W69" s="296">
        <f t="shared" si="33"/>
        <v>146.04119351554544</v>
      </c>
      <c r="X69" s="355">
        <f>VLOOKUP(C69,'[3]Cost YTD'!$A:$L,12,0)</f>
        <v>0.29821889159854614</v>
      </c>
      <c r="Y69" s="143">
        <v>2.7E-2</v>
      </c>
      <c r="Z69" s="332">
        <f t="shared" si="29"/>
        <v>45.067232052028828</v>
      </c>
      <c r="AA69" s="333">
        <f t="shared" si="30"/>
        <v>0.30859260299890401</v>
      </c>
      <c r="AB69" s="324"/>
      <c r="AC69" s="296">
        <f t="shared" si="34"/>
        <v>0</v>
      </c>
      <c r="AD69" s="296">
        <f t="shared" si="35"/>
        <v>-100.97396146351662</v>
      </c>
      <c r="AE69" s="143" t="e">
        <f t="shared" si="36"/>
        <v>#DIV/0!</v>
      </c>
      <c r="AL69" s="246">
        <f t="shared" si="37"/>
        <v>0</v>
      </c>
    </row>
    <row r="70" spans="2:38" hidden="1">
      <c r="B70" s="299" t="s">
        <v>643</v>
      </c>
      <c r="C70" s="284" t="s">
        <v>635</v>
      </c>
      <c r="D70" s="142" t="e">
        <f>VLOOKUP($C70,[1]Assortment!$F:$BA,5,0)</f>
        <v>#N/A</v>
      </c>
      <c r="E70" s="1" t="e">
        <f>VLOOKUP($C70,[1]Assortment!$F:$AM,7,0)</f>
        <v>#N/A</v>
      </c>
      <c r="F70" s="1" t="e">
        <f>VLOOKUP($C70,[1]Assortment!$F:$AM,31,0)</f>
        <v>#N/A</v>
      </c>
      <c r="G70" s="291" t="e">
        <f>VLOOKUP($C70,[1]Assortment!$F:$AM,14,0)</f>
        <v>#N/A</v>
      </c>
      <c r="H70" s="287" t="e">
        <f t="shared" si="28"/>
        <v>#N/A</v>
      </c>
      <c r="I70" s="286">
        <v>1</v>
      </c>
      <c r="J70" s="300">
        <v>6.3805309734513278</v>
      </c>
      <c r="K70" s="302">
        <f t="shared" si="31"/>
        <v>7.21</v>
      </c>
      <c r="L70" s="302"/>
      <c r="M70" s="302"/>
      <c r="N70" s="292">
        <f t="shared" si="26"/>
        <v>7.21</v>
      </c>
      <c r="O70" s="292"/>
      <c r="P70" s="303">
        <f t="shared" si="27"/>
        <v>0</v>
      </c>
      <c r="Q70" s="303"/>
      <c r="R70" s="298">
        <v>6.3805309734513278</v>
      </c>
      <c r="S70" s="293"/>
      <c r="T70" s="294"/>
      <c r="U70" s="295"/>
      <c r="V70" s="148" t="e">
        <f t="shared" si="32"/>
        <v>#N/A</v>
      </c>
      <c r="W70" s="296" t="e">
        <f t="shared" si="33"/>
        <v>#N/A</v>
      </c>
      <c r="X70" s="355" t="e">
        <f>VLOOKUP(C70,'[3]Cost YTD'!$A:$L,12,0)</f>
        <v>#N/A</v>
      </c>
      <c r="Y70" s="143">
        <v>2.7E-2</v>
      </c>
      <c r="Z70" s="332" t="e">
        <f t="shared" si="29"/>
        <v>#N/A</v>
      </c>
      <c r="AA70" s="333" t="e">
        <f t="shared" si="30"/>
        <v>#N/A</v>
      </c>
      <c r="AB70" s="324"/>
      <c r="AC70" s="296" t="e">
        <f t="shared" si="34"/>
        <v>#N/A</v>
      </c>
      <c r="AD70" s="296" t="e">
        <f t="shared" si="35"/>
        <v>#N/A</v>
      </c>
      <c r="AE70" s="143" t="e">
        <f t="shared" si="36"/>
        <v>#N/A</v>
      </c>
      <c r="AL70" s="246" t="e">
        <f t="shared" si="37"/>
        <v>#N/A</v>
      </c>
    </row>
    <row r="71" spans="2:38" hidden="1">
      <c r="B71" s="299" t="s">
        <v>643</v>
      </c>
      <c r="C71" s="284" t="s">
        <v>96</v>
      </c>
      <c r="D71" s="142" t="str">
        <f>VLOOKUP($C71,[1]Assortment!$F:$BA,5,0)</f>
        <v>265500舒洁湿厕纸7抽6包装</v>
      </c>
      <c r="E71" s="1">
        <f>VLOOKUP($C71,[1]Assortment!$F:$AM,7,0)</f>
        <v>16</v>
      </c>
      <c r="F71" s="1">
        <f>VLOOKUP($C71,[1]Assortment!$F:$AM,31,0)</f>
        <v>96</v>
      </c>
      <c r="G71" s="291">
        <f>VLOOKUP($C71,[1]Assortment!$F:$AM,14,0)</f>
        <v>179.2</v>
      </c>
      <c r="H71" s="287">
        <f t="shared" si="28"/>
        <v>11.2</v>
      </c>
      <c r="I71" s="286">
        <v>1</v>
      </c>
      <c r="J71" s="300">
        <v>1.1356932153392332</v>
      </c>
      <c r="K71" s="302">
        <f t="shared" si="31"/>
        <v>1.2833333333333334</v>
      </c>
      <c r="L71" s="302"/>
      <c r="M71" s="302"/>
      <c r="N71" s="292">
        <f t="shared" si="26"/>
        <v>1.2833333333333334</v>
      </c>
      <c r="O71" s="292"/>
      <c r="P71" s="303">
        <f t="shared" si="27"/>
        <v>0</v>
      </c>
      <c r="Q71" s="303"/>
      <c r="R71" s="298">
        <v>1.1356932153392332</v>
      </c>
      <c r="S71" s="293"/>
      <c r="T71" s="294"/>
      <c r="U71" s="295"/>
      <c r="V71" s="148">
        <f t="shared" si="32"/>
        <v>179.2</v>
      </c>
      <c r="W71" s="296">
        <f t="shared" si="33"/>
        <v>96.483671391651669</v>
      </c>
      <c r="X71" s="355">
        <f>VLOOKUP(C71,'[3]Cost YTD'!$A:$L,12,0)</f>
        <v>0.2663167418092946</v>
      </c>
      <c r="Y71" s="143">
        <v>2.7E-2</v>
      </c>
      <c r="Z71" s="332">
        <f t="shared" si="29"/>
        <v>43.921311259426076</v>
      </c>
      <c r="AA71" s="333">
        <f t="shared" si="30"/>
        <v>0.4552201489217626</v>
      </c>
      <c r="AB71" s="324"/>
      <c r="AC71" s="296">
        <f t="shared" si="34"/>
        <v>0</v>
      </c>
      <c r="AD71" s="296">
        <f t="shared" si="35"/>
        <v>-52.562360132225592</v>
      </c>
      <c r="AE71" s="143" t="e">
        <f t="shared" si="36"/>
        <v>#DIV/0!</v>
      </c>
      <c r="AL71" s="246">
        <f t="shared" si="37"/>
        <v>0</v>
      </c>
    </row>
    <row r="72" spans="2:38" hidden="1">
      <c r="B72" s="299" t="s">
        <v>643</v>
      </c>
      <c r="C72" s="284" t="s">
        <v>244</v>
      </c>
      <c r="D72" s="142" t="str">
        <f>VLOOKUP($C72,[1]Assortment!$F:$BA,5,0)</f>
        <v>261300舒洁无香湿巾单包装</v>
      </c>
      <c r="E72" s="1">
        <f>VLOOKUP($C72,[1]Assortment!$F:$AM,7,0)</f>
        <v>30</v>
      </c>
      <c r="F72" s="1">
        <f>VLOOKUP($C72,[1]Assortment!$F:$AM,31,0)</f>
        <v>30</v>
      </c>
      <c r="G72" s="291">
        <f>VLOOKUP($C72,[1]Assortment!$F:$AM,14,0)</f>
        <v>91.362830000000002</v>
      </c>
      <c r="H72" s="287">
        <f t="shared" si="28"/>
        <v>3.0454276666666669</v>
      </c>
      <c r="I72" s="286">
        <v>1</v>
      </c>
      <c r="J72" s="300">
        <v>1.8274336283185839</v>
      </c>
      <c r="K72" s="302">
        <f t="shared" si="31"/>
        <v>2.0649999999999995</v>
      </c>
      <c r="L72" s="302"/>
      <c r="M72" s="302"/>
      <c r="N72" s="292">
        <f t="shared" si="26"/>
        <v>2.0649999999999995</v>
      </c>
      <c r="O72" s="292"/>
      <c r="P72" s="303">
        <f t="shared" si="27"/>
        <v>0</v>
      </c>
      <c r="Q72" s="303"/>
      <c r="R72" s="298">
        <v>1.8274336283185839</v>
      </c>
      <c r="S72" s="293"/>
      <c r="T72" s="294"/>
      <c r="U72" s="295"/>
      <c r="V72" s="148">
        <f t="shared" si="32"/>
        <v>91.362830000000002</v>
      </c>
      <c r="W72" s="296">
        <f t="shared" si="33"/>
        <v>48.515937035006658</v>
      </c>
      <c r="X72" s="355">
        <f>VLOOKUP(C72,'[3]Cost YTD'!$A:$L,12,0)</f>
        <v>0.33841875289225204</v>
      </c>
      <c r="Y72" s="143">
        <v>2.7E-2</v>
      </c>
      <c r="Z72" s="332">
        <f t="shared" si="29"/>
        <v>15.130245635699822</v>
      </c>
      <c r="AA72" s="333">
        <f t="shared" si="30"/>
        <v>0.31186135031840356</v>
      </c>
      <c r="AB72" s="324"/>
      <c r="AC72" s="296">
        <f t="shared" si="34"/>
        <v>0</v>
      </c>
      <c r="AD72" s="296">
        <f t="shared" si="35"/>
        <v>-33.385691399306836</v>
      </c>
      <c r="AE72" s="143" t="e">
        <f t="shared" si="36"/>
        <v>#DIV/0!</v>
      </c>
      <c r="AL72" s="246">
        <f t="shared" si="37"/>
        <v>0</v>
      </c>
    </row>
    <row r="73" spans="2:38" hidden="1">
      <c r="B73" s="299" t="s">
        <v>643</v>
      </c>
      <c r="C73" s="284" t="s">
        <v>236</v>
      </c>
      <c r="D73" s="142" t="str">
        <f>VLOOKUP($C73,[1]Assortment!$F:$BA,5,0)</f>
        <v>253000舒洁蚕丝洗脸巾80抽3包装</v>
      </c>
      <c r="E73" s="1">
        <f>VLOOKUP($C73,[1]Assortment!$F:$AM,7,0)</f>
        <v>6</v>
      </c>
      <c r="F73" s="1">
        <f>VLOOKUP($C73,[1]Assortment!$F:$AM,31,0)</f>
        <v>18</v>
      </c>
      <c r="G73" s="291">
        <f>VLOOKUP($C73,[1]Assortment!$F:$AM,14,0)</f>
        <v>358.2</v>
      </c>
      <c r="H73" s="287">
        <f t="shared" si="28"/>
        <v>59.699999999999996</v>
      </c>
      <c r="I73" s="286">
        <v>1</v>
      </c>
      <c r="J73" s="300">
        <v>8.0943952802359878</v>
      </c>
      <c r="K73" s="302">
        <f t="shared" si="31"/>
        <v>9.1466666666666647</v>
      </c>
      <c r="L73" s="302"/>
      <c r="M73" s="302"/>
      <c r="N73" s="292">
        <f t="shared" si="26"/>
        <v>9.1466666666666647</v>
      </c>
      <c r="O73" s="292"/>
      <c r="P73" s="303">
        <f t="shared" si="27"/>
        <v>0</v>
      </c>
      <c r="Q73" s="303"/>
      <c r="R73" s="298">
        <v>8.0943952802359878</v>
      </c>
      <c r="S73" s="293"/>
      <c r="T73" s="294"/>
      <c r="U73" s="295"/>
      <c r="V73" s="148">
        <f t="shared" si="32"/>
        <v>358.2</v>
      </c>
      <c r="W73" s="296">
        <f t="shared" si="33"/>
        <v>128.93726995066177</v>
      </c>
      <c r="X73" s="355">
        <f>VLOOKUP(C73,'[3]Cost YTD'!$A:$L,12,0)</f>
        <v>0.25617794633936342</v>
      </c>
      <c r="Y73" s="143">
        <v>2.7E-2</v>
      </c>
      <c r="Z73" s="332">
        <f t="shared" si="29"/>
        <v>27.502929571901788</v>
      </c>
      <c r="AA73" s="333">
        <f t="shared" si="30"/>
        <v>0.21330473014067899</v>
      </c>
      <c r="AB73" s="324"/>
      <c r="AC73" s="296">
        <f t="shared" si="34"/>
        <v>0</v>
      </c>
      <c r="AD73" s="296">
        <f t="shared" si="35"/>
        <v>-101.43434037875998</v>
      </c>
      <c r="AE73" s="143" t="e">
        <f t="shared" si="36"/>
        <v>#DIV/0!</v>
      </c>
      <c r="AL73" s="246">
        <f t="shared" si="37"/>
        <v>0</v>
      </c>
    </row>
    <row r="74" spans="2:38" hidden="1">
      <c r="B74" s="299" t="s">
        <v>643</v>
      </c>
      <c r="C74" s="284" t="s">
        <v>195</v>
      </c>
      <c r="D74" s="142" t="str">
        <f>VLOOKUP($C74,[1]Assortment!$F:$BA,5,0)</f>
        <v>231216 舒洁马蹄莲盒面纸200抽3盒 FSC mix70%</v>
      </c>
      <c r="E74" s="1">
        <f>VLOOKUP($C74,[1]Assortment!$F:$AM,7,0)</f>
        <v>10</v>
      </c>
      <c r="F74" s="1">
        <f>VLOOKUP($C74,[1]Assortment!$F:$AM,31,0)</f>
        <v>30</v>
      </c>
      <c r="G74" s="291">
        <f>VLOOKUP($C74,[1]Assortment!$F:$AM,14,0)</f>
        <v>243.21306999999999</v>
      </c>
      <c r="H74" s="287">
        <f t="shared" si="28"/>
        <v>24.321306999999997</v>
      </c>
      <c r="I74" s="286">
        <v>1</v>
      </c>
      <c r="J74" s="300">
        <v>5.8023598820058995</v>
      </c>
      <c r="K74" s="302">
        <f t="shared" si="31"/>
        <v>6.5566666666666658</v>
      </c>
      <c r="L74" s="302"/>
      <c r="M74" s="302"/>
      <c r="N74" s="292">
        <f t="shared" si="26"/>
        <v>6.5566666666666658</v>
      </c>
      <c r="O74" s="292"/>
      <c r="P74" s="303">
        <f t="shared" si="27"/>
        <v>0</v>
      </c>
      <c r="Q74" s="303"/>
      <c r="R74" s="298">
        <v>5.8023598820058995</v>
      </c>
      <c r="S74" s="293"/>
      <c r="T74" s="294"/>
      <c r="U74" s="295"/>
      <c r="V74" s="148">
        <f t="shared" si="32"/>
        <v>243.21306999999999</v>
      </c>
      <c r="W74" s="296">
        <f t="shared" si="33"/>
        <v>154.04495261962566</v>
      </c>
      <c r="X74" s="355">
        <f>VLOOKUP(C74,'[3]Cost YTD'!$A:$L,12,0)</f>
        <v>0.40988132072151023</v>
      </c>
      <c r="Y74" s="143">
        <v>2.7E-2</v>
      </c>
      <c r="Z74" s="332">
        <f t="shared" si="29"/>
        <v>47.789705381292535</v>
      </c>
      <c r="AA74" s="333">
        <f t="shared" si="30"/>
        <v>0.31023220539589441</v>
      </c>
      <c r="AB74" s="324"/>
      <c r="AC74" s="296">
        <f t="shared" si="34"/>
        <v>0</v>
      </c>
      <c r="AD74" s="296">
        <f t="shared" si="35"/>
        <v>-106.25524723833313</v>
      </c>
      <c r="AE74" s="143" t="e">
        <f t="shared" si="36"/>
        <v>#DIV/0!</v>
      </c>
      <c r="AL74" s="246">
        <f t="shared" si="37"/>
        <v>0</v>
      </c>
    </row>
    <row r="75" spans="2:38" hidden="1">
      <c r="B75" s="299" t="s">
        <v>643</v>
      </c>
      <c r="C75" s="284" t="s">
        <v>219</v>
      </c>
      <c r="D75" s="142" t="str">
        <f>VLOOKUP($C75,[1]Assortment!$F:$BA,5,0)</f>
        <v>229160舒洁绿茶洋甘菊印花清香卷纸10粒</v>
      </c>
      <c r="E75" s="1">
        <f>VLOOKUP($C75,[1]Assortment!$F:$AM,7,0)</f>
        <v>5</v>
      </c>
      <c r="F75" s="1">
        <f>VLOOKUP($C75,[1]Assortment!$F:$AM,31,0)</f>
        <v>50</v>
      </c>
      <c r="G75" s="291">
        <f>VLOOKUP($C75,[1]Assortment!$F:$AM,14,0)</f>
        <v>153.64888999999999</v>
      </c>
      <c r="H75" s="287">
        <f t="shared" si="28"/>
        <v>30.729778</v>
      </c>
      <c r="I75" s="286">
        <v>1</v>
      </c>
      <c r="J75" s="300">
        <v>2.3663716814159299</v>
      </c>
      <c r="K75" s="302">
        <f t="shared" si="31"/>
        <v>2.6740000000000004</v>
      </c>
      <c r="L75" s="302"/>
      <c r="M75" s="302"/>
      <c r="N75" s="292">
        <f t="shared" si="26"/>
        <v>2.6740000000000004</v>
      </c>
      <c r="O75" s="292"/>
      <c r="P75" s="303">
        <f t="shared" si="27"/>
        <v>0</v>
      </c>
      <c r="Q75" s="303"/>
      <c r="R75" s="298">
        <v>2.3663716814159299</v>
      </c>
      <c r="S75" s="293"/>
      <c r="T75" s="294"/>
      <c r="U75" s="295"/>
      <c r="V75" s="148">
        <f t="shared" si="32"/>
        <v>153.64888999999999</v>
      </c>
      <c r="W75" s="296">
        <f t="shared" si="33"/>
        <v>104.70671156707655</v>
      </c>
      <c r="X75" s="355">
        <f>VLOOKUP(C75,'[3]Cost YTD'!$A:$L,12,0)</f>
        <v>0.50615632874392735</v>
      </c>
      <c r="Y75" s="143">
        <v>2.7E-2</v>
      </c>
      <c r="Z75" s="332">
        <f t="shared" si="29"/>
        <v>22.787833459097016</v>
      </c>
      <c r="AA75" s="333">
        <f t="shared" si="30"/>
        <v>0.21763488813703041</v>
      </c>
      <c r="AB75" s="324"/>
      <c r="AC75" s="296">
        <f t="shared" si="34"/>
        <v>0</v>
      </c>
      <c r="AD75" s="296">
        <f t="shared" si="35"/>
        <v>-81.918878107979538</v>
      </c>
      <c r="AE75" s="143" t="e">
        <f t="shared" si="36"/>
        <v>#DIV/0!</v>
      </c>
      <c r="AL75" s="246">
        <f t="shared" si="37"/>
        <v>0</v>
      </c>
    </row>
    <row r="76" spans="2:38" hidden="1">
      <c r="B76" s="299" t="s">
        <v>643</v>
      </c>
      <c r="C76" s="284" t="s">
        <v>211</v>
      </c>
      <c r="D76" s="142" t="str">
        <f>VLOOKUP($C76,[1]Assortment!$F:$BA,5,0)</f>
        <v>221635舒洁卷纸3层纯白10粒（蓝色）</v>
      </c>
      <c r="E76" s="1">
        <f>VLOOKUP($C76,[1]Assortment!$F:$AM,7,0)</f>
        <v>10</v>
      </c>
      <c r="F76" s="1">
        <f>VLOOKUP($C76,[1]Assortment!$F:$AM,31,0)</f>
        <v>100</v>
      </c>
      <c r="G76" s="291">
        <f>VLOOKUP($C76,[1]Assortment!$F:$AM,14,0)</f>
        <v>240.89676</v>
      </c>
      <c r="H76" s="287">
        <f t="shared" si="28"/>
        <v>24.089676000000001</v>
      </c>
      <c r="I76" s="286">
        <v>1</v>
      </c>
      <c r="J76" s="300">
        <v>18.707964601769909</v>
      </c>
      <c r="K76" s="302">
        <f t="shared" si="31"/>
        <v>21.139999999999993</v>
      </c>
      <c r="L76" s="302"/>
      <c r="M76" s="302"/>
      <c r="N76" s="292">
        <f t="shared" si="26"/>
        <v>21.139999999999993</v>
      </c>
      <c r="O76" s="292"/>
      <c r="P76" s="303">
        <f t="shared" si="27"/>
        <v>0</v>
      </c>
      <c r="Q76" s="303"/>
      <c r="R76" s="300">
        <v>1.89</v>
      </c>
      <c r="S76" s="293"/>
      <c r="T76" s="294"/>
      <c r="U76" s="295"/>
      <c r="V76" s="148">
        <f t="shared" si="32"/>
        <v>240.89676</v>
      </c>
      <c r="W76" s="296">
        <f t="shared" si="33"/>
        <v>167.25663716814162</v>
      </c>
      <c r="X76" s="355">
        <f>VLOOKUP(C76,'[3]Cost YTD'!$A:$L,12,0)</f>
        <v>0.48521181381160644</v>
      </c>
      <c r="Y76" s="143">
        <v>2.7E-2</v>
      </c>
      <c r="Z76" s="332">
        <f t="shared" si="29"/>
        <v>43.866470787202388</v>
      </c>
      <c r="AA76" s="333">
        <f t="shared" si="30"/>
        <v>0.26227043380708304</v>
      </c>
      <c r="AB76" s="324"/>
      <c r="AC76" s="296">
        <f t="shared" si="34"/>
        <v>0</v>
      </c>
      <c r="AD76" s="296">
        <f t="shared" si="35"/>
        <v>-123.39016638093923</v>
      </c>
      <c r="AE76" s="143" t="e">
        <f t="shared" si="36"/>
        <v>#DIV/0!</v>
      </c>
      <c r="AL76" s="246">
        <f t="shared" si="37"/>
        <v>0</v>
      </c>
    </row>
    <row r="77" spans="2:38" hidden="1">
      <c r="B77" s="299" t="s">
        <v>643</v>
      </c>
      <c r="C77" s="284" t="s">
        <v>164</v>
      </c>
      <c r="D77" s="142" t="str">
        <f>VLOOKUP($C77,[1]Assortment!$F:$BA,5,0)</f>
        <v>216805舒洁®北海道牛乳系列乳霜纸面巾80抽5包装</v>
      </c>
      <c r="E77" s="1">
        <f>VLOOKUP($C77,[1]Assortment!$F:$AM,7,0)</f>
        <v>3</v>
      </c>
      <c r="F77" s="1">
        <f>VLOOKUP($C77,[1]Assortment!$F:$AM,31,0)</f>
        <v>15</v>
      </c>
      <c r="G77" s="291">
        <f>VLOOKUP($C77,[1]Assortment!$F:$AM,14,0)</f>
        <v>215.56800000000001</v>
      </c>
      <c r="H77" s="287">
        <f t="shared" si="28"/>
        <v>71.856000000000009</v>
      </c>
      <c r="I77" s="286">
        <v>1</v>
      </c>
      <c r="J77" s="300">
        <v>7.4584070796460171</v>
      </c>
      <c r="K77" s="302">
        <f t="shared" si="31"/>
        <v>8.427999999999999</v>
      </c>
      <c r="L77" s="302"/>
      <c r="M77" s="302"/>
      <c r="N77" s="292">
        <f t="shared" si="26"/>
        <v>8.427999999999999</v>
      </c>
      <c r="O77" s="292"/>
      <c r="P77" s="303">
        <f t="shared" si="27"/>
        <v>0</v>
      </c>
      <c r="Q77" s="303"/>
      <c r="R77" s="298">
        <v>7.4584070796460171</v>
      </c>
      <c r="S77" s="293"/>
      <c r="T77" s="294"/>
      <c r="U77" s="295"/>
      <c r="V77" s="148">
        <f t="shared" si="32"/>
        <v>215.56800000000001</v>
      </c>
      <c r="W77" s="296">
        <f t="shared" si="33"/>
        <v>99.005403712115282</v>
      </c>
      <c r="X77" s="355">
        <f>VLOOKUP(C77,'[3]Cost YTD'!$A:$L,12,0)</f>
        <v>0.28547005678913662</v>
      </c>
      <c r="Y77" s="143">
        <v>2.7E-2</v>
      </c>
      <c r="Z77" s="332">
        <f t="shared" si="29"/>
        <v>31.646858510194676</v>
      </c>
      <c r="AA77" s="333">
        <f t="shared" si="30"/>
        <v>0.31964779015715533</v>
      </c>
      <c r="AB77" s="324"/>
      <c r="AC77" s="296">
        <f t="shared" si="34"/>
        <v>0</v>
      </c>
      <c r="AD77" s="296">
        <f t="shared" si="35"/>
        <v>-67.358545201920606</v>
      </c>
      <c r="AE77" s="143" t="e">
        <f t="shared" si="36"/>
        <v>#DIV/0!</v>
      </c>
      <c r="AL77" s="246">
        <f t="shared" si="37"/>
        <v>0</v>
      </c>
    </row>
    <row r="78" spans="2:38" hidden="1">
      <c r="B78" s="299" t="s">
        <v>643</v>
      </c>
      <c r="C78" s="284" t="s">
        <v>157</v>
      </c>
      <c r="D78" s="142" t="str">
        <f>VLOOKUP($C78,[1]Assortment!$F:$BA,5,0)</f>
        <v>216710舒洁®牛乳系列乳霜纸面巾口袋包7抽10包装</v>
      </c>
      <c r="E78" s="1">
        <f>VLOOKUP($C78,[1]Assortment!$F:$AM,7,0)</f>
        <v>12</v>
      </c>
      <c r="F78" s="1">
        <f>VLOOKUP($C78,[1]Assortment!$F:$AM,31,0)</f>
        <v>120</v>
      </c>
      <c r="G78" s="291">
        <f>VLOOKUP($C78,[1]Assortment!$F:$AM,14,0)</f>
        <v>202.8</v>
      </c>
      <c r="H78" s="287">
        <f t="shared" si="28"/>
        <v>16.900000000000002</v>
      </c>
      <c r="I78" s="286">
        <v>1</v>
      </c>
      <c r="J78" s="300">
        <v>0.87964601769911499</v>
      </c>
      <c r="K78" s="302">
        <f t="shared" si="31"/>
        <v>0.99399999999999988</v>
      </c>
      <c r="L78" s="302"/>
      <c r="M78" s="302"/>
      <c r="N78" s="292">
        <f t="shared" si="26"/>
        <v>0.99399999999999988</v>
      </c>
      <c r="O78" s="292"/>
      <c r="P78" s="303">
        <f t="shared" si="27"/>
        <v>0</v>
      </c>
      <c r="Q78" s="303"/>
      <c r="R78" s="298">
        <v>0.87964601769911499</v>
      </c>
      <c r="S78" s="293"/>
      <c r="T78" s="294"/>
      <c r="U78" s="295"/>
      <c r="V78" s="148">
        <f t="shared" si="32"/>
        <v>202.8</v>
      </c>
      <c r="W78" s="296">
        <f t="shared" si="33"/>
        <v>93.41373639282638</v>
      </c>
      <c r="X78" s="355">
        <f>VLOOKUP(C78,'[3]Cost YTD'!$A:$L,12,0)</f>
        <v>0.30604535523662951</v>
      </c>
      <c r="Y78" s="143">
        <v>2.7E-2</v>
      </c>
      <c r="Z78" s="332">
        <f t="shared" si="29"/>
        <v>25.872138350837901</v>
      </c>
      <c r="AA78" s="333">
        <f t="shared" si="30"/>
        <v>0.27696288950523906</v>
      </c>
      <c r="AB78" s="324"/>
      <c r="AC78" s="296">
        <f t="shared" si="34"/>
        <v>0</v>
      </c>
      <c r="AD78" s="296">
        <f t="shared" si="35"/>
        <v>-67.541598041988479</v>
      </c>
      <c r="AE78" s="143" t="e">
        <f t="shared" si="36"/>
        <v>#DIV/0!</v>
      </c>
      <c r="AL78" s="246">
        <f t="shared" si="37"/>
        <v>0</v>
      </c>
    </row>
    <row r="79" spans="2:38" hidden="1">
      <c r="B79" s="299" t="s">
        <v>643</v>
      </c>
      <c r="C79" s="284" t="s">
        <v>150</v>
      </c>
      <c r="D79" s="142" t="str">
        <f>VLOOKUP($C79,[1]Assortment!$F:$BA,5,0)</f>
        <v>216208舒洁®北海道牛乳系列乳霜纸面巾20抽8包装</v>
      </c>
      <c r="E79" s="1">
        <f>VLOOKUP($C79,[1]Assortment!$F:$AM,7,0)</f>
        <v>4</v>
      </c>
      <c r="F79" s="1">
        <f>VLOOKUP($C79,[1]Assortment!$F:$AM,31,0)</f>
        <v>32</v>
      </c>
      <c r="G79" s="291">
        <f>VLOOKUP($C79,[1]Assortment!$F:$AM,14,0)</f>
        <v>100.4986</v>
      </c>
      <c r="H79" s="287">
        <f t="shared" si="28"/>
        <v>25.124649999999999</v>
      </c>
      <c r="I79" s="286">
        <v>1</v>
      </c>
      <c r="J79" s="300">
        <v>1.7112831858407083</v>
      </c>
      <c r="K79" s="302">
        <f t="shared" si="31"/>
        <v>1.9337500000000001</v>
      </c>
      <c r="L79" s="302"/>
      <c r="M79" s="302"/>
      <c r="N79" s="292">
        <f t="shared" si="26"/>
        <v>1.9337500000000001</v>
      </c>
      <c r="O79" s="292"/>
      <c r="P79" s="303">
        <f t="shared" si="27"/>
        <v>0</v>
      </c>
      <c r="Q79" s="303"/>
      <c r="R79" s="298">
        <v>1.7112831858407083</v>
      </c>
      <c r="S79" s="293"/>
      <c r="T79" s="294"/>
      <c r="U79" s="295"/>
      <c r="V79" s="148">
        <f t="shared" si="32"/>
        <v>100.4986</v>
      </c>
      <c r="W79" s="296">
        <f t="shared" si="33"/>
        <v>48.461116767170502</v>
      </c>
      <c r="X79" s="355">
        <f>VLOOKUP(C79,'[3]Cost YTD'!$A:$L,12,0)</f>
        <v>0.31234929480367374</v>
      </c>
      <c r="Y79" s="143">
        <v>2.7E-2</v>
      </c>
      <c r="Z79" s="332">
        <f t="shared" si="29"/>
        <v>14.356987728414012</v>
      </c>
      <c r="AA79" s="333">
        <f t="shared" si="30"/>
        <v>0.29625788025875643</v>
      </c>
      <c r="AB79" s="324"/>
      <c r="AC79" s="296">
        <f t="shared" si="34"/>
        <v>0</v>
      </c>
      <c r="AD79" s="296">
        <f t="shared" si="35"/>
        <v>-34.10412903875649</v>
      </c>
      <c r="AE79" s="143" t="e">
        <f t="shared" si="36"/>
        <v>#DIV/0!</v>
      </c>
      <c r="AL79" s="246">
        <f t="shared" si="37"/>
        <v>0</v>
      </c>
    </row>
    <row r="80" spans="2:38" hidden="1">
      <c r="B80" s="299" t="s">
        <v>643</v>
      </c>
      <c r="C80" s="284" t="s">
        <v>143</v>
      </c>
      <c r="D80" s="142" t="str">
        <f>VLOOKUP($C80,[1]Assortment!$F:$BA,5,0)</f>
        <v>215610舒洁®北海道轻牛乳系列乳霜纸面巾100抽3包装</v>
      </c>
      <c r="E80" s="1">
        <f>VLOOKUP($C80,[1]Assortment!$F:$AM,7,0)</f>
        <v>6</v>
      </c>
      <c r="F80" s="1">
        <f>VLOOKUP($C80,[1]Assortment!$F:$AM,31,0)</f>
        <v>18</v>
      </c>
      <c r="G80" s="291">
        <f>VLOOKUP($C80,[1]Assortment!$F:$AM,14,0)</f>
        <v>215.4</v>
      </c>
      <c r="H80" s="287">
        <f t="shared" si="28"/>
        <v>35.9</v>
      </c>
      <c r="I80" s="286">
        <v>1</v>
      </c>
      <c r="J80" s="300">
        <v>5.0589970501474921</v>
      </c>
      <c r="K80" s="302">
        <f t="shared" si="31"/>
        <v>5.7166666666666659</v>
      </c>
      <c r="L80" s="302"/>
      <c r="M80" s="302"/>
      <c r="N80" s="292">
        <f t="shared" si="26"/>
        <v>5.7166666666666659</v>
      </c>
      <c r="O80" s="292"/>
      <c r="P80" s="303">
        <f t="shared" si="27"/>
        <v>0</v>
      </c>
      <c r="Q80" s="303"/>
      <c r="R80" s="298">
        <v>5.0589970501474921</v>
      </c>
      <c r="S80" s="293"/>
      <c r="T80" s="294"/>
      <c r="U80" s="295"/>
      <c r="V80" s="148">
        <f t="shared" si="32"/>
        <v>215.4</v>
      </c>
      <c r="W80" s="296">
        <f t="shared" si="33"/>
        <v>80.58579371916359</v>
      </c>
      <c r="X80" s="355">
        <f>VLOOKUP(C80,'[3]Cost YTD'!$A:$L,12,0)</f>
        <v>0.2556926203465249</v>
      </c>
      <c r="Y80" s="143">
        <v>2.7E-2</v>
      </c>
      <c r="Z80" s="332">
        <f t="shared" si="29"/>
        <v>19.69380329652212</v>
      </c>
      <c r="AA80" s="333">
        <f t="shared" si="30"/>
        <v>0.24438306539678423</v>
      </c>
      <c r="AB80" s="324"/>
      <c r="AC80" s="296">
        <f t="shared" si="34"/>
        <v>0</v>
      </c>
      <c r="AD80" s="296">
        <f t="shared" si="35"/>
        <v>-60.89199042264147</v>
      </c>
      <c r="AE80" s="143" t="e">
        <f t="shared" si="36"/>
        <v>#DIV/0!</v>
      </c>
      <c r="AL80" s="246">
        <f t="shared" si="37"/>
        <v>0</v>
      </c>
    </row>
    <row r="81" spans="2:38" hidden="1">
      <c r="B81" s="299" t="s">
        <v>643</v>
      </c>
      <c r="C81" s="284" t="s">
        <v>136</v>
      </c>
      <c r="D81" s="142" t="str">
        <f>VLOOKUP($C81,[1]Assortment!$F:$BA,5,0)</f>
        <v>215503舒洁®北海道轻牛乳系列乳霜纸面巾40抽3包装</v>
      </c>
      <c r="E81" s="1">
        <f>VLOOKUP($C81,[1]Assortment!$F:$AM,7,0)</f>
        <v>16</v>
      </c>
      <c r="F81" s="1">
        <f>VLOOKUP($C81,[1]Assortment!$F:$AM,31,0)</f>
        <v>48</v>
      </c>
      <c r="G81" s="291">
        <f>VLOOKUP($C81,[1]Assortment!$F:$AM,14,0)</f>
        <v>222.4</v>
      </c>
      <c r="H81" s="287">
        <f t="shared" si="28"/>
        <v>13.9</v>
      </c>
      <c r="I81" s="286">
        <v>1</v>
      </c>
      <c r="J81" s="300">
        <v>2.0855457227138641</v>
      </c>
      <c r="K81" s="302">
        <f t="shared" si="31"/>
        <v>2.356666666666666</v>
      </c>
      <c r="L81" s="302"/>
      <c r="M81" s="302"/>
      <c r="N81" s="292">
        <f t="shared" si="26"/>
        <v>2.356666666666666</v>
      </c>
      <c r="O81" s="292"/>
      <c r="P81" s="303">
        <f t="shared" si="27"/>
        <v>0</v>
      </c>
      <c r="Q81" s="303"/>
      <c r="R81" s="298">
        <v>2.0855457227138641</v>
      </c>
      <c r="S81" s="293"/>
      <c r="T81" s="294"/>
      <c r="U81" s="295"/>
      <c r="V81" s="148">
        <f t="shared" si="32"/>
        <v>222.4</v>
      </c>
      <c r="W81" s="296">
        <f t="shared" si="33"/>
        <v>88.589552823243793</v>
      </c>
      <c r="X81" s="355">
        <f>VLOOKUP(C81,'[3]Cost YTD'!$A:$L,12,0)</f>
        <v>0.24928738317349211</v>
      </c>
      <c r="Y81" s="143">
        <v>2.7E-2</v>
      </c>
      <c r="Z81" s="332">
        <f t="shared" si="29"/>
        <v>27.143238805459148</v>
      </c>
      <c r="AA81" s="333">
        <f t="shared" si="30"/>
        <v>0.30639322516522971</v>
      </c>
      <c r="AB81" s="324"/>
      <c r="AC81" s="296">
        <f t="shared" si="34"/>
        <v>0</v>
      </c>
      <c r="AD81" s="296">
        <f t="shared" si="35"/>
        <v>-61.446314017784644</v>
      </c>
      <c r="AE81" s="143" t="e">
        <f t="shared" si="36"/>
        <v>#DIV/0!</v>
      </c>
      <c r="AL81" s="246">
        <f t="shared" si="37"/>
        <v>0</v>
      </c>
    </row>
    <row r="82" spans="2:38" hidden="1">
      <c r="B82" s="299" t="s">
        <v>643</v>
      </c>
      <c r="C82" s="284" t="s">
        <v>127</v>
      </c>
      <c r="D82" s="142" t="str">
        <f>VLOOKUP($C82,[1]Assortment!$F:$BA,5,0)</f>
        <v>215204舒洁鎏金系列乳霜纸巾40抽8包</v>
      </c>
      <c r="E82" s="1">
        <f>VLOOKUP($C82,[1]Assortment!$F:$AM,7,0)</f>
        <v>4</v>
      </c>
      <c r="F82" s="1">
        <f>VLOOKUP($C82,[1]Assortment!$F:$AM,31,0)</f>
        <v>32</v>
      </c>
      <c r="G82" s="291">
        <f>VLOOKUP($C82,[1]Assortment!$F:$AM,14,0)</f>
        <v>105.788</v>
      </c>
      <c r="H82" s="287">
        <f t="shared" si="28"/>
        <v>26.446999999999999</v>
      </c>
      <c r="I82" s="286">
        <v>1</v>
      </c>
      <c r="J82" s="300">
        <v>1.595132743362832</v>
      </c>
      <c r="K82" s="302">
        <f t="shared" si="31"/>
        <v>1.8025</v>
      </c>
      <c r="L82" s="302"/>
      <c r="M82" s="302"/>
      <c r="N82" s="292">
        <f t="shared" si="26"/>
        <v>1.8025</v>
      </c>
      <c r="O82" s="292"/>
      <c r="P82" s="303">
        <f t="shared" si="27"/>
        <v>0</v>
      </c>
      <c r="Q82" s="303"/>
      <c r="R82" s="298">
        <v>1.595132743362832</v>
      </c>
      <c r="S82" s="293"/>
      <c r="T82" s="294"/>
      <c r="U82" s="295"/>
      <c r="V82" s="148">
        <f t="shared" si="32"/>
        <v>105.788</v>
      </c>
      <c r="W82" s="296">
        <f t="shared" si="33"/>
        <v>45.171900697000552</v>
      </c>
      <c r="X82" s="355">
        <f>VLOOKUP(C82,'[3]Cost YTD'!$A:$L,12,0)</f>
        <v>0.29234795400060104</v>
      </c>
      <c r="Y82" s="143">
        <v>2.7E-2</v>
      </c>
      <c r="Z82" s="332">
        <f t="shared" si="29"/>
        <v>11.388719339184966</v>
      </c>
      <c r="AA82" s="333">
        <f t="shared" si="30"/>
        <v>0.25211955139052156</v>
      </c>
      <c r="AB82" s="324"/>
      <c r="AC82" s="296">
        <f t="shared" si="34"/>
        <v>0</v>
      </c>
      <c r="AD82" s="296">
        <f t="shared" si="35"/>
        <v>-33.783181357815586</v>
      </c>
      <c r="AE82" s="143" t="e">
        <f t="shared" si="36"/>
        <v>#DIV/0!</v>
      </c>
      <c r="AL82" s="246">
        <f t="shared" si="37"/>
        <v>0</v>
      </c>
    </row>
    <row r="83" spans="2:38" hidden="1">
      <c r="B83" s="299" t="s">
        <v>643</v>
      </c>
      <c r="C83" s="284" t="s">
        <v>180</v>
      </c>
      <c r="D83" s="142" t="str">
        <f>VLOOKUP($C83,[1]Assortment!$F:$BA,5,0)</f>
        <v>214890舒洁小熊印花抽纸3层80抽16包FSC mix70%</v>
      </c>
      <c r="E83" s="1">
        <f>VLOOKUP($C83,[1]Assortment!$F:$AM,7,0)</f>
        <v>6</v>
      </c>
      <c r="F83" s="1">
        <f>VLOOKUP($C83,[1]Assortment!$F:$AM,31,0)</f>
        <v>96</v>
      </c>
      <c r="G83" s="291">
        <f>VLOOKUP($C83,[1]Assortment!$F:$AM,14,0)</f>
        <v>283.80122999999998</v>
      </c>
      <c r="H83" s="287">
        <f t="shared" si="28"/>
        <v>47.300204999999998</v>
      </c>
      <c r="I83" s="286">
        <v>1</v>
      </c>
      <c r="J83" s="300">
        <v>2.1991150442477876</v>
      </c>
      <c r="K83" s="302">
        <f t="shared" si="31"/>
        <v>2.4849999999999999</v>
      </c>
      <c r="L83" s="302"/>
      <c r="M83" s="302"/>
      <c r="N83" s="292">
        <f t="shared" si="26"/>
        <v>2.4849999999999999</v>
      </c>
      <c r="O83" s="292"/>
      <c r="P83" s="303">
        <f t="shared" si="27"/>
        <v>0</v>
      </c>
      <c r="Q83" s="303"/>
      <c r="R83" s="298">
        <v>2.1991150442477876</v>
      </c>
      <c r="S83" s="293"/>
      <c r="T83" s="294"/>
      <c r="U83" s="295"/>
      <c r="V83" s="148">
        <f t="shared" si="32"/>
        <v>283.80122999999998</v>
      </c>
      <c r="W83" s="296">
        <f t="shared" si="33"/>
        <v>186.82747278565276</v>
      </c>
      <c r="X83" s="355">
        <f>VLOOKUP(C83,'[3]Cost YTD'!$A:$L,12,0)</f>
        <v>0.46847941311762015</v>
      </c>
      <c r="Y83" s="143">
        <v>2.7E-2</v>
      </c>
      <c r="Z83" s="332">
        <f t="shared" si="29"/>
        <v>46.209805903194024</v>
      </c>
      <c r="AA83" s="333">
        <f t="shared" si="30"/>
        <v>0.24733945824022655</v>
      </c>
      <c r="AB83" s="324"/>
      <c r="AC83" s="296">
        <f t="shared" si="34"/>
        <v>0</v>
      </c>
      <c r="AD83" s="296">
        <f t="shared" si="35"/>
        <v>-140.61766688245874</v>
      </c>
      <c r="AE83" s="143" t="e">
        <f t="shared" si="36"/>
        <v>#DIV/0!</v>
      </c>
      <c r="AL83" s="246">
        <f t="shared" si="37"/>
        <v>0</v>
      </c>
    </row>
    <row r="84" spans="2:38" hidden="1">
      <c r="B84" s="299" t="s">
        <v>643</v>
      </c>
      <c r="C84" s="284" t="s">
        <v>187</v>
      </c>
      <c r="D84" s="142" t="str">
        <f>VLOOKUP($C84,[1]Assortment!$F:$BA,5,0)</f>
        <v>210761舒洁卡通系列抽纸200抽3包 FSC mix70%</v>
      </c>
      <c r="E84" s="1">
        <f>VLOOKUP($C84,[1]Assortment!$F:$AM,7,0)</f>
        <v>20</v>
      </c>
      <c r="F84" s="1">
        <f>VLOOKUP($C84,[1]Assortment!$F:$AM,31,0)</f>
        <v>60</v>
      </c>
      <c r="G84" s="291">
        <f>VLOOKUP($C84,[1]Assortment!$F:$AM,14,0)</f>
        <v>338.18198999999998</v>
      </c>
      <c r="H84" s="287">
        <f t="shared" si="28"/>
        <v>16.9090995</v>
      </c>
      <c r="I84" s="286">
        <v>1</v>
      </c>
      <c r="J84" s="300">
        <v>4.1504424778761067</v>
      </c>
      <c r="K84" s="302">
        <f t="shared" si="31"/>
        <v>4.6900000000000004</v>
      </c>
      <c r="L84" s="302"/>
      <c r="M84" s="302"/>
      <c r="N84" s="292">
        <f t="shared" si="26"/>
        <v>4.6900000000000004</v>
      </c>
      <c r="O84" s="292"/>
      <c r="P84" s="303">
        <f t="shared" si="27"/>
        <v>0</v>
      </c>
      <c r="Q84" s="303"/>
      <c r="R84" s="298">
        <v>4.1504424778761067</v>
      </c>
      <c r="S84" s="293"/>
      <c r="T84" s="294"/>
      <c r="U84" s="295"/>
      <c r="V84" s="148">
        <f t="shared" si="32"/>
        <v>338.18198999999998</v>
      </c>
      <c r="W84" s="296">
        <f t="shared" si="33"/>
        <v>220.37747670138623</v>
      </c>
      <c r="X84" s="355">
        <f>VLOOKUP(C84,'[3]Cost YTD'!$A:$L,12,0)</f>
        <v>0.46297308548951832</v>
      </c>
      <c r="Y84" s="143">
        <v>2.7E-2</v>
      </c>
      <c r="Z84" s="332">
        <f t="shared" si="29"/>
        <v>54.677403604100789</v>
      </c>
      <c r="AA84" s="333">
        <f t="shared" si="30"/>
        <v>0.24810794833715807</v>
      </c>
      <c r="AB84" s="324"/>
      <c r="AC84" s="296">
        <f t="shared" si="34"/>
        <v>0</v>
      </c>
      <c r="AD84" s="296">
        <f t="shared" si="35"/>
        <v>-165.70007309728544</v>
      </c>
      <c r="AE84" s="143" t="e">
        <f t="shared" si="36"/>
        <v>#DIV/0!</v>
      </c>
      <c r="AL84" s="246">
        <f t="shared" si="37"/>
        <v>0</v>
      </c>
    </row>
    <row r="85" spans="2:38" hidden="1">
      <c r="B85" s="299" t="s">
        <v>643</v>
      </c>
      <c r="C85" s="284" t="s">
        <v>172</v>
      </c>
      <c r="D85" s="142" t="str">
        <f>VLOOKUP($C85,[1]Assortment!$F:$BA,5,0)</f>
        <v>210390舒洁小熊印花抽纸3层80抽4包FSC mix70%</v>
      </c>
      <c r="E85" s="1">
        <f>VLOOKUP($C85,[1]Assortment!$F:$AM,7,0)</f>
        <v>24</v>
      </c>
      <c r="F85" s="1">
        <f>VLOOKUP($C85,[1]Assortment!$F:$AM,31,0)</f>
        <v>96</v>
      </c>
      <c r="G85" s="291">
        <f>VLOOKUP($C85,[1]Assortment!$F:$AM,14,0)</f>
        <v>287.22305</v>
      </c>
      <c r="H85" s="287">
        <f t="shared" si="28"/>
        <v>11.967627083333333</v>
      </c>
      <c r="I85" s="286">
        <v>1</v>
      </c>
      <c r="J85" s="300">
        <v>2.3539823008849559</v>
      </c>
      <c r="K85" s="302">
        <f t="shared" si="31"/>
        <v>2.6599999999999997</v>
      </c>
      <c r="L85" s="302"/>
      <c r="M85" s="302"/>
      <c r="N85" s="292">
        <f t="shared" si="26"/>
        <v>2.6599999999999997</v>
      </c>
      <c r="O85" s="292"/>
      <c r="P85" s="303">
        <f t="shared" si="27"/>
        <v>0</v>
      </c>
      <c r="Q85" s="303"/>
      <c r="R85" s="298">
        <v>2.3539823008849559</v>
      </c>
      <c r="S85" s="293"/>
      <c r="T85" s="294"/>
      <c r="U85" s="295"/>
      <c r="V85" s="148">
        <f t="shared" si="32"/>
        <v>287.22305</v>
      </c>
      <c r="W85" s="296">
        <f t="shared" si="33"/>
        <v>199.98433706633253</v>
      </c>
      <c r="X85" s="355">
        <f>VLOOKUP(C85,'[3]Cost YTD'!$A:$L,12,0)</f>
        <v>0.47224779147046408</v>
      </c>
      <c r="Y85" s="143">
        <v>2.7E-2</v>
      </c>
      <c r="Z85" s="332">
        <f t="shared" si="29"/>
        <v>56.588863694421832</v>
      </c>
      <c r="AA85" s="333">
        <f t="shared" si="30"/>
        <v>0.28296647889805465</v>
      </c>
      <c r="AB85" s="324"/>
      <c r="AC85" s="296">
        <f t="shared" si="34"/>
        <v>0</v>
      </c>
      <c r="AD85" s="296">
        <f t="shared" si="35"/>
        <v>-143.3954733719107</v>
      </c>
      <c r="AE85" s="143" t="e">
        <f t="shared" si="36"/>
        <v>#DIV/0!</v>
      </c>
      <c r="AL85" s="246">
        <f t="shared" si="37"/>
        <v>0</v>
      </c>
    </row>
    <row r="86" spans="2:38" hidden="1">
      <c r="B86" s="299" t="s">
        <v>643</v>
      </c>
      <c r="C86" s="285" t="s">
        <v>96</v>
      </c>
      <c r="D86" s="142" t="str">
        <f>VLOOKUP($C86,[1]Assortment!$F:$BA,5,0)</f>
        <v>265500舒洁湿厕纸7抽6包装</v>
      </c>
      <c r="E86" s="1">
        <f>VLOOKUP($C86,[1]Assortment!$F:$AM,7,0)</f>
        <v>16</v>
      </c>
      <c r="F86" s="1">
        <f>VLOOKUP($C86,[1]Assortment!$F:$AM,31,0)</f>
        <v>96</v>
      </c>
      <c r="G86" s="291">
        <f>VLOOKUP($C86,[1]Assortment!$F:$AM,14,0)</f>
        <v>179.2</v>
      </c>
      <c r="H86" s="287">
        <f t="shared" si="28"/>
        <v>11.2</v>
      </c>
      <c r="I86" s="286">
        <v>1</v>
      </c>
      <c r="J86" s="300">
        <v>1.1356932153392332</v>
      </c>
      <c r="K86" s="302">
        <f t="shared" si="31"/>
        <v>1.2833333333333334</v>
      </c>
      <c r="L86" s="302"/>
      <c r="M86" s="302"/>
      <c r="N86" s="292">
        <f t="shared" si="26"/>
        <v>1.2833333333333334</v>
      </c>
      <c r="O86" s="292"/>
      <c r="P86" s="303">
        <f t="shared" si="27"/>
        <v>0</v>
      </c>
      <c r="Q86" s="303"/>
      <c r="R86" s="298">
        <v>1.1356932153392332</v>
      </c>
      <c r="S86" s="293"/>
      <c r="T86" s="294"/>
      <c r="U86" s="295"/>
      <c r="V86" s="148">
        <f t="shared" si="32"/>
        <v>179.2</v>
      </c>
      <c r="W86" s="296">
        <f t="shared" si="33"/>
        <v>96.483671391651669</v>
      </c>
      <c r="X86" s="355">
        <f>VLOOKUP(C86,'[3]Cost YTD'!$A:$L,12,0)</f>
        <v>0.2663167418092946</v>
      </c>
      <c r="Y86" s="143">
        <v>2.7E-2</v>
      </c>
      <c r="Z86" s="332">
        <f t="shared" si="29"/>
        <v>43.921311259426076</v>
      </c>
      <c r="AA86" s="333">
        <f t="shared" si="30"/>
        <v>0.4552201489217626</v>
      </c>
      <c r="AB86" s="324"/>
      <c r="AC86" s="296">
        <f t="shared" si="34"/>
        <v>0</v>
      </c>
      <c r="AD86" s="296">
        <f t="shared" si="35"/>
        <v>-52.562360132225592</v>
      </c>
      <c r="AE86" s="143" t="e">
        <f t="shared" si="36"/>
        <v>#DIV/0!</v>
      </c>
      <c r="AL86" s="246">
        <f t="shared" si="37"/>
        <v>0</v>
      </c>
    </row>
    <row r="87" spans="2:38" hidden="1">
      <c r="B87" s="299" t="s">
        <v>643</v>
      </c>
      <c r="C87" s="285" t="s">
        <v>634</v>
      </c>
      <c r="D87" s="142" t="str">
        <f>VLOOKUP($C87,[1]Assortment!$F:$BA,5,0)</f>
        <v>267030舒洁湿厕纸旅行装10包装</v>
      </c>
      <c r="E87" s="1">
        <f>VLOOKUP($C87,[1]Assortment!$F:$AM,7,0)</f>
        <v>4</v>
      </c>
      <c r="F87" s="1">
        <f>VLOOKUP($C87,[1]Assortment!$F:$AM,31,0)</f>
        <v>40</v>
      </c>
      <c r="G87" s="291">
        <f>VLOOKUP($C87,[1]Assortment!$F:$AM,14,0)</f>
        <v>151.33000000000001</v>
      </c>
      <c r="H87" s="287">
        <f t="shared" si="28"/>
        <v>37.832500000000003</v>
      </c>
      <c r="I87" s="286">
        <v>1</v>
      </c>
      <c r="J87" s="300">
        <v>1.1955752212389379</v>
      </c>
      <c r="K87" s="302">
        <f t="shared" si="31"/>
        <v>1.3509999999999998</v>
      </c>
      <c r="L87" s="302"/>
      <c r="M87" s="302"/>
      <c r="N87" s="292">
        <f t="shared" si="26"/>
        <v>1.3509999999999998</v>
      </c>
      <c r="O87" s="292"/>
      <c r="P87" s="303">
        <f t="shared" si="27"/>
        <v>0</v>
      </c>
      <c r="Q87" s="303"/>
      <c r="R87" s="298">
        <v>1.1955752212389379</v>
      </c>
      <c r="S87" s="293"/>
      <c r="T87" s="294"/>
      <c r="U87" s="295"/>
      <c r="V87" s="148">
        <f t="shared" si="32"/>
        <v>151.33000000000001</v>
      </c>
      <c r="W87" s="296">
        <f t="shared" si="33"/>
        <v>42.321246769519931</v>
      </c>
      <c r="X87" s="355">
        <f>VLOOKUP(C87,'[3]Cost YTD'!$A:$L,12,0)</f>
        <v>0.19361901119079922</v>
      </c>
      <c r="Y87" s="143">
        <v>2.7E-2</v>
      </c>
      <c r="Z87" s="332">
        <f t="shared" si="29"/>
        <v>8.9349718060162857</v>
      </c>
      <c r="AA87" s="333">
        <f t="shared" si="30"/>
        <v>0.21112260361032931</v>
      </c>
      <c r="AB87" s="324"/>
      <c r="AC87" s="296">
        <f t="shared" si="34"/>
        <v>0</v>
      </c>
      <c r="AD87" s="296">
        <f t="shared" si="35"/>
        <v>-33.386274963503645</v>
      </c>
      <c r="AE87" s="143" t="e">
        <f t="shared" si="36"/>
        <v>#DIV/0!</v>
      </c>
      <c r="AL87" s="246">
        <f t="shared" si="37"/>
        <v>0</v>
      </c>
    </row>
    <row r="88" spans="2:38" hidden="1">
      <c r="B88" s="299" t="s">
        <v>643</v>
      </c>
      <c r="C88" s="285" t="s">
        <v>497</v>
      </c>
      <c r="D88" s="142" t="str">
        <f>VLOOKUP($C88,[1]Assortment!$F:$BA,5,0)</f>
        <v>269430舒洁湿厕纸家庭装40抽</v>
      </c>
      <c r="E88" s="1">
        <f>VLOOKUP($C88,[1]Assortment!$F:$AM,7,0)</f>
        <v>40</v>
      </c>
      <c r="F88" s="1">
        <f>VLOOKUP($C88,[1]Assortment!$F:$AM,31,0)</f>
        <v>40</v>
      </c>
      <c r="G88" s="291">
        <f>VLOOKUP($C88,[1]Assortment!$F:$AM,14,0)</f>
        <v>367.52</v>
      </c>
      <c r="H88" s="287">
        <f t="shared" si="28"/>
        <v>9.1879999999999988</v>
      </c>
      <c r="I88" s="286">
        <v>1</v>
      </c>
      <c r="J88" s="300">
        <v>4.1628318584070794</v>
      </c>
      <c r="K88" s="302">
        <f t="shared" si="31"/>
        <v>4.7039999999999988</v>
      </c>
      <c r="L88" s="302"/>
      <c r="M88" s="302"/>
      <c r="N88" s="292">
        <f t="shared" si="26"/>
        <v>4.7039999999999988</v>
      </c>
      <c r="O88" s="292"/>
      <c r="P88" s="303">
        <f t="shared" si="27"/>
        <v>0</v>
      </c>
      <c r="Q88" s="303"/>
      <c r="R88" s="298">
        <v>4.1628318584070794</v>
      </c>
      <c r="S88" s="293"/>
      <c r="T88" s="294"/>
      <c r="U88" s="295"/>
      <c r="V88" s="148">
        <f t="shared" si="32"/>
        <v>367.52</v>
      </c>
      <c r="W88" s="296">
        <f t="shared" si="33"/>
        <v>147.35687994361345</v>
      </c>
      <c r="X88" s="355">
        <f>VLOOKUP(C88,'[3]Cost YTD'!$A:$L,12,0)</f>
        <v>0.23244983260668389</v>
      </c>
      <c r="Y88" s="143">
        <v>2.7E-2</v>
      </c>
      <c r="Z88" s="332">
        <f t="shared" si="29"/>
        <v>52.003877464004987</v>
      </c>
      <c r="AA88" s="333">
        <f t="shared" si="30"/>
        <v>0.35291109233518264</v>
      </c>
      <c r="AB88" s="324"/>
      <c r="AC88" s="296">
        <f t="shared" si="34"/>
        <v>0</v>
      </c>
      <c r="AD88" s="296">
        <f t="shared" si="35"/>
        <v>-95.353002479608463</v>
      </c>
      <c r="AE88" s="143" t="e">
        <f t="shared" si="36"/>
        <v>#DIV/0!</v>
      </c>
      <c r="AL88" s="246">
        <f t="shared" si="37"/>
        <v>0</v>
      </c>
    </row>
    <row r="89" spans="2:38" hidden="1">
      <c r="B89" s="299" t="s">
        <v>643</v>
      </c>
      <c r="C89" s="285" t="s">
        <v>8</v>
      </c>
      <c r="D89" s="142" t="str">
        <f>VLOOKUP($C89,[1]Assortment!$F:$BA,5,0)</f>
        <v>269440舒洁湿厕纸家庭装40抽10包装</v>
      </c>
      <c r="E89" s="1">
        <f>VLOOKUP($C89,[1]Assortment!$F:$AM,7,0)</f>
        <v>4</v>
      </c>
      <c r="F89" s="1">
        <f>VLOOKUP($C89,[1]Assortment!$F:$AM,31,0)</f>
        <v>40</v>
      </c>
      <c r="G89" s="291">
        <f>VLOOKUP($C89,[1]Assortment!$F:$AM,14,0)</f>
        <v>330.25</v>
      </c>
      <c r="H89" s="287">
        <f t="shared" si="28"/>
        <v>82.5625</v>
      </c>
      <c r="I89" s="286">
        <v>1</v>
      </c>
      <c r="J89" s="300">
        <v>3.3017699115044246</v>
      </c>
      <c r="K89" s="302">
        <f t="shared" si="31"/>
        <v>3.7309999999999994</v>
      </c>
      <c r="L89" s="302"/>
      <c r="M89" s="302"/>
      <c r="N89" s="292">
        <f t="shared" si="26"/>
        <v>3.7309999999999994</v>
      </c>
      <c r="O89" s="292"/>
      <c r="P89" s="303">
        <f t="shared" si="27"/>
        <v>0</v>
      </c>
      <c r="Q89" s="303"/>
      <c r="R89" s="298">
        <v>3.3017699115044246</v>
      </c>
      <c r="S89" s="293"/>
      <c r="T89" s="294"/>
      <c r="U89" s="295"/>
      <c r="V89" s="148">
        <f t="shared" si="32"/>
        <v>330.25</v>
      </c>
      <c r="W89" s="296">
        <f t="shared" si="33"/>
        <v>116.8768110267053</v>
      </c>
      <c r="X89" s="355">
        <f>VLOOKUP(C89,'[3]Cost YTD'!$A:$L,12,0)</f>
        <v>0.26998220956803232</v>
      </c>
      <c r="Y89" s="143">
        <v>2.7E-2</v>
      </c>
      <c r="Z89" s="332">
        <f t="shared" si="29"/>
        <v>18.79843631686262</v>
      </c>
      <c r="AA89" s="333">
        <f t="shared" si="30"/>
        <v>0.16083974358752265</v>
      </c>
      <c r="AB89" s="324"/>
      <c r="AC89" s="296">
        <f t="shared" si="34"/>
        <v>0</v>
      </c>
      <c r="AD89" s="296">
        <f t="shared" si="35"/>
        <v>-98.078374709842677</v>
      </c>
      <c r="AE89" s="143" t="e">
        <f t="shared" si="36"/>
        <v>#DIV/0!</v>
      </c>
      <c r="AL89" s="246">
        <f t="shared" si="37"/>
        <v>0</v>
      </c>
    </row>
    <row r="90" spans="2:38" hidden="1">
      <c r="B90" s="299" t="s">
        <v>643</v>
      </c>
      <c r="C90" s="285" t="s">
        <v>635</v>
      </c>
      <c r="D90" s="142" t="e">
        <f>VLOOKUP($C90,[1]Assortment!$F:$BA,5,0)</f>
        <v>#N/A</v>
      </c>
      <c r="E90" s="1" t="e">
        <f>VLOOKUP($C90,[1]Assortment!$F:$AM,7,0)</f>
        <v>#N/A</v>
      </c>
      <c r="F90" s="1" t="e">
        <f>VLOOKUP($C90,[1]Assortment!$F:$AM,31,0)</f>
        <v>#N/A</v>
      </c>
      <c r="G90" s="291" t="e">
        <f>VLOOKUP($C90,[1]Assortment!$F:$AM,14,0)</f>
        <v>#N/A</v>
      </c>
      <c r="H90" s="287" t="e">
        <f t="shared" si="28"/>
        <v>#N/A</v>
      </c>
      <c r="I90" s="286">
        <v>1</v>
      </c>
      <c r="J90" s="300">
        <v>6.3805309734513278</v>
      </c>
      <c r="K90" s="302">
        <f t="shared" si="31"/>
        <v>7.21</v>
      </c>
      <c r="L90" s="302"/>
      <c r="M90" s="302"/>
      <c r="N90" s="292">
        <f t="shared" si="26"/>
        <v>7.21</v>
      </c>
      <c r="O90" s="292"/>
      <c r="P90" s="303">
        <f t="shared" si="27"/>
        <v>0</v>
      </c>
      <c r="Q90" s="303"/>
      <c r="R90" s="298">
        <v>6.3805309734513278</v>
      </c>
      <c r="S90" s="293"/>
      <c r="T90" s="294"/>
      <c r="U90" s="295"/>
      <c r="V90" s="148" t="e">
        <f t="shared" si="32"/>
        <v>#N/A</v>
      </c>
      <c r="W90" s="296" t="e">
        <f t="shared" si="33"/>
        <v>#N/A</v>
      </c>
      <c r="X90" s="355" t="e">
        <f>VLOOKUP(C90,'[3]Cost YTD'!$A:$L,12,0)</f>
        <v>#N/A</v>
      </c>
      <c r="Y90" s="143">
        <v>2.7E-2</v>
      </c>
      <c r="Z90" s="332" t="e">
        <f t="shared" si="29"/>
        <v>#N/A</v>
      </c>
      <c r="AA90" s="333" t="e">
        <f t="shared" si="30"/>
        <v>#N/A</v>
      </c>
      <c r="AB90" s="324"/>
      <c r="AC90" s="296" t="e">
        <f t="shared" si="34"/>
        <v>#N/A</v>
      </c>
      <c r="AD90" s="296" t="e">
        <f t="shared" si="35"/>
        <v>#N/A</v>
      </c>
      <c r="AE90" s="143" t="e">
        <f t="shared" si="36"/>
        <v>#N/A</v>
      </c>
      <c r="AL90" s="246" t="e">
        <f t="shared" si="37"/>
        <v>#N/A</v>
      </c>
    </row>
    <row r="91" spans="2:38" hidden="1">
      <c r="B91" s="299" t="s">
        <v>643</v>
      </c>
      <c r="C91" s="285" t="s">
        <v>511</v>
      </c>
      <c r="D91" s="142" t="str">
        <f>VLOOKUP($C91,[1]Assortment!$F:$BA,5,0)</f>
        <v>266100舒洁湿厕纸80片x3包</v>
      </c>
      <c r="E91" s="1">
        <f>VLOOKUP($C91,[1]Assortment!$F:$AM,7,0)</f>
        <v>8</v>
      </c>
      <c r="F91" s="1">
        <f>VLOOKUP($C91,[1]Assortment!$F:$AM,31,0)</f>
        <v>24</v>
      </c>
      <c r="G91" s="291">
        <f>VLOOKUP($C91,[1]Assortment!$F:$AM,14,0)</f>
        <v>310.48</v>
      </c>
      <c r="H91" s="287">
        <f t="shared" si="28"/>
        <v>38.81</v>
      </c>
      <c r="I91" s="286">
        <v>1</v>
      </c>
      <c r="J91" s="300">
        <v>6.8761061946902649</v>
      </c>
      <c r="K91" s="302">
        <f t="shared" si="31"/>
        <v>7.7699999999999987</v>
      </c>
      <c r="L91" s="302"/>
      <c r="M91" s="302"/>
      <c r="N91" s="292">
        <f t="shared" si="26"/>
        <v>7.7699999999999987</v>
      </c>
      <c r="O91" s="292"/>
      <c r="P91" s="303">
        <f t="shared" ref="P91:P92" si="38">O91/1.13</f>
        <v>0</v>
      </c>
      <c r="Q91" s="303"/>
      <c r="R91" s="298">
        <v>6.8761061946902649</v>
      </c>
      <c r="S91" s="293"/>
      <c r="T91" s="294"/>
      <c r="U91" s="295"/>
      <c r="V91" s="148">
        <f t="shared" si="32"/>
        <v>310.48</v>
      </c>
      <c r="W91" s="296">
        <f t="shared" si="33"/>
        <v>146.04119351554544</v>
      </c>
      <c r="X91" s="355">
        <f>VLOOKUP(C91,'[3]Cost YTD'!$A:$L,12,0)</f>
        <v>0.29821889159854614</v>
      </c>
      <c r="Y91" s="143">
        <v>2.7E-2</v>
      </c>
      <c r="Z91" s="332">
        <f t="shared" si="29"/>
        <v>45.067232052028828</v>
      </c>
      <c r="AA91" s="333">
        <f t="shared" si="30"/>
        <v>0.30859260299890401</v>
      </c>
      <c r="AB91" s="324"/>
      <c r="AC91" s="296">
        <f t="shared" si="34"/>
        <v>0</v>
      </c>
      <c r="AD91" s="296">
        <f t="shared" si="35"/>
        <v>-100.97396146351662</v>
      </c>
      <c r="AE91" s="143" t="e">
        <f t="shared" si="36"/>
        <v>#DIV/0!</v>
      </c>
      <c r="AL91" s="246">
        <f t="shared" si="37"/>
        <v>0</v>
      </c>
    </row>
    <row r="92" spans="2:38" hidden="1">
      <c r="B92" s="299" t="s">
        <v>643</v>
      </c>
      <c r="C92" s="285" t="s">
        <v>637</v>
      </c>
      <c r="D92" s="142" t="e">
        <f>VLOOKUP($C92,[1]Assortment!$F:$BA,5,0)</f>
        <v>#N/A</v>
      </c>
      <c r="E92" s="1" t="e">
        <f>VLOOKUP($C92,[1]Assortment!$F:$AM,7,0)</f>
        <v>#N/A</v>
      </c>
      <c r="F92" s="1" t="e">
        <f>VLOOKUP($C92,[1]Assortment!$F:$AM,31,0)</f>
        <v>#N/A</v>
      </c>
      <c r="G92" s="291" t="e">
        <f>VLOOKUP($C92,[1]Assortment!$F:$AM,14,0)</f>
        <v>#N/A</v>
      </c>
      <c r="H92" s="287" t="e">
        <f t="shared" ref="H92" si="39">G92/E92</f>
        <v>#N/A</v>
      </c>
      <c r="I92" s="286">
        <v>1</v>
      </c>
      <c r="J92" s="300">
        <v>5.71976401179941</v>
      </c>
      <c r="K92" s="302">
        <f t="shared" si="31"/>
        <v>6.4633333333333329</v>
      </c>
      <c r="L92" s="302"/>
      <c r="M92" s="302"/>
      <c r="N92" s="292">
        <f t="shared" si="26"/>
        <v>6.4633333333333329</v>
      </c>
      <c r="O92" s="292"/>
      <c r="P92" s="303">
        <f t="shared" si="38"/>
        <v>0</v>
      </c>
      <c r="Q92" s="303"/>
      <c r="R92" s="298">
        <v>5.71976401179941</v>
      </c>
      <c r="S92" s="293"/>
      <c r="T92" s="294"/>
      <c r="U92" s="295"/>
      <c r="V92" s="148" t="e">
        <f t="shared" si="32"/>
        <v>#N/A</v>
      </c>
      <c r="W92" s="296" t="e">
        <f t="shared" si="33"/>
        <v>#N/A</v>
      </c>
      <c r="X92" s="355" t="e">
        <f>VLOOKUP(C92,'[3]Cost YTD'!$A:$L,12,0)</f>
        <v>#N/A</v>
      </c>
      <c r="Y92" s="143">
        <v>2.7E-2</v>
      </c>
      <c r="Z92" s="332" t="e">
        <f t="shared" ref="Z92" si="40">W92-V92*(X92+Y92)</f>
        <v>#N/A</v>
      </c>
      <c r="AA92" s="333" t="e">
        <f t="shared" ref="AA92" si="41">Z92/W92</f>
        <v>#N/A</v>
      </c>
      <c r="AB92" s="324"/>
      <c r="AC92" s="296" t="e">
        <f t="shared" si="34"/>
        <v>#N/A</v>
      </c>
      <c r="AD92" s="296" t="e">
        <f t="shared" si="35"/>
        <v>#N/A</v>
      </c>
      <c r="AE92" s="143" t="e">
        <f t="shared" si="36"/>
        <v>#N/A</v>
      </c>
      <c r="AL92" s="246" t="e">
        <f t="shared" si="37"/>
        <v>#N/A</v>
      </c>
    </row>
    <row r="93" spans="2:38">
      <c r="B93" s="477" t="s">
        <v>756</v>
      </c>
      <c r="C93" s="477"/>
      <c r="D93" s="477"/>
      <c r="E93" s="477"/>
      <c r="F93" s="477"/>
      <c r="G93" s="477"/>
      <c r="H93" s="477"/>
      <c r="I93" s="477"/>
      <c r="J93" s="477"/>
      <c r="K93" s="477"/>
      <c r="L93" s="477"/>
      <c r="M93" s="477"/>
      <c r="N93" s="477"/>
      <c r="O93" s="477"/>
      <c r="P93" s="477"/>
      <c r="Q93" s="477"/>
      <c r="R93" s="477"/>
      <c r="AG93" s="3">
        <f>SUMPRODUCT(AA3:AA26,AG3:AG26)</f>
        <v>0.2443638747403846</v>
      </c>
    </row>
    <row r="94" spans="2:38">
      <c r="B94" s="477"/>
      <c r="C94" s="477"/>
      <c r="D94" s="477"/>
      <c r="E94" s="477"/>
      <c r="F94" s="477"/>
      <c r="G94" s="477"/>
      <c r="H94" s="477"/>
      <c r="I94" s="477"/>
      <c r="J94" s="477"/>
      <c r="K94" s="477"/>
      <c r="L94" s="477"/>
      <c r="M94" s="477"/>
      <c r="N94" s="477"/>
      <c r="O94" s="477"/>
      <c r="P94" s="477"/>
      <c r="Q94" s="477"/>
      <c r="R94" s="477"/>
    </row>
    <row r="95" spans="2:38">
      <c r="B95" s="477"/>
      <c r="C95" s="477"/>
      <c r="D95" s="477"/>
      <c r="E95" s="477"/>
      <c r="F95" s="477"/>
      <c r="G95" s="477"/>
      <c r="H95" s="477"/>
      <c r="I95" s="477"/>
      <c r="J95" s="477"/>
      <c r="K95" s="477"/>
      <c r="L95" s="477"/>
      <c r="M95" s="477"/>
      <c r="N95" s="477"/>
      <c r="O95" s="477"/>
      <c r="P95" s="477"/>
      <c r="Q95" s="477"/>
      <c r="R95" s="477"/>
    </row>
    <row r="96" spans="2:38">
      <c r="B96" s="477"/>
      <c r="C96" s="477"/>
      <c r="D96" s="477"/>
      <c r="E96" s="477"/>
      <c r="F96" s="477"/>
      <c r="G96" s="477"/>
      <c r="H96" s="477"/>
      <c r="I96" s="477"/>
      <c r="J96" s="477"/>
      <c r="K96" s="477"/>
      <c r="L96" s="477"/>
      <c r="M96" s="477"/>
      <c r="N96" s="477"/>
      <c r="O96" s="477"/>
      <c r="P96" s="477"/>
      <c r="Q96" s="477"/>
      <c r="R96" s="477"/>
    </row>
    <row r="97" spans="2:18">
      <c r="B97" s="477"/>
      <c r="C97" s="477"/>
      <c r="D97" s="477"/>
      <c r="E97" s="477"/>
      <c r="F97" s="477"/>
      <c r="G97" s="477"/>
      <c r="H97" s="477"/>
      <c r="I97" s="477"/>
      <c r="J97" s="477"/>
      <c r="K97" s="477"/>
      <c r="L97" s="477"/>
      <c r="M97" s="477"/>
      <c r="N97" s="477"/>
      <c r="O97" s="477"/>
      <c r="P97" s="477"/>
      <c r="Q97" s="477"/>
      <c r="R97" s="477"/>
    </row>
    <row r="98" spans="2:18" ht="14" customHeight="1">
      <c r="B98" s="477"/>
      <c r="C98" s="477"/>
      <c r="D98" s="477"/>
      <c r="E98" s="477"/>
      <c r="F98" s="477"/>
      <c r="G98" s="477"/>
      <c r="H98" s="477"/>
      <c r="I98" s="477"/>
      <c r="J98" s="477"/>
      <c r="K98" s="477"/>
      <c r="L98" s="477"/>
      <c r="M98" s="477"/>
      <c r="N98" s="477"/>
      <c r="O98" s="477"/>
      <c r="P98" s="477"/>
      <c r="Q98" s="477"/>
      <c r="R98" s="477"/>
    </row>
    <row r="99" spans="2:18">
      <c r="B99" s="477"/>
      <c r="C99" s="477"/>
      <c r="D99" s="477"/>
      <c r="E99" s="477"/>
      <c r="F99" s="477"/>
      <c r="G99" s="477"/>
      <c r="H99" s="477"/>
      <c r="I99" s="477"/>
      <c r="J99" s="477"/>
      <c r="K99" s="477"/>
      <c r="L99" s="477"/>
      <c r="M99" s="477"/>
      <c r="N99" s="477"/>
      <c r="O99" s="477"/>
      <c r="P99" s="477"/>
      <c r="Q99" s="477"/>
      <c r="R99" s="477"/>
    </row>
    <row r="100" spans="2:18" ht="14" customHeight="1">
      <c r="B100" s="477"/>
      <c r="C100" s="477"/>
      <c r="D100" s="477"/>
      <c r="E100" s="477"/>
      <c r="F100" s="477"/>
      <c r="G100" s="477"/>
      <c r="H100" s="477"/>
      <c r="I100" s="477"/>
      <c r="J100" s="477"/>
      <c r="K100" s="477"/>
      <c r="L100" s="477"/>
      <c r="M100" s="477"/>
      <c r="N100" s="477"/>
      <c r="O100" s="477"/>
      <c r="P100" s="477"/>
      <c r="Q100" s="477"/>
      <c r="R100" s="477"/>
    </row>
    <row r="101" spans="2:18">
      <c r="B101" s="477"/>
      <c r="C101" s="477"/>
      <c r="D101" s="477"/>
      <c r="E101" s="477"/>
      <c r="F101" s="477"/>
      <c r="G101" s="477"/>
      <c r="H101" s="477"/>
      <c r="I101" s="477"/>
      <c r="J101" s="477"/>
      <c r="K101" s="477"/>
      <c r="L101" s="477"/>
      <c r="M101" s="477"/>
      <c r="N101" s="477"/>
      <c r="O101" s="477"/>
      <c r="P101" s="477"/>
      <c r="Q101" s="477"/>
      <c r="R101" s="477"/>
    </row>
    <row r="102" spans="2:18">
      <c r="B102" s="477"/>
      <c r="C102" s="477"/>
      <c r="D102" s="477"/>
      <c r="E102" s="477"/>
      <c r="F102" s="477"/>
      <c r="G102" s="477"/>
      <c r="H102" s="477"/>
      <c r="I102" s="477"/>
      <c r="J102" s="477"/>
      <c r="K102" s="477"/>
      <c r="L102" s="477"/>
      <c r="M102" s="477"/>
      <c r="N102" s="477"/>
      <c r="O102" s="477"/>
      <c r="P102" s="477"/>
      <c r="Q102" s="477"/>
      <c r="R102" s="477"/>
    </row>
    <row r="103" spans="2:18">
      <c r="B103" s="477"/>
      <c r="C103" s="477"/>
      <c r="D103" s="477"/>
      <c r="E103" s="477"/>
      <c r="F103" s="477"/>
      <c r="G103" s="477"/>
      <c r="H103" s="477"/>
      <c r="I103" s="477"/>
      <c r="J103" s="477"/>
      <c r="K103" s="477"/>
      <c r="L103" s="477"/>
      <c r="M103" s="477"/>
      <c r="N103" s="477"/>
      <c r="O103" s="477"/>
      <c r="P103" s="477"/>
      <c r="Q103" s="477"/>
      <c r="R103" s="477"/>
    </row>
    <row r="104" spans="2:18">
      <c r="B104" s="477"/>
      <c r="C104" s="477"/>
      <c r="D104" s="477"/>
      <c r="E104" s="477"/>
      <c r="F104" s="477"/>
      <c r="G104" s="477"/>
      <c r="H104" s="477"/>
      <c r="I104" s="477"/>
      <c r="J104" s="477"/>
      <c r="K104" s="477"/>
      <c r="L104" s="477"/>
      <c r="M104" s="477"/>
      <c r="N104" s="477"/>
      <c r="O104" s="477"/>
      <c r="P104" s="477"/>
      <c r="Q104" s="477"/>
      <c r="R104" s="477"/>
    </row>
    <row r="105" spans="2:18">
      <c r="B105" s="477"/>
      <c r="C105" s="477"/>
      <c r="D105" s="477"/>
      <c r="E105" s="477"/>
      <c r="F105" s="477"/>
      <c r="G105" s="477"/>
      <c r="H105" s="477"/>
      <c r="I105" s="477"/>
      <c r="J105" s="477"/>
      <c r="K105" s="477"/>
      <c r="L105" s="477"/>
      <c r="M105" s="477"/>
      <c r="N105" s="477"/>
      <c r="O105" s="477"/>
      <c r="P105" s="477"/>
      <c r="Q105" s="477"/>
      <c r="R105" s="477"/>
    </row>
    <row r="106" spans="2:18">
      <c r="B106" s="477"/>
      <c r="C106" s="477"/>
      <c r="D106" s="477"/>
      <c r="E106" s="477"/>
      <c r="F106" s="477"/>
      <c r="G106" s="477"/>
      <c r="H106" s="477"/>
      <c r="I106" s="477"/>
      <c r="J106" s="477"/>
      <c r="K106" s="477"/>
      <c r="L106" s="477"/>
      <c r="M106" s="477"/>
      <c r="N106" s="477"/>
      <c r="O106" s="477"/>
      <c r="P106" s="477"/>
      <c r="Q106" s="477"/>
      <c r="R106" s="477"/>
    </row>
    <row r="107" spans="2:18" ht="14" customHeight="1">
      <c r="B107" s="477"/>
      <c r="C107" s="477"/>
      <c r="D107" s="477"/>
      <c r="E107" s="477"/>
      <c r="F107" s="477"/>
      <c r="G107" s="477"/>
      <c r="H107" s="477"/>
      <c r="I107" s="477"/>
      <c r="J107" s="477"/>
      <c r="K107" s="477"/>
      <c r="L107" s="477"/>
      <c r="M107" s="477"/>
      <c r="N107" s="477"/>
      <c r="O107" s="477"/>
      <c r="P107" s="477"/>
      <c r="Q107" s="477"/>
      <c r="R107" s="477"/>
    </row>
    <row r="108" spans="2:18">
      <c r="B108" s="477"/>
      <c r="C108" s="477"/>
      <c r="D108" s="477"/>
      <c r="E108" s="477"/>
      <c r="F108" s="477"/>
      <c r="G108" s="477"/>
      <c r="H108" s="477"/>
      <c r="I108" s="477"/>
      <c r="J108" s="477"/>
      <c r="K108" s="477"/>
      <c r="L108" s="477"/>
      <c r="M108" s="477"/>
      <c r="N108" s="477"/>
      <c r="O108" s="477"/>
      <c r="P108" s="477"/>
      <c r="Q108" s="477"/>
      <c r="R108" s="477"/>
    </row>
    <row r="109" spans="2:18" ht="14" customHeight="1">
      <c r="B109" s="477"/>
      <c r="C109" s="477"/>
      <c r="D109" s="477"/>
      <c r="E109" s="477"/>
      <c r="F109" s="477"/>
      <c r="G109" s="477"/>
      <c r="H109" s="477"/>
      <c r="I109" s="477"/>
      <c r="J109" s="477"/>
      <c r="K109" s="477"/>
      <c r="L109" s="477"/>
      <c r="M109" s="477"/>
      <c r="N109" s="477"/>
      <c r="O109" s="477"/>
      <c r="P109" s="477"/>
      <c r="Q109" s="477"/>
      <c r="R109" s="477"/>
    </row>
    <row r="110" spans="2:18">
      <c r="B110" s="477"/>
      <c r="C110" s="477"/>
      <c r="D110" s="477"/>
      <c r="E110" s="477"/>
      <c r="F110" s="477"/>
      <c r="G110" s="477"/>
      <c r="H110" s="477"/>
      <c r="I110" s="477"/>
      <c r="J110" s="477"/>
      <c r="K110" s="477"/>
      <c r="L110" s="477"/>
      <c r="M110" s="477"/>
      <c r="N110" s="477"/>
      <c r="O110" s="477"/>
      <c r="P110" s="477"/>
      <c r="Q110" s="477"/>
      <c r="R110" s="477"/>
    </row>
    <row r="111" spans="2:18">
      <c r="B111" s="477"/>
      <c r="C111" s="477"/>
      <c r="D111" s="477"/>
      <c r="E111" s="477"/>
      <c r="F111" s="477"/>
      <c r="G111" s="477"/>
      <c r="H111" s="477"/>
      <c r="I111" s="477"/>
      <c r="J111" s="477"/>
      <c r="K111" s="477"/>
      <c r="L111" s="477"/>
      <c r="M111" s="477"/>
      <c r="N111" s="477"/>
      <c r="O111" s="477"/>
      <c r="P111" s="477"/>
      <c r="Q111" s="477"/>
      <c r="R111" s="477"/>
    </row>
    <row r="112" spans="2:18">
      <c r="B112" s="477"/>
      <c r="C112" s="477"/>
      <c r="D112" s="477"/>
      <c r="E112" s="477"/>
      <c r="F112" s="477"/>
      <c r="G112" s="477"/>
      <c r="H112" s="477"/>
      <c r="I112" s="477"/>
      <c r="J112" s="477"/>
      <c r="K112" s="477"/>
      <c r="L112" s="477"/>
      <c r="M112" s="477"/>
      <c r="N112" s="477"/>
      <c r="O112" s="477"/>
      <c r="P112" s="477"/>
      <c r="Q112" s="477"/>
      <c r="R112" s="477"/>
    </row>
    <row r="113" spans="2:26">
      <c r="B113" s="477"/>
      <c r="C113" s="477"/>
      <c r="D113" s="477"/>
      <c r="E113" s="477"/>
      <c r="F113" s="477"/>
      <c r="G113" s="477"/>
      <c r="H113" s="477"/>
      <c r="I113" s="477"/>
      <c r="J113" s="477"/>
      <c r="K113" s="477"/>
      <c r="L113" s="477"/>
      <c r="M113" s="477"/>
      <c r="N113" s="477"/>
      <c r="O113" s="477"/>
      <c r="P113" s="477"/>
      <c r="Q113" s="477"/>
      <c r="R113" s="477"/>
    </row>
    <row r="114" spans="2:26">
      <c r="B114" s="477"/>
      <c r="C114" s="477"/>
      <c r="D114" s="477"/>
      <c r="E114" s="477"/>
      <c r="F114" s="477"/>
      <c r="G114" s="477"/>
      <c r="H114" s="477"/>
      <c r="I114" s="477"/>
      <c r="J114" s="477"/>
      <c r="K114" s="477"/>
      <c r="L114" s="477"/>
      <c r="M114" s="477"/>
      <c r="N114" s="477"/>
      <c r="O114" s="477"/>
      <c r="P114" s="477"/>
      <c r="Q114" s="477"/>
      <c r="R114" s="477"/>
    </row>
    <row r="115" spans="2:26">
      <c r="B115" s="477"/>
      <c r="C115" s="477"/>
      <c r="D115" s="477"/>
      <c r="E115" s="477"/>
      <c r="F115" s="477"/>
      <c r="G115" s="477"/>
      <c r="H115" s="477"/>
      <c r="I115" s="477"/>
      <c r="J115" s="477"/>
      <c r="K115" s="477"/>
      <c r="L115" s="477"/>
      <c r="M115" s="477"/>
      <c r="N115" s="477"/>
      <c r="O115" s="477"/>
      <c r="P115" s="477"/>
      <c r="Q115" s="477"/>
      <c r="R115" s="477"/>
    </row>
    <row r="116" spans="2:26">
      <c r="B116" s="477"/>
      <c r="C116" s="477"/>
      <c r="D116" s="477"/>
      <c r="E116" s="477"/>
      <c r="F116" s="477"/>
      <c r="G116" s="477"/>
      <c r="H116" s="477"/>
      <c r="I116" s="477"/>
      <c r="J116" s="477"/>
      <c r="K116" s="477"/>
      <c r="L116" s="477"/>
      <c r="M116" s="477"/>
      <c r="N116" s="477"/>
      <c r="O116" s="477"/>
      <c r="P116" s="477"/>
      <c r="Q116" s="477"/>
      <c r="R116" s="477"/>
      <c r="W116" s="481" t="s">
        <v>661</v>
      </c>
      <c r="X116" s="482"/>
      <c r="Y116" s="482"/>
      <c r="Z116" s="483"/>
    </row>
    <row r="117" spans="2:26">
      <c r="B117" s="477"/>
      <c r="C117" s="477"/>
      <c r="D117" s="477"/>
      <c r="E117" s="477"/>
      <c r="F117" s="477"/>
      <c r="G117" s="477"/>
      <c r="H117" s="477"/>
      <c r="I117" s="477"/>
      <c r="J117" s="477"/>
      <c r="K117" s="477"/>
      <c r="L117" s="477"/>
      <c r="M117" s="477"/>
      <c r="N117" s="477"/>
      <c r="O117" s="477"/>
      <c r="P117" s="477"/>
      <c r="Q117" s="477"/>
      <c r="R117" s="477"/>
      <c r="W117" s="484" t="s">
        <v>662</v>
      </c>
      <c r="X117" s="485"/>
      <c r="Y117" s="485"/>
      <c r="Z117" s="486"/>
    </row>
    <row r="118" spans="2:26">
      <c r="B118" s="477"/>
      <c r="C118" s="477"/>
      <c r="D118" s="477"/>
      <c r="E118" s="477"/>
      <c r="F118" s="477"/>
      <c r="G118" s="477"/>
      <c r="H118" s="477"/>
      <c r="I118" s="477"/>
      <c r="J118" s="477"/>
      <c r="K118" s="477"/>
      <c r="L118" s="477"/>
      <c r="M118" s="477"/>
      <c r="N118" s="477"/>
      <c r="O118" s="477"/>
      <c r="P118" s="477"/>
      <c r="Q118" s="477"/>
      <c r="R118" s="477"/>
      <c r="W118" s="484" t="s">
        <v>663</v>
      </c>
      <c r="X118" s="485"/>
      <c r="Y118" s="485"/>
      <c r="Z118" s="486"/>
    </row>
    <row r="119" spans="2:26">
      <c r="B119" s="477"/>
      <c r="C119" s="477"/>
      <c r="D119" s="477"/>
      <c r="E119" s="477"/>
      <c r="F119" s="477"/>
      <c r="G119" s="477"/>
      <c r="H119" s="477"/>
      <c r="I119" s="477"/>
      <c r="J119" s="477"/>
      <c r="K119" s="477"/>
      <c r="L119" s="477"/>
      <c r="M119" s="477"/>
      <c r="N119" s="477"/>
      <c r="O119" s="477"/>
      <c r="P119" s="477"/>
      <c r="Q119" s="477"/>
      <c r="R119" s="477"/>
      <c r="W119" s="484" t="s">
        <v>675</v>
      </c>
      <c r="X119" s="485"/>
      <c r="Y119" s="485"/>
      <c r="Z119" s="486"/>
    </row>
    <row r="120" spans="2:26">
      <c r="B120" s="477"/>
      <c r="C120" s="477"/>
      <c r="D120" s="477"/>
      <c r="E120" s="477"/>
      <c r="F120" s="477"/>
      <c r="G120" s="477"/>
      <c r="H120" s="477"/>
      <c r="I120" s="477"/>
      <c r="J120" s="477"/>
      <c r="K120" s="477"/>
      <c r="L120" s="477"/>
      <c r="M120" s="477"/>
      <c r="N120" s="477"/>
      <c r="O120" s="477"/>
      <c r="P120" s="477"/>
      <c r="Q120" s="477"/>
      <c r="R120" s="477"/>
      <c r="W120" s="484" t="s">
        <v>664</v>
      </c>
      <c r="X120" s="485"/>
      <c r="Y120" s="485"/>
      <c r="Z120" s="486"/>
    </row>
    <row r="121" spans="2:26">
      <c r="B121" s="477"/>
      <c r="C121" s="477"/>
      <c r="D121" s="477"/>
      <c r="E121" s="477"/>
      <c r="F121" s="477"/>
      <c r="G121" s="477"/>
      <c r="H121" s="477"/>
      <c r="I121" s="477"/>
      <c r="J121" s="477"/>
      <c r="K121" s="477"/>
      <c r="L121" s="477"/>
      <c r="M121" s="477"/>
      <c r="N121" s="477"/>
      <c r="O121" s="477"/>
      <c r="P121" s="477"/>
      <c r="Q121" s="477"/>
      <c r="R121" s="477"/>
      <c r="W121" s="478" t="s">
        <v>665</v>
      </c>
      <c r="X121" s="478"/>
      <c r="Y121" s="478"/>
      <c r="Z121" s="478"/>
    </row>
    <row r="122" spans="2:26">
      <c r="B122" s="477"/>
      <c r="C122" s="477"/>
      <c r="D122" s="477"/>
      <c r="E122" s="477"/>
      <c r="F122" s="477"/>
      <c r="G122" s="477"/>
      <c r="H122" s="477"/>
      <c r="I122" s="477"/>
      <c r="J122" s="477"/>
      <c r="K122" s="477"/>
      <c r="L122" s="477"/>
      <c r="M122" s="477"/>
      <c r="N122" s="477"/>
      <c r="O122" s="477"/>
      <c r="P122" s="477"/>
      <c r="Q122" s="477"/>
      <c r="R122" s="477"/>
      <c r="W122" s="478"/>
      <c r="X122" s="478"/>
      <c r="Y122" s="478"/>
      <c r="Z122" s="478"/>
    </row>
    <row r="123" spans="2:26">
      <c r="B123" s="477"/>
      <c r="C123" s="477"/>
      <c r="D123" s="477"/>
      <c r="E123" s="477"/>
      <c r="F123" s="477"/>
      <c r="G123" s="477"/>
      <c r="H123" s="477"/>
      <c r="I123" s="477"/>
      <c r="J123" s="477"/>
      <c r="K123" s="477"/>
      <c r="L123" s="477"/>
      <c r="M123" s="477"/>
      <c r="N123" s="477"/>
      <c r="O123" s="477"/>
      <c r="P123" s="477"/>
      <c r="Q123" s="477"/>
      <c r="R123" s="477"/>
      <c r="W123" s="479" t="s">
        <v>666</v>
      </c>
      <c r="X123" s="480" t="s">
        <v>667</v>
      </c>
      <c r="Y123" s="478" t="s">
        <v>668</v>
      </c>
      <c r="Z123" s="478" t="s">
        <v>669</v>
      </c>
    </row>
    <row r="124" spans="2:26">
      <c r="B124" s="477"/>
      <c r="C124" s="477"/>
      <c r="D124" s="477"/>
      <c r="E124" s="477"/>
      <c r="F124" s="477"/>
      <c r="G124" s="477"/>
      <c r="H124" s="477"/>
      <c r="I124" s="477"/>
      <c r="J124" s="477"/>
      <c r="K124" s="477"/>
      <c r="L124" s="477"/>
      <c r="M124" s="477"/>
      <c r="N124" s="477"/>
      <c r="O124" s="477"/>
      <c r="P124" s="477"/>
      <c r="Q124" s="477"/>
      <c r="R124" s="477"/>
      <c r="W124" s="479"/>
      <c r="X124" s="480"/>
      <c r="Y124" s="478"/>
      <c r="Z124" s="478"/>
    </row>
    <row r="125" spans="2:26">
      <c r="B125" s="477"/>
      <c r="C125" s="477"/>
      <c r="D125" s="477"/>
      <c r="E125" s="477"/>
      <c r="F125" s="477"/>
      <c r="G125" s="477"/>
      <c r="H125" s="477"/>
      <c r="I125" s="477"/>
      <c r="J125" s="477"/>
      <c r="K125" s="477"/>
      <c r="L125" s="477"/>
      <c r="M125" s="477"/>
      <c r="N125" s="477"/>
      <c r="O125" s="477"/>
      <c r="P125" s="477"/>
      <c r="Q125" s="477"/>
      <c r="R125" s="477"/>
      <c r="W125" s="346" t="s">
        <v>670</v>
      </c>
      <c r="X125" s="357">
        <v>1</v>
      </c>
      <c r="Y125" s="347">
        <v>0.02</v>
      </c>
      <c r="Z125" s="347">
        <v>0.01</v>
      </c>
    </row>
    <row r="126" spans="2:26" ht="56">
      <c r="B126" s="477"/>
      <c r="C126" s="477"/>
      <c r="D126" s="477"/>
      <c r="E126" s="477"/>
      <c r="F126" s="477"/>
      <c r="G126" s="477"/>
      <c r="H126" s="477"/>
      <c r="I126" s="477"/>
      <c r="J126" s="477"/>
      <c r="K126" s="477"/>
      <c r="L126" s="477"/>
      <c r="M126" s="477"/>
      <c r="N126" s="477"/>
      <c r="O126" s="477"/>
      <c r="P126" s="477"/>
      <c r="Q126" s="477"/>
      <c r="R126" s="477"/>
      <c r="W126" s="346" t="s">
        <v>671</v>
      </c>
      <c r="X126" s="358" t="s">
        <v>672</v>
      </c>
      <c r="Y126" s="347">
        <v>0.02</v>
      </c>
      <c r="Z126" s="347">
        <v>0.01</v>
      </c>
    </row>
    <row r="127" spans="2:26">
      <c r="B127" s="477"/>
      <c r="C127" s="477"/>
      <c r="D127" s="477"/>
      <c r="E127" s="477"/>
      <c r="F127" s="477"/>
      <c r="G127" s="477"/>
      <c r="H127" s="477"/>
      <c r="I127" s="477"/>
      <c r="J127" s="477"/>
      <c r="K127" s="477"/>
      <c r="L127" s="477"/>
      <c r="M127" s="477"/>
      <c r="N127" s="477"/>
      <c r="O127" s="477"/>
      <c r="P127" s="477"/>
      <c r="Q127" s="477"/>
      <c r="R127" s="477"/>
      <c r="W127" s="346" t="s">
        <v>673</v>
      </c>
      <c r="X127" s="358" t="s">
        <v>674</v>
      </c>
      <c r="Y127" s="347">
        <v>0.02</v>
      </c>
      <c r="Z127" s="347">
        <v>0.01</v>
      </c>
    </row>
    <row r="128" spans="2:26">
      <c r="B128" s="477"/>
      <c r="C128" s="477"/>
      <c r="D128" s="477"/>
      <c r="E128" s="477"/>
      <c r="F128" s="477"/>
      <c r="G128" s="477"/>
      <c r="H128" s="477"/>
      <c r="I128" s="477"/>
      <c r="J128" s="477"/>
      <c r="K128" s="477"/>
      <c r="L128" s="477"/>
      <c r="M128" s="477"/>
      <c r="N128" s="477"/>
      <c r="O128" s="477"/>
      <c r="P128" s="477"/>
      <c r="Q128" s="477"/>
      <c r="R128" s="477"/>
      <c r="W128" s="346"/>
      <c r="X128" s="359"/>
      <c r="Y128" s="348"/>
      <c r="Z128" s="348"/>
    </row>
    <row r="129" spans="2:26">
      <c r="B129" s="477"/>
      <c r="C129" s="477"/>
      <c r="D129" s="477"/>
      <c r="E129" s="477"/>
      <c r="F129" s="477"/>
      <c r="G129" s="477"/>
      <c r="H129" s="477"/>
      <c r="I129" s="477"/>
      <c r="J129" s="477"/>
      <c r="K129" s="477"/>
      <c r="L129" s="477"/>
      <c r="M129" s="477"/>
      <c r="N129" s="477"/>
      <c r="O129" s="477"/>
      <c r="P129" s="477"/>
      <c r="Q129" s="477"/>
      <c r="R129" s="477"/>
      <c r="W129" s="349"/>
      <c r="X129" s="360"/>
      <c r="Y129" s="350"/>
      <c r="Z129" s="351"/>
    </row>
    <row r="130" spans="2:26">
      <c r="B130" s="477"/>
      <c r="C130" s="477"/>
      <c r="D130" s="477"/>
      <c r="E130" s="477"/>
      <c r="F130" s="477"/>
      <c r="G130" s="477"/>
      <c r="H130" s="477"/>
      <c r="I130" s="477"/>
      <c r="J130" s="477"/>
      <c r="K130" s="477"/>
      <c r="L130" s="477"/>
      <c r="M130" s="477"/>
      <c r="N130" s="477"/>
      <c r="O130" s="477"/>
      <c r="P130" s="477"/>
      <c r="Q130" s="477"/>
      <c r="R130" s="477"/>
    </row>
    <row r="131" spans="2:26">
      <c r="B131" s="477"/>
      <c r="C131" s="477"/>
      <c r="D131" s="477"/>
      <c r="E131" s="477"/>
      <c r="F131" s="477"/>
      <c r="G131" s="477"/>
      <c r="H131" s="477"/>
      <c r="I131" s="477"/>
      <c r="J131" s="477"/>
      <c r="K131" s="477"/>
      <c r="L131" s="477"/>
      <c r="M131" s="477"/>
      <c r="N131" s="477"/>
      <c r="O131" s="477"/>
      <c r="P131" s="477"/>
      <c r="Q131" s="477"/>
      <c r="R131" s="477"/>
    </row>
    <row r="132" spans="2:26">
      <c r="B132" s="477"/>
      <c r="C132" s="477"/>
      <c r="D132" s="477"/>
      <c r="E132" s="477"/>
      <c r="F132" s="477"/>
      <c r="G132" s="477"/>
      <c r="H132" s="477"/>
      <c r="I132" s="477"/>
      <c r="J132" s="477"/>
      <c r="K132" s="477"/>
      <c r="L132" s="477"/>
      <c r="M132" s="477"/>
      <c r="N132" s="477"/>
      <c r="O132" s="477"/>
      <c r="P132" s="477"/>
      <c r="Q132" s="477"/>
      <c r="R132" s="477"/>
    </row>
    <row r="133" spans="2:26">
      <c r="B133" s="477"/>
      <c r="C133" s="477"/>
      <c r="D133" s="477"/>
      <c r="E133" s="477"/>
      <c r="F133" s="477"/>
      <c r="G133" s="477"/>
      <c r="H133" s="477"/>
      <c r="I133" s="477"/>
      <c r="J133" s="477"/>
      <c r="K133" s="477"/>
      <c r="L133" s="477"/>
      <c r="M133" s="477"/>
      <c r="N133" s="477"/>
      <c r="O133" s="477"/>
      <c r="P133" s="477"/>
      <c r="Q133" s="477"/>
      <c r="R133" s="477"/>
    </row>
    <row r="134" spans="2:26">
      <c r="B134" s="477"/>
      <c r="C134" s="477"/>
      <c r="D134" s="477"/>
      <c r="E134" s="477"/>
      <c r="F134" s="477"/>
      <c r="G134" s="477"/>
      <c r="H134" s="477"/>
      <c r="I134" s="477"/>
      <c r="J134" s="477"/>
      <c r="K134" s="477"/>
      <c r="L134" s="477"/>
      <c r="M134" s="477"/>
      <c r="N134" s="477"/>
      <c r="O134" s="477"/>
      <c r="P134" s="477"/>
      <c r="Q134" s="477"/>
      <c r="R134" s="477"/>
    </row>
    <row r="135" spans="2:26">
      <c r="B135" s="477"/>
      <c r="C135" s="477"/>
      <c r="D135" s="477"/>
      <c r="E135" s="477"/>
      <c r="F135" s="477"/>
      <c r="G135" s="477"/>
      <c r="H135" s="477"/>
      <c r="I135" s="477"/>
      <c r="J135" s="477"/>
      <c r="K135" s="477"/>
      <c r="L135" s="477"/>
      <c r="M135" s="477"/>
      <c r="N135" s="477"/>
      <c r="O135" s="477"/>
      <c r="P135" s="477"/>
      <c r="Q135" s="477"/>
      <c r="R135" s="477"/>
    </row>
    <row r="136" spans="2:26">
      <c r="B136" s="477"/>
      <c r="C136" s="477"/>
      <c r="D136" s="477"/>
      <c r="E136" s="477"/>
      <c r="F136" s="477"/>
      <c r="G136" s="477"/>
      <c r="H136" s="477"/>
      <c r="I136" s="477"/>
      <c r="J136" s="477"/>
      <c r="K136" s="477"/>
      <c r="L136" s="477"/>
      <c r="M136" s="477"/>
      <c r="N136" s="477"/>
      <c r="O136" s="477"/>
      <c r="P136" s="477"/>
      <c r="Q136" s="477"/>
      <c r="R136" s="477"/>
    </row>
    <row r="137" spans="2:26">
      <c r="B137" s="477"/>
      <c r="C137" s="477"/>
      <c r="D137" s="477"/>
      <c r="E137" s="477"/>
      <c r="F137" s="477"/>
      <c r="G137" s="477"/>
      <c r="H137" s="477"/>
      <c r="I137" s="477"/>
      <c r="J137" s="477"/>
      <c r="K137" s="477"/>
      <c r="L137" s="477"/>
      <c r="M137" s="477"/>
      <c r="N137" s="477"/>
      <c r="O137" s="477"/>
      <c r="P137" s="477"/>
      <c r="Q137" s="477"/>
      <c r="R137" s="477"/>
    </row>
    <row r="138" spans="2:26">
      <c r="B138" s="477"/>
      <c r="C138" s="477"/>
      <c r="D138" s="477"/>
      <c r="E138" s="477"/>
      <c r="F138" s="477"/>
      <c r="G138" s="477"/>
      <c r="H138" s="477"/>
      <c r="I138" s="477"/>
      <c r="J138" s="477"/>
      <c r="K138" s="477"/>
      <c r="L138" s="477"/>
      <c r="M138" s="477"/>
      <c r="N138" s="477"/>
      <c r="O138" s="477"/>
      <c r="P138" s="477"/>
      <c r="Q138" s="477"/>
      <c r="R138" s="477"/>
    </row>
    <row r="139" spans="2:26">
      <c r="B139" s="477"/>
      <c r="C139" s="477"/>
      <c r="D139" s="477"/>
      <c r="E139" s="477"/>
      <c r="F139" s="477"/>
      <c r="G139" s="477"/>
      <c r="H139" s="477"/>
      <c r="I139" s="477"/>
      <c r="J139" s="477"/>
      <c r="K139" s="477"/>
      <c r="L139" s="477"/>
      <c r="M139" s="477"/>
      <c r="N139" s="477"/>
      <c r="O139" s="477"/>
      <c r="P139" s="477"/>
      <c r="Q139" s="477"/>
      <c r="R139" s="477"/>
    </row>
    <row r="140" spans="2:26">
      <c r="B140" s="477"/>
      <c r="C140" s="477"/>
      <c r="D140" s="477"/>
      <c r="E140" s="477"/>
      <c r="F140" s="477"/>
      <c r="G140" s="477"/>
      <c r="H140" s="477"/>
      <c r="I140" s="477"/>
      <c r="J140" s="477"/>
      <c r="K140" s="477"/>
      <c r="L140" s="477"/>
      <c r="M140" s="477"/>
      <c r="N140" s="477"/>
      <c r="O140" s="477"/>
      <c r="P140" s="477"/>
      <c r="Q140" s="477"/>
      <c r="R140" s="477"/>
    </row>
    <row r="141" spans="2:26">
      <c r="B141" s="477"/>
      <c r="C141" s="477"/>
      <c r="D141" s="477"/>
      <c r="E141" s="477"/>
      <c r="F141" s="477"/>
      <c r="G141" s="477"/>
      <c r="H141" s="477"/>
      <c r="I141" s="477"/>
      <c r="J141" s="477"/>
      <c r="K141" s="477"/>
      <c r="L141" s="477"/>
      <c r="M141" s="477"/>
      <c r="N141" s="477"/>
      <c r="O141" s="477"/>
      <c r="P141" s="477"/>
      <c r="Q141" s="477"/>
      <c r="R141" s="477"/>
    </row>
    <row r="142" spans="2:26">
      <c r="B142" s="477"/>
      <c r="C142" s="477"/>
      <c r="D142" s="477"/>
      <c r="E142" s="477"/>
      <c r="F142" s="477"/>
      <c r="G142" s="477"/>
      <c r="H142" s="477"/>
      <c r="I142" s="477"/>
      <c r="J142" s="477"/>
      <c r="K142" s="477"/>
      <c r="L142" s="477"/>
      <c r="M142" s="477"/>
      <c r="N142" s="477"/>
      <c r="O142" s="477"/>
      <c r="P142" s="477"/>
      <c r="Q142" s="477"/>
      <c r="R142" s="477"/>
    </row>
    <row r="143" spans="2:26">
      <c r="B143" s="477"/>
      <c r="C143" s="477"/>
      <c r="D143" s="477"/>
      <c r="E143" s="477"/>
      <c r="F143" s="477"/>
      <c r="G143" s="477"/>
      <c r="H143" s="477"/>
      <c r="I143" s="477"/>
      <c r="J143" s="477"/>
      <c r="K143" s="477"/>
      <c r="L143" s="477"/>
      <c r="M143" s="477"/>
      <c r="N143" s="477"/>
      <c r="O143" s="477"/>
      <c r="P143" s="477"/>
      <c r="Q143" s="477"/>
      <c r="R143" s="477"/>
    </row>
    <row r="144" spans="2:26">
      <c r="B144" s="477"/>
      <c r="C144" s="477"/>
      <c r="D144" s="477"/>
      <c r="E144" s="477"/>
      <c r="F144" s="477"/>
      <c r="G144" s="477"/>
      <c r="H144" s="477"/>
      <c r="I144" s="477"/>
      <c r="J144" s="477"/>
      <c r="K144" s="477"/>
      <c r="L144" s="477"/>
      <c r="M144" s="477"/>
      <c r="N144" s="477"/>
      <c r="O144" s="477"/>
      <c r="P144" s="477"/>
      <c r="Q144" s="477"/>
      <c r="R144" s="477"/>
    </row>
    <row r="145" spans="2:18">
      <c r="B145" s="477"/>
      <c r="C145" s="477"/>
      <c r="D145" s="477"/>
      <c r="E145" s="477"/>
      <c r="F145" s="477"/>
      <c r="G145" s="477"/>
      <c r="H145" s="477"/>
      <c r="I145" s="477"/>
      <c r="J145" s="477"/>
      <c r="K145" s="477"/>
      <c r="L145" s="477"/>
      <c r="M145" s="477"/>
      <c r="N145" s="477"/>
      <c r="O145" s="477"/>
      <c r="P145" s="477"/>
      <c r="Q145" s="477"/>
      <c r="R145" s="477"/>
    </row>
    <row r="146" spans="2:18">
      <c r="B146" s="477"/>
      <c r="C146" s="477"/>
      <c r="D146" s="477"/>
      <c r="E146" s="477"/>
      <c r="F146" s="477"/>
      <c r="G146" s="477"/>
      <c r="H146" s="477"/>
      <c r="I146" s="477"/>
      <c r="J146" s="477"/>
      <c r="K146" s="477"/>
      <c r="L146" s="477"/>
      <c r="M146" s="477"/>
      <c r="N146" s="477"/>
      <c r="O146" s="477"/>
      <c r="P146" s="477"/>
      <c r="Q146" s="477"/>
      <c r="R146" s="477"/>
    </row>
    <row r="147" spans="2:18">
      <c r="B147" s="477"/>
      <c r="C147" s="477"/>
      <c r="D147" s="477"/>
      <c r="E147" s="477"/>
      <c r="F147" s="477"/>
      <c r="G147" s="477"/>
      <c r="H147" s="477"/>
      <c r="I147" s="477"/>
      <c r="J147" s="477"/>
      <c r="K147" s="477"/>
      <c r="L147" s="477"/>
      <c r="M147" s="477"/>
      <c r="N147" s="477"/>
      <c r="O147" s="477"/>
      <c r="P147" s="477"/>
      <c r="Q147" s="477"/>
      <c r="R147" s="477"/>
    </row>
    <row r="148" spans="2:18">
      <c r="B148" s="477"/>
      <c r="C148" s="477"/>
      <c r="D148" s="477"/>
      <c r="E148" s="477"/>
      <c r="F148" s="477"/>
      <c r="G148" s="477"/>
      <c r="H148" s="477"/>
      <c r="I148" s="477"/>
      <c r="J148" s="477"/>
      <c r="K148" s="477"/>
      <c r="L148" s="477"/>
      <c r="M148" s="477"/>
      <c r="N148" s="477"/>
      <c r="O148" s="477"/>
      <c r="P148" s="477"/>
      <c r="Q148" s="477"/>
      <c r="R148" s="477"/>
    </row>
    <row r="149" spans="2:18">
      <c r="B149" s="477"/>
      <c r="C149" s="477"/>
      <c r="D149" s="477"/>
      <c r="E149" s="477"/>
      <c r="F149" s="477"/>
      <c r="G149" s="477"/>
      <c r="H149" s="477"/>
      <c r="I149" s="477"/>
      <c r="J149" s="477"/>
      <c r="K149" s="477"/>
      <c r="L149" s="477"/>
      <c r="M149" s="477"/>
      <c r="N149" s="477"/>
      <c r="O149" s="477"/>
      <c r="P149" s="477"/>
      <c r="Q149" s="477"/>
      <c r="R149" s="477"/>
    </row>
    <row r="150" spans="2:18">
      <c r="B150" s="477"/>
      <c r="C150" s="477"/>
      <c r="D150" s="477"/>
      <c r="E150" s="477"/>
      <c r="F150" s="477"/>
      <c r="G150" s="477"/>
      <c r="H150" s="477"/>
      <c r="I150" s="477"/>
      <c r="J150" s="477"/>
      <c r="K150" s="477"/>
      <c r="L150" s="477"/>
      <c r="M150" s="477"/>
      <c r="N150" s="477"/>
      <c r="O150" s="477"/>
      <c r="P150" s="477"/>
      <c r="Q150" s="477"/>
      <c r="R150" s="477"/>
    </row>
    <row r="151" spans="2:18">
      <c r="B151" s="477"/>
      <c r="C151" s="477"/>
      <c r="D151" s="477"/>
      <c r="E151" s="477"/>
      <c r="F151" s="477"/>
      <c r="G151" s="477"/>
      <c r="H151" s="477"/>
      <c r="I151" s="477"/>
      <c r="J151" s="477"/>
      <c r="K151" s="477"/>
      <c r="L151" s="477"/>
      <c r="M151" s="477"/>
      <c r="N151" s="477"/>
      <c r="O151" s="477"/>
      <c r="P151" s="477"/>
      <c r="Q151" s="477"/>
      <c r="R151" s="477"/>
    </row>
    <row r="152" spans="2:18">
      <c r="B152" s="477"/>
      <c r="C152" s="477"/>
      <c r="D152" s="477"/>
      <c r="E152" s="477"/>
      <c r="F152" s="477"/>
      <c r="G152" s="477"/>
      <c r="H152" s="477"/>
      <c r="I152" s="477"/>
      <c r="J152" s="477"/>
      <c r="K152" s="477"/>
      <c r="L152" s="477"/>
      <c r="M152" s="477"/>
      <c r="N152" s="477"/>
      <c r="O152" s="477"/>
      <c r="P152" s="477"/>
      <c r="Q152" s="477"/>
      <c r="R152" s="477"/>
    </row>
    <row r="153" spans="2:18">
      <c r="B153" s="477"/>
      <c r="C153" s="477"/>
      <c r="D153" s="477"/>
      <c r="E153" s="477"/>
      <c r="F153" s="477"/>
      <c r="G153" s="477"/>
      <c r="H153" s="477"/>
      <c r="I153" s="477"/>
      <c r="J153" s="477"/>
      <c r="K153" s="477"/>
      <c r="L153" s="477"/>
      <c r="M153" s="477"/>
      <c r="N153" s="477"/>
      <c r="O153" s="477"/>
      <c r="P153" s="477"/>
      <c r="Q153" s="477"/>
      <c r="R153" s="477"/>
    </row>
    <row r="154" spans="2:18">
      <c r="B154" s="477"/>
      <c r="C154" s="477"/>
      <c r="D154" s="477"/>
      <c r="E154" s="477"/>
      <c r="F154" s="477"/>
      <c r="G154" s="477"/>
      <c r="H154" s="477"/>
      <c r="I154" s="477"/>
      <c r="J154" s="477"/>
      <c r="K154" s="477"/>
      <c r="L154" s="477"/>
      <c r="M154" s="477"/>
      <c r="N154" s="477"/>
      <c r="O154" s="477"/>
      <c r="P154" s="477"/>
      <c r="Q154" s="477"/>
      <c r="R154" s="477"/>
    </row>
    <row r="155" spans="2:18">
      <c r="B155" s="477"/>
      <c r="C155" s="477"/>
      <c r="D155" s="477"/>
      <c r="E155" s="477"/>
      <c r="F155" s="477"/>
      <c r="G155" s="477"/>
      <c r="H155" s="477"/>
      <c r="I155" s="477"/>
      <c r="J155" s="477"/>
      <c r="K155" s="477"/>
      <c r="L155" s="477"/>
      <c r="M155" s="477"/>
      <c r="N155" s="477"/>
      <c r="O155" s="477"/>
      <c r="P155" s="477"/>
      <c r="Q155" s="477"/>
      <c r="R155" s="477"/>
    </row>
    <row r="156" spans="2:18">
      <c r="B156" s="477"/>
      <c r="C156" s="477"/>
      <c r="D156" s="477"/>
      <c r="E156" s="477"/>
      <c r="F156" s="477"/>
      <c r="G156" s="477"/>
      <c r="H156" s="477"/>
      <c r="I156" s="477"/>
      <c r="J156" s="477"/>
      <c r="K156" s="477"/>
      <c r="L156" s="477"/>
      <c r="M156" s="477"/>
      <c r="N156" s="477"/>
      <c r="O156" s="477"/>
      <c r="P156" s="477"/>
      <c r="Q156" s="477"/>
      <c r="R156" s="477"/>
    </row>
    <row r="157" spans="2:18">
      <c r="B157" s="477"/>
      <c r="C157" s="477"/>
      <c r="D157" s="477"/>
      <c r="E157" s="477"/>
      <c r="F157" s="477"/>
      <c r="G157" s="477"/>
      <c r="H157" s="477"/>
      <c r="I157" s="477"/>
      <c r="J157" s="477"/>
      <c r="K157" s="477"/>
      <c r="L157" s="477"/>
      <c r="M157" s="477"/>
      <c r="N157" s="477"/>
      <c r="O157" s="477"/>
      <c r="P157" s="477"/>
      <c r="Q157" s="477"/>
      <c r="R157" s="477"/>
    </row>
    <row r="158" spans="2:18">
      <c r="B158" s="477"/>
      <c r="C158" s="477"/>
      <c r="D158" s="477"/>
      <c r="E158" s="477"/>
      <c r="F158" s="477"/>
      <c r="G158" s="477"/>
      <c r="H158" s="477"/>
      <c r="I158" s="477"/>
      <c r="J158" s="477"/>
      <c r="K158" s="477"/>
      <c r="L158" s="477"/>
      <c r="M158" s="477"/>
      <c r="N158" s="477"/>
      <c r="O158" s="477"/>
      <c r="P158" s="477"/>
      <c r="Q158" s="477"/>
      <c r="R158" s="477"/>
    </row>
    <row r="159" spans="2:18">
      <c r="B159" s="477"/>
      <c r="C159" s="477"/>
      <c r="D159" s="477"/>
      <c r="E159" s="477"/>
      <c r="F159" s="477"/>
      <c r="G159" s="477"/>
      <c r="H159" s="477"/>
      <c r="I159" s="477"/>
      <c r="J159" s="477"/>
      <c r="K159" s="477"/>
      <c r="L159" s="477"/>
      <c r="M159" s="477"/>
      <c r="N159" s="477"/>
      <c r="O159" s="477"/>
      <c r="P159" s="477"/>
      <c r="Q159" s="477"/>
      <c r="R159" s="477"/>
    </row>
    <row r="160" spans="2:18">
      <c r="B160" s="477"/>
      <c r="C160" s="477"/>
      <c r="D160" s="477"/>
      <c r="E160" s="477"/>
      <c r="F160" s="477"/>
      <c r="G160" s="477"/>
      <c r="H160" s="477"/>
      <c r="I160" s="477"/>
      <c r="J160" s="477"/>
      <c r="K160" s="477"/>
      <c r="L160" s="477"/>
      <c r="M160" s="477"/>
      <c r="N160" s="477"/>
      <c r="O160" s="477"/>
      <c r="P160" s="477"/>
      <c r="Q160" s="477"/>
      <c r="R160" s="477"/>
    </row>
    <row r="161" spans="2:18">
      <c r="B161" s="477"/>
      <c r="C161" s="477"/>
      <c r="D161" s="477"/>
      <c r="E161" s="477"/>
      <c r="F161" s="477"/>
      <c r="G161" s="477"/>
      <c r="H161" s="477"/>
      <c r="I161" s="477"/>
      <c r="J161" s="477"/>
      <c r="K161" s="477"/>
      <c r="L161" s="477"/>
      <c r="M161" s="477"/>
      <c r="N161" s="477"/>
      <c r="O161" s="477"/>
      <c r="P161" s="477"/>
      <c r="Q161" s="477"/>
      <c r="R161" s="477"/>
    </row>
    <row r="162" spans="2:18">
      <c r="B162" s="477"/>
      <c r="C162" s="477"/>
      <c r="D162" s="477"/>
      <c r="E162" s="477"/>
      <c r="F162" s="477"/>
      <c r="G162" s="477"/>
      <c r="H162" s="477"/>
      <c r="I162" s="477"/>
      <c r="J162" s="477"/>
      <c r="K162" s="477"/>
      <c r="L162" s="477"/>
      <c r="M162" s="477"/>
      <c r="N162" s="477"/>
      <c r="O162" s="477"/>
      <c r="P162" s="477"/>
      <c r="Q162" s="477"/>
      <c r="R162" s="477"/>
    </row>
    <row r="163" spans="2:18">
      <c r="B163" s="477"/>
      <c r="C163" s="477"/>
      <c r="D163" s="477"/>
      <c r="E163" s="477"/>
      <c r="F163" s="477"/>
      <c r="G163" s="477"/>
      <c r="H163" s="477"/>
      <c r="I163" s="477"/>
      <c r="J163" s="477"/>
      <c r="K163" s="477"/>
      <c r="L163" s="477"/>
      <c r="M163" s="477"/>
      <c r="N163" s="477"/>
      <c r="O163" s="477"/>
      <c r="P163" s="477"/>
      <c r="Q163" s="477"/>
      <c r="R163" s="477"/>
    </row>
    <row r="164" spans="2:18">
      <c r="B164" s="477"/>
      <c r="C164" s="477"/>
      <c r="D164" s="477"/>
      <c r="E164" s="477"/>
      <c r="F164" s="477"/>
      <c r="G164" s="477"/>
      <c r="H164" s="477"/>
      <c r="I164" s="477"/>
      <c r="J164" s="477"/>
      <c r="K164" s="477"/>
      <c r="L164" s="477"/>
      <c r="M164" s="477"/>
      <c r="N164" s="477"/>
      <c r="O164" s="477"/>
      <c r="P164" s="477"/>
      <c r="Q164" s="477"/>
      <c r="R164" s="477"/>
    </row>
    <row r="165" spans="2:18">
      <c r="B165" s="477"/>
      <c r="C165" s="477"/>
      <c r="D165" s="477"/>
      <c r="E165" s="477"/>
      <c r="F165" s="477"/>
      <c r="G165" s="477"/>
      <c r="H165" s="477"/>
      <c r="I165" s="477"/>
      <c r="J165" s="477"/>
      <c r="K165" s="477"/>
      <c r="L165" s="477"/>
      <c r="M165" s="477"/>
      <c r="N165" s="477"/>
      <c r="O165" s="477"/>
      <c r="P165" s="477"/>
      <c r="Q165" s="477"/>
      <c r="R165" s="477"/>
    </row>
    <row r="166" spans="2:18">
      <c r="B166" s="477"/>
      <c r="C166" s="477"/>
      <c r="D166" s="477"/>
      <c r="E166" s="477"/>
      <c r="F166" s="477"/>
      <c r="G166" s="477"/>
      <c r="H166" s="477"/>
      <c r="I166" s="477"/>
      <c r="J166" s="477"/>
      <c r="K166" s="477"/>
      <c r="L166" s="477"/>
      <c r="M166" s="477"/>
      <c r="N166" s="477"/>
      <c r="O166" s="477"/>
      <c r="P166" s="477"/>
      <c r="Q166" s="477"/>
      <c r="R166" s="477"/>
    </row>
    <row r="167" spans="2:18">
      <c r="B167" s="477"/>
      <c r="C167" s="477"/>
      <c r="D167" s="477"/>
      <c r="E167" s="477"/>
      <c r="F167" s="477"/>
      <c r="G167" s="477"/>
      <c r="H167" s="477"/>
      <c r="I167" s="477"/>
      <c r="J167" s="477"/>
      <c r="K167" s="477"/>
      <c r="L167" s="477"/>
      <c r="M167" s="477"/>
      <c r="N167" s="477"/>
      <c r="O167" s="477"/>
      <c r="P167" s="477"/>
      <c r="Q167" s="477"/>
      <c r="R167" s="477"/>
    </row>
    <row r="168" spans="2:18">
      <c r="B168" s="477"/>
      <c r="C168" s="477"/>
      <c r="D168" s="477"/>
      <c r="E168" s="477"/>
      <c r="F168" s="477"/>
      <c r="G168" s="477"/>
      <c r="H168" s="477"/>
      <c r="I168" s="477"/>
      <c r="J168" s="477"/>
      <c r="K168" s="477"/>
      <c r="L168" s="477"/>
      <c r="M168" s="477"/>
      <c r="N168" s="477"/>
      <c r="O168" s="477"/>
      <c r="P168" s="477"/>
      <c r="Q168" s="477"/>
      <c r="R168" s="477"/>
    </row>
    <row r="169" spans="2:18">
      <c r="B169" s="477"/>
      <c r="C169" s="477"/>
      <c r="D169" s="477"/>
      <c r="E169" s="477"/>
      <c r="F169" s="477"/>
      <c r="G169" s="477"/>
      <c r="H169" s="477"/>
      <c r="I169" s="477"/>
      <c r="J169" s="477"/>
      <c r="K169" s="477"/>
      <c r="L169" s="477"/>
      <c r="M169" s="477"/>
      <c r="N169" s="477"/>
      <c r="O169" s="477"/>
      <c r="P169" s="477"/>
      <c r="Q169" s="477"/>
      <c r="R169" s="477"/>
    </row>
    <row r="170" spans="2:18">
      <c r="B170" s="477"/>
      <c r="C170" s="477"/>
      <c r="D170" s="477"/>
      <c r="E170" s="477"/>
      <c r="F170" s="477"/>
      <c r="G170" s="477"/>
      <c r="H170" s="477"/>
      <c r="I170" s="477"/>
      <c r="J170" s="477"/>
      <c r="K170" s="477"/>
      <c r="L170" s="477"/>
      <c r="M170" s="477"/>
      <c r="N170" s="477"/>
      <c r="O170" s="477"/>
      <c r="P170" s="477"/>
      <c r="Q170" s="477"/>
      <c r="R170" s="477"/>
    </row>
    <row r="171" spans="2:18">
      <c r="B171" s="477"/>
      <c r="C171" s="477"/>
      <c r="D171" s="477"/>
      <c r="E171" s="477"/>
      <c r="F171" s="477"/>
      <c r="G171" s="477"/>
      <c r="H171" s="477"/>
      <c r="I171" s="477"/>
      <c r="J171" s="477"/>
      <c r="K171" s="477"/>
      <c r="L171" s="477"/>
      <c r="M171" s="477"/>
      <c r="N171" s="477"/>
      <c r="O171" s="477"/>
      <c r="P171" s="477"/>
      <c r="Q171" s="477"/>
      <c r="R171" s="477"/>
    </row>
    <row r="172" spans="2:18">
      <c r="B172" s="477"/>
      <c r="C172" s="477"/>
      <c r="D172" s="477"/>
      <c r="E172" s="477"/>
      <c r="F172" s="477"/>
      <c r="G172" s="477"/>
      <c r="H172" s="477"/>
      <c r="I172" s="477"/>
      <c r="J172" s="477"/>
      <c r="K172" s="477"/>
      <c r="L172" s="477"/>
      <c r="M172" s="477"/>
      <c r="N172" s="477"/>
      <c r="O172" s="477"/>
      <c r="P172" s="477"/>
      <c r="Q172" s="477"/>
      <c r="R172" s="477"/>
    </row>
    <row r="173" spans="2:18">
      <c r="B173" s="477"/>
      <c r="C173" s="477"/>
      <c r="D173" s="477"/>
      <c r="E173" s="477"/>
      <c r="F173" s="477"/>
      <c r="G173" s="477"/>
      <c r="H173" s="477"/>
      <c r="I173" s="477"/>
      <c r="J173" s="477"/>
      <c r="K173" s="477"/>
      <c r="L173" s="477"/>
      <c r="M173" s="477"/>
      <c r="N173" s="477"/>
      <c r="O173" s="477"/>
      <c r="P173" s="477"/>
      <c r="Q173" s="477"/>
      <c r="R173" s="477"/>
    </row>
    <row r="174" spans="2:18">
      <c r="B174" s="477"/>
      <c r="C174" s="477"/>
      <c r="D174" s="477"/>
      <c r="E174" s="477"/>
      <c r="F174" s="477"/>
      <c r="G174" s="477"/>
      <c r="H174" s="477"/>
      <c r="I174" s="477"/>
      <c r="J174" s="477"/>
      <c r="K174" s="477"/>
      <c r="L174" s="477"/>
      <c r="M174" s="477"/>
      <c r="N174" s="477"/>
      <c r="O174" s="477"/>
      <c r="P174" s="477"/>
      <c r="Q174" s="477"/>
      <c r="R174" s="477"/>
    </row>
    <row r="175" spans="2:18">
      <c r="B175" s="477"/>
      <c r="C175" s="477"/>
      <c r="D175" s="477"/>
      <c r="E175" s="477"/>
      <c r="F175" s="477"/>
      <c r="G175" s="477"/>
      <c r="H175" s="477"/>
      <c r="I175" s="477"/>
      <c r="J175" s="477"/>
      <c r="K175" s="477"/>
      <c r="L175" s="477"/>
      <c r="M175" s="477"/>
      <c r="N175" s="477"/>
      <c r="O175" s="477"/>
      <c r="P175" s="477"/>
      <c r="Q175" s="477"/>
      <c r="R175" s="477"/>
    </row>
    <row r="176" spans="2:18">
      <c r="B176" s="477"/>
      <c r="C176" s="477"/>
      <c r="D176" s="477"/>
      <c r="E176" s="477"/>
      <c r="F176" s="477"/>
      <c r="G176" s="477"/>
      <c r="H176" s="477"/>
      <c r="I176" s="477"/>
      <c r="J176" s="477"/>
      <c r="K176" s="477"/>
      <c r="L176" s="477"/>
      <c r="M176" s="477"/>
      <c r="N176" s="477"/>
      <c r="O176" s="477"/>
      <c r="P176" s="477"/>
      <c r="Q176" s="477"/>
      <c r="R176" s="477"/>
    </row>
    <row r="177" spans="2:18">
      <c r="B177" s="477"/>
      <c r="C177" s="477"/>
      <c r="D177" s="477"/>
      <c r="E177" s="477"/>
      <c r="F177" s="477"/>
      <c r="G177" s="477"/>
      <c r="H177" s="477"/>
      <c r="I177" s="477"/>
      <c r="J177" s="477"/>
      <c r="K177" s="477"/>
      <c r="L177" s="477"/>
      <c r="M177" s="477"/>
      <c r="N177" s="477"/>
      <c r="O177" s="477"/>
      <c r="P177" s="477"/>
      <c r="Q177" s="477"/>
      <c r="R177" s="477"/>
    </row>
    <row r="178" spans="2:18">
      <c r="B178" s="477"/>
      <c r="C178" s="477"/>
      <c r="D178" s="477"/>
      <c r="E178" s="477"/>
      <c r="F178" s="477"/>
      <c r="G178" s="477"/>
      <c r="H178" s="477"/>
      <c r="I178" s="477"/>
      <c r="J178" s="477"/>
      <c r="K178" s="477"/>
      <c r="L178" s="477"/>
      <c r="M178" s="477"/>
      <c r="N178" s="477"/>
      <c r="O178" s="477"/>
      <c r="P178" s="477"/>
      <c r="Q178" s="477"/>
      <c r="R178" s="477"/>
    </row>
    <row r="179" spans="2:18">
      <c r="B179" s="477"/>
      <c r="C179" s="477"/>
      <c r="D179" s="477"/>
      <c r="E179" s="477"/>
      <c r="F179" s="477"/>
      <c r="G179" s="477"/>
      <c r="H179" s="477"/>
      <c r="I179" s="477"/>
      <c r="J179" s="477"/>
      <c r="K179" s="477"/>
      <c r="L179" s="477"/>
      <c r="M179" s="477"/>
      <c r="N179" s="477"/>
      <c r="O179" s="477"/>
      <c r="P179" s="477"/>
      <c r="Q179" s="477"/>
      <c r="R179" s="477"/>
    </row>
    <row r="180" spans="2:18">
      <c r="B180" s="477"/>
      <c r="C180" s="477"/>
      <c r="D180" s="477"/>
      <c r="E180" s="477"/>
      <c r="F180" s="477"/>
      <c r="G180" s="477"/>
      <c r="H180" s="477"/>
      <c r="I180" s="477"/>
      <c r="J180" s="477"/>
      <c r="K180" s="477"/>
      <c r="L180" s="477"/>
      <c r="M180" s="477"/>
      <c r="N180" s="477"/>
      <c r="O180" s="477"/>
      <c r="P180" s="477"/>
      <c r="Q180" s="477"/>
      <c r="R180" s="477"/>
    </row>
    <row r="181" spans="2:18">
      <c r="B181" s="477"/>
      <c r="C181" s="477"/>
      <c r="D181" s="477"/>
      <c r="E181" s="477"/>
      <c r="F181" s="477"/>
      <c r="G181" s="477"/>
      <c r="H181" s="477"/>
      <c r="I181" s="477"/>
      <c r="J181" s="477"/>
      <c r="K181" s="477"/>
      <c r="L181" s="477"/>
      <c r="M181" s="477"/>
      <c r="N181" s="477"/>
      <c r="O181" s="477"/>
      <c r="P181" s="477"/>
      <c r="Q181" s="477"/>
      <c r="R181" s="477"/>
    </row>
    <row r="182" spans="2:18">
      <c r="B182" s="477"/>
      <c r="C182" s="477"/>
      <c r="D182" s="477"/>
      <c r="E182" s="477"/>
      <c r="F182" s="477"/>
      <c r="G182" s="477"/>
      <c r="H182" s="477"/>
      <c r="I182" s="477"/>
      <c r="J182" s="477"/>
      <c r="K182" s="477"/>
      <c r="L182" s="477"/>
      <c r="M182" s="477"/>
      <c r="N182" s="477"/>
      <c r="O182" s="477"/>
      <c r="P182" s="477"/>
      <c r="Q182" s="477"/>
      <c r="R182" s="477"/>
    </row>
    <row r="183" spans="2:18">
      <c r="B183" s="477"/>
      <c r="C183" s="477"/>
      <c r="D183" s="477"/>
      <c r="E183" s="477"/>
      <c r="F183" s="477"/>
      <c r="G183" s="477"/>
      <c r="H183" s="477"/>
      <c r="I183" s="477"/>
      <c r="J183" s="477"/>
      <c r="K183" s="477"/>
      <c r="L183" s="477"/>
      <c r="M183" s="477"/>
      <c r="N183" s="477"/>
      <c r="O183" s="477"/>
      <c r="P183" s="477"/>
      <c r="Q183" s="477"/>
      <c r="R183" s="477"/>
    </row>
    <row r="184" spans="2:18">
      <c r="B184" s="477"/>
      <c r="C184" s="477"/>
      <c r="D184" s="477"/>
      <c r="E184" s="477"/>
      <c r="F184" s="477"/>
      <c r="G184" s="477"/>
      <c r="H184" s="477"/>
      <c r="I184" s="477"/>
      <c r="J184" s="477"/>
      <c r="K184" s="477"/>
      <c r="L184" s="477"/>
      <c r="M184" s="477"/>
      <c r="N184" s="477"/>
      <c r="O184" s="477"/>
      <c r="P184" s="477"/>
      <c r="Q184" s="477"/>
      <c r="R184" s="477"/>
    </row>
    <row r="185" spans="2:18">
      <c r="B185" s="477"/>
      <c r="C185" s="477"/>
      <c r="D185" s="477"/>
      <c r="E185" s="477"/>
      <c r="F185" s="477"/>
      <c r="G185" s="477"/>
      <c r="H185" s="477"/>
      <c r="I185" s="477"/>
      <c r="J185" s="477"/>
      <c r="K185" s="477"/>
      <c r="L185" s="477"/>
      <c r="M185" s="477"/>
      <c r="N185" s="477"/>
      <c r="O185" s="477"/>
      <c r="P185" s="477"/>
      <c r="Q185" s="477"/>
      <c r="R185" s="477"/>
    </row>
    <row r="186" spans="2:18">
      <c r="B186" s="477"/>
      <c r="C186" s="477"/>
      <c r="D186" s="477"/>
      <c r="E186" s="477"/>
      <c r="F186" s="477"/>
      <c r="G186" s="477"/>
      <c r="H186" s="477"/>
      <c r="I186" s="477"/>
      <c r="J186" s="477"/>
      <c r="K186" s="477"/>
      <c r="L186" s="477"/>
      <c r="M186" s="477"/>
      <c r="N186" s="477"/>
      <c r="O186" s="477"/>
      <c r="P186" s="477"/>
      <c r="Q186" s="477"/>
      <c r="R186" s="477"/>
    </row>
    <row r="187" spans="2:18">
      <c r="B187" s="477"/>
      <c r="C187" s="477"/>
      <c r="D187" s="477"/>
      <c r="E187" s="477"/>
      <c r="F187" s="477"/>
      <c r="G187" s="477"/>
      <c r="H187" s="477"/>
      <c r="I187" s="477"/>
      <c r="J187" s="477"/>
      <c r="K187" s="477"/>
      <c r="L187" s="477"/>
      <c r="M187" s="477"/>
      <c r="N187" s="477"/>
      <c r="O187" s="477"/>
      <c r="P187" s="477"/>
      <c r="Q187" s="477"/>
      <c r="R187" s="477"/>
    </row>
    <row r="188" spans="2:18">
      <c r="B188" s="477"/>
      <c r="C188" s="477"/>
      <c r="D188" s="477"/>
      <c r="E188" s="477"/>
      <c r="F188" s="477"/>
      <c r="G188" s="477"/>
      <c r="H188" s="477"/>
      <c r="I188" s="477"/>
      <c r="J188" s="477"/>
      <c r="K188" s="477"/>
      <c r="L188" s="477"/>
      <c r="M188" s="477"/>
      <c r="N188" s="477"/>
      <c r="O188" s="477"/>
      <c r="P188" s="477"/>
      <c r="Q188" s="477"/>
      <c r="R188" s="477"/>
    </row>
    <row r="189" spans="2:18">
      <c r="B189" s="477"/>
      <c r="C189" s="477"/>
      <c r="D189" s="477"/>
      <c r="E189" s="477"/>
      <c r="F189" s="477"/>
      <c r="G189" s="477"/>
      <c r="H189" s="477"/>
      <c r="I189" s="477"/>
      <c r="J189" s="477"/>
      <c r="K189" s="477"/>
      <c r="L189" s="477"/>
      <c r="M189" s="477"/>
      <c r="N189" s="477"/>
      <c r="O189" s="477"/>
      <c r="P189" s="477"/>
      <c r="Q189" s="477"/>
      <c r="R189" s="477"/>
    </row>
    <row r="190" spans="2:18">
      <c r="B190" s="477"/>
      <c r="C190" s="477"/>
      <c r="D190" s="477"/>
      <c r="E190" s="477"/>
      <c r="F190" s="477"/>
      <c r="G190" s="477"/>
      <c r="H190" s="477"/>
      <c r="I190" s="477"/>
      <c r="J190" s="477"/>
      <c r="K190" s="477"/>
      <c r="L190" s="477"/>
      <c r="M190" s="477"/>
      <c r="N190" s="477"/>
      <c r="O190" s="477"/>
      <c r="P190" s="477"/>
      <c r="Q190" s="477"/>
      <c r="R190" s="477"/>
    </row>
    <row r="191" spans="2:18">
      <c r="B191" s="477"/>
      <c r="C191" s="477"/>
      <c r="D191" s="477"/>
      <c r="E191" s="477"/>
      <c r="F191" s="477"/>
      <c r="G191" s="477"/>
      <c r="H191" s="477"/>
      <c r="I191" s="477"/>
      <c r="J191" s="477"/>
      <c r="K191" s="477"/>
      <c r="L191" s="477"/>
      <c r="M191" s="477"/>
      <c r="N191" s="477"/>
      <c r="O191" s="477"/>
      <c r="P191" s="477"/>
      <c r="Q191" s="477"/>
      <c r="R191" s="477"/>
    </row>
    <row r="192" spans="2:18">
      <c r="B192" s="477"/>
      <c r="C192" s="477"/>
      <c r="D192" s="477"/>
      <c r="E192" s="477"/>
      <c r="F192" s="477"/>
      <c r="G192" s="477"/>
      <c r="H192" s="477"/>
      <c r="I192" s="477"/>
      <c r="J192" s="477"/>
      <c r="K192" s="477"/>
      <c r="L192" s="477"/>
      <c r="M192" s="477"/>
      <c r="N192" s="477"/>
      <c r="O192" s="477"/>
      <c r="P192" s="477"/>
      <c r="Q192" s="477"/>
      <c r="R192" s="477"/>
    </row>
    <row r="193" spans="2:18">
      <c r="B193" s="477"/>
      <c r="C193" s="477"/>
      <c r="D193" s="477"/>
      <c r="E193" s="477"/>
      <c r="F193" s="477"/>
      <c r="G193" s="477"/>
      <c r="H193" s="477"/>
      <c r="I193" s="477"/>
      <c r="J193" s="477"/>
      <c r="K193" s="477"/>
      <c r="L193" s="477"/>
      <c r="M193" s="477"/>
      <c r="N193" s="477"/>
      <c r="O193" s="477"/>
      <c r="P193" s="477"/>
      <c r="Q193" s="477"/>
      <c r="R193" s="477"/>
    </row>
    <row r="194" spans="2:18">
      <c r="B194" s="477"/>
      <c r="C194" s="477"/>
      <c r="D194" s="477"/>
      <c r="E194" s="477"/>
      <c r="F194" s="477"/>
      <c r="G194" s="477"/>
      <c r="H194" s="477"/>
      <c r="I194" s="477"/>
      <c r="J194" s="477"/>
      <c r="K194" s="477"/>
      <c r="L194" s="477"/>
      <c r="M194" s="477"/>
      <c r="N194" s="477"/>
      <c r="O194" s="477"/>
      <c r="P194" s="477"/>
      <c r="Q194" s="477"/>
      <c r="R194" s="477"/>
    </row>
    <row r="195" spans="2:18">
      <c r="B195" s="477"/>
      <c r="C195" s="477"/>
      <c r="D195" s="477"/>
      <c r="E195" s="477"/>
      <c r="F195" s="477"/>
      <c r="G195" s="477"/>
      <c r="H195" s="477"/>
      <c r="I195" s="477"/>
      <c r="J195" s="477"/>
      <c r="K195" s="477"/>
      <c r="L195" s="477"/>
      <c r="M195" s="477"/>
      <c r="N195" s="477"/>
      <c r="O195" s="477"/>
      <c r="P195" s="477"/>
      <c r="Q195" s="477"/>
      <c r="R195" s="477"/>
    </row>
    <row r="196" spans="2:18">
      <c r="B196" s="477"/>
      <c r="C196" s="477"/>
      <c r="D196" s="477"/>
      <c r="E196" s="477"/>
      <c r="F196" s="477"/>
      <c r="G196" s="477"/>
      <c r="H196" s="477"/>
      <c r="I196" s="477"/>
      <c r="J196" s="477"/>
      <c r="K196" s="477"/>
      <c r="L196" s="477"/>
      <c r="M196" s="477"/>
      <c r="N196" s="477"/>
      <c r="O196" s="477"/>
      <c r="P196" s="477"/>
      <c r="Q196" s="477"/>
      <c r="R196" s="477"/>
    </row>
  </sheetData>
  <autoFilter ref="B2:AL2" xr:uid="{911F47CC-8085-4343-B3A1-B487538BC752}"/>
  <dataConsolidate/>
  <mergeCells count="11">
    <mergeCell ref="B93:R196"/>
    <mergeCell ref="W121:Z122"/>
    <mergeCell ref="W123:W124"/>
    <mergeCell ref="X123:X124"/>
    <mergeCell ref="Y123:Y124"/>
    <mergeCell ref="Z123:Z124"/>
    <mergeCell ref="W116:Z116"/>
    <mergeCell ref="W117:Z117"/>
    <mergeCell ref="W118:Z118"/>
    <mergeCell ref="W119:Z119"/>
    <mergeCell ref="W120:Z120"/>
  </mergeCells>
  <phoneticPr fontId="2" type="noConversion"/>
  <conditionalFormatting sqref="C1:C2">
    <cfRule type="duplicateValues" dxfId="54" priority="19"/>
  </conditionalFormatting>
  <conditionalFormatting sqref="C3:C26">
    <cfRule type="duplicateValues" dxfId="53" priority="26"/>
    <cfRule type="duplicateValues" dxfId="52" priority="27"/>
  </conditionalFormatting>
  <conditionalFormatting sqref="C27:C52">
    <cfRule type="duplicateValues" dxfId="51" priority="11"/>
    <cfRule type="duplicateValues" dxfId="50" priority="12"/>
  </conditionalFormatting>
  <conditionalFormatting sqref="C53:C59">
    <cfRule type="duplicateValues" dxfId="49" priority="13"/>
    <cfRule type="duplicateValues" dxfId="48" priority="14"/>
  </conditionalFormatting>
  <conditionalFormatting sqref="C60:C85">
    <cfRule type="duplicateValues" dxfId="47" priority="7"/>
    <cfRule type="duplicateValues" dxfId="46" priority="8"/>
  </conditionalFormatting>
  <conditionalFormatting sqref="C86:C92">
    <cfRule type="duplicateValues" dxfId="45" priority="9"/>
    <cfRule type="duplicateValues" dxfId="44" priority="10"/>
  </conditionalFormatting>
  <hyperlinks>
    <hyperlink ref="L2" r:id="rId1" xr:uid="{658EC5DA-CE9B-46FE-8CF3-1E76E7B550A9}"/>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E229BC-659E-42E7-BCE1-68FCF6DF5BB2}">
  <dimension ref="A1:AG126"/>
  <sheetViews>
    <sheetView zoomScale="68" zoomScaleNormal="68" workbookViewId="0">
      <selection activeCell="N5" sqref="N5"/>
    </sheetView>
  </sheetViews>
  <sheetFormatPr defaultRowHeight="14" outlineLevelCol="1"/>
  <cols>
    <col min="1" max="1" width="7.1796875" customWidth="1"/>
    <col min="2" max="3" width="8.6328125" style="47"/>
    <col min="4" max="4" width="47.26953125" customWidth="1"/>
    <col min="5" max="6" width="8.6328125" style="2"/>
    <col min="7" max="7" width="10.7265625" style="272" bestFit="1" customWidth="1"/>
    <col min="8" max="8" width="8.6328125" style="272"/>
    <col min="9" max="9" width="8.6328125" style="47"/>
    <col min="10" max="10" width="10.1796875" style="281" hidden="1" customWidth="1" outlineLevel="1"/>
    <col min="11" max="12" width="10.1796875" style="281" customWidth="1" outlineLevel="1"/>
    <col min="13" max="13" width="10.1796875" style="281" hidden="1" customWidth="1" outlineLevel="1"/>
    <col min="14" max="14" width="10.1796875" style="281" customWidth="1" outlineLevel="1"/>
    <col min="15" max="15" width="10.1796875" style="281" hidden="1" customWidth="1" outlineLevel="1"/>
    <col min="16" max="17" width="10.1796875" style="281" customWidth="1" outlineLevel="1"/>
    <col min="18" max="18" width="10.1796875" style="47" customWidth="1"/>
    <col min="19" max="19" width="8.6328125" style="281" hidden="1" customWidth="1" outlineLevel="1"/>
    <col min="20" max="20" width="10" style="281" hidden="1" customWidth="1" outlineLevel="1"/>
    <col min="21" max="21" width="9" style="281" hidden="1" customWidth="1" outlineLevel="1"/>
    <col min="22" max="22" width="9" customWidth="1" collapsed="1"/>
    <col min="23" max="23" width="11.08984375" style="161" bestFit="1" customWidth="1"/>
    <col min="26" max="26" width="11.08984375" bestFit="1" customWidth="1"/>
    <col min="27" max="27" width="10.08984375" customWidth="1"/>
    <col min="28" max="28" width="20.26953125" customWidth="1"/>
    <col min="29" max="29" width="13.453125" customWidth="1"/>
    <col min="30" max="30" width="20.36328125" customWidth="1"/>
    <col min="32" max="32" width="9.90625" customWidth="1"/>
    <col min="33" max="33" width="14.453125" bestFit="1" customWidth="1"/>
  </cols>
  <sheetData>
    <row r="1" spans="2:33">
      <c r="B1" s="286" t="s">
        <v>255</v>
      </c>
      <c r="C1" s="286" t="s">
        <v>255</v>
      </c>
      <c r="D1" s="1" t="s">
        <v>22</v>
      </c>
      <c r="E1" s="1" t="s">
        <v>22</v>
      </c>
      <c r="F1" s="1" t="s">
        <v>22</v>
      </c>
      <c r="G1" s="287" t="s">
        <v>22</v>
      </c>
      <c r="H1" s="287" t="s">
        <v>22</v>
      </c>
      <c r="I1" s="288"/>
      <c r="J1" s="289" t="s">
        <v>631</v>
      </c>
      <c r="K1" s="289"/>
      <c r="L1" s="289"/>
      <c r="M1" s="289"/>
      <c r="N1" s="289"/>
      <c r="O1" s="289"/>
      <c r="P1" s="289"/>
      <c r="Q1" s="289"/>
      <c r="R1" s="288"/>
      <c r="S1" s="289" t="s">
        <v>631</v>
      </c>
      <c r="T1" s="289" t="s">
        <v>631</v>
      </c>
      <c r="U1" s="289" t="s">
        <v>631</v>
      </c>
      <c r="V1" s="290" t="s">
        <v>624</v>
      </c>
      <c r="W1" s="290" t="s">
        <v>624</v>
      </c>
      <c r="X1" s="290" t="s">
        <v>624</v>
      </c>
      <c r="Y1" s="290" t="s">
        <v>624</v>
      </c>
      <c r="Z1" s="290" t="s">
        <v>624</v>
      </c>
      <c r="AA1" s="290" t="s">
        <v>624</v>
      </c>
      <c r="AF1" s="2" t="s">
        <v>270</v>
      </c>
      <c r="AG1" s="2" t="s">
        <v>270</v>
      </c>
    </row>
    <row r="2" spans="2:33" ht="42">
      <c r="B2" s="42" t="s">
        <v>0</v>
      </c>
      <c r="C2" s="34" t="s">
        <v>5</v>
      </c>
      <c r="D2" s="35" t="s">
        <v>4</v>
      </c>
      <c r="E2" s="35" t="s">
        <v>6</v>
      </c>
      <c r="F2" s="35" t="s">
        <v>254</v>
      </c>
      <c r="G2" s="273" t="s">
        <v>252</v>
      </c>
      <c r="H2" s="274" t="s">
        <v>10</v>
      </c>
      <c r="I2" s="275" t="s">
        <v>621</v>
      </c>
      <c r="J2" s="280" t="s">
        <v>622</v>
      </c>
      <c r="K2" s="342" t="s">
        <v>639</v>
      </c>
      <c r="L2" s="342" t="s">
        <v>648</v>
      </c>
      <c r="M2" s="280"/>
      <c r="N2" s="343" t="s">
        <v>660</v>
      </c>
      <c r="O2" s="343" t="s">
        <v>647</v>
      </c>
      <c r="P2" s="343" t="s">
        <v>640</v>
      </c>
      <c r="Q2" s="339" t="s">
        <v>659</v>
      </c>
      <c r="R2" s="276" t="s">
        <v>623</v>
      </c>
      <c r="S2" s="282" t="s">
        <v>625</v>
      </c>
      <c r="T2" s="283" t="s">
        <v>626</v>
      </c>
      <c r="U2" s="283" t="s">
        <v>627</v>
      </c>
      <c r="V2" s="277" t="s">
        <v>1</v>
      </c>
      <c r="W2" s="278" t="s">
        <v>628</v>
      </c>
      <c r="X2" s="366" t="s">
        <v>679</v>
      </c>
      <c r="Y2" s="366" t="s">
        <v>746</v>
      </c>
      <c r="Z2" s="278" t="s">
        <v>629</v>
      </c>
      <c r="AA2" s="279" t="s">
        <v>630</v>
      </c>
      <c r="AB2" s="319" t="s">
        <v>649</v>
      </c>
      <c r="AC2" s="319" t="s">
        <v>650</v>
      </c>
      <c r="AD2" s="319" t="s">
        <v>651</v>
      </c>
      <c r="AF2" s="39" t="s">
        <v>632</v>
      </c>
      <c r="AG2" s="39" t="s">
        <v>633</v>
      </c>
    </row>
    <row r="3" spans="2:33" hidden="1">
      <c r="B3" s="299" t="s">
        <v>643</v>
      </c>
      <c r="C3" s="284" t="s">
        <v>227</v>
      </c>
      <c r="D3" s="142" t="str">
        <f>VLOOKUP($C3,[1]Assortment!$F:$BA,5,0)</f>
        <v>270190舒洁小熊印花手帕纸3层10包FSC mix70%</v>
      </c>
      <c r="E3" s="1">
        <f>VLOOKUP($C3,[1]Assortment!$F:$AM,7,0)</f>
        <v>36</v>
      </c>
      <c r="F3" s="1">
        <f>VLOOKUP($C3,[1]Assortment!$F:$AM,31,0)</f>
        <v>360</v>
      </c>
      <c r="G3" s="291">
        <f>VLOOKUP($C3,[1]Assortment!$F:$AM,14,0)</f>
        <v>208.46834000000001</v>
      </c>
      <c r="H3" s="287">
        <f t="shared" ref="H3:H42" si="0">G3/E3</f>
        <v>5.7907872222222228</v>
      </c>
      <c r="I3" s="150">
        <v>1</v>
      </c>
      <c r="J3" s="292"/>
      <c r="K3" s="300">
        <v>0.41625595691740419</v>
      </c>
      <c r="L3" s="302">
        <f t="shared" ref="L3:L42" si="1">K3*1.13</f>
        <v>0.47036923131666669</v>
      </c>
      <c r="M3" s="302"/>
      <c r="N3" s="302"/>
      <c r="O3" s="302"/>
      <c r="P3" s="303" t="e">
        <f>#REF!/1.13</f>
        <v>#REF!</v>
      </c>
      <c r="Q3" s="303"/>
      <c r="R3" s="298">
        <v>0.41625595691740419</v>
      </c>
      <c r="S3" s="293"/>
      <c r="T3" s="294"/>
      <c r="U3" s="295"/>
      <c r="V3" s="148">
        <f t="shared" ref="V3:V34" si="2">G3*I3</f>
        <v>208.46834000000001</v>
      </c>
      <c r="W3" s="296">
        <f t="shared" ref="W3:W34" si="3">R3*F3*I3/1.13</f>
        <v>132.61251724802258</v>
      </c>
      <c r="X3" s="297">
        <f>VLOOKUP(C3,'[3]Cost YTD'!$A:$L,12,0)</f>
        <v>0.43247839805493093</v>
      </c>
      <c r="Y3" s="143">
        <v>2.7E-2</v>
      </c>
      <c r="Z3" s="296">
        <f t="shared" ref="Z3:Z42" si="4">W3-V3*(X3+Y3)</f>
        <v>36.825818339651889</v>
      </c>
      <c r="AA3" s="143">
        <f t="shared" ref="AA3:AA42" si="5">Z3/W3</f>
        <v>0.27769488962174876</v>
      </c>
    </row>
    <row r="4" spans="2:33" hidden="1">
      <c r="B4" s="299" t="s">
        <v>643</v>
      </c>
      <c r="C4" s="284" t="s">
        <v>8</v>
      </c>
      <c r="D4" s="142" t="str">
        <f>VLOOKUP($C4,[1]Assortment!$F:$BA,5,0)</f>
        <v>269440舒洁湿厕纸家庭装40抽10包装</v>
      </c>
      <c r="E4" s="1">
        <f>VLOOKUP($C4,[1]Assortment!$F:$AM,7,0)</f>
        <v>4</v>
      </c>
      <c r="F4" s="1">
        <f>VLOOKUP($C4,[1]Assortment!$F:$AM,31,0)</f>
        <v>40</v>
      </c>
      <c r="G4" s="291">
        <f>VLOOKUP($C4,[1]Assortment!$F:$AM,14,0)</f>
        <v>330.25</v>
      </c>
      <c r="H4" s="287">
        <f t="shared" si="0"/>
        <v>82.5625</v>
      </c>
      <c r="I4" s="150">
        <v>1</v>
      </c>
      <c r="J4" s="292"/>
      <c r="K4" s="300">
        <v>3.0354980707079644</v>
      </c>
      <c r="L4" s="302">
        <f t="shared" si="1"/>
        <v>3.4301128198999993</v>
      </c>
      <c r="M4" s="302"/>
      <c r="N4" s="302"/>
      <c r="O4" s="302"/>
      <c r="P4" s="303" t="e">
        <f>#REF!/1.13</f>
        <v>#REF!</v>
      </c>
      <c r="Q4" s="303"/>
      <c r="R4" s="298">
        <v>3.8500222393141597</v>
      </c>
      <c r="S4" s="293"/>
      <c r="T4" s="294"/>
      <c r="U4" s="295"/>
      <c r="V4" s="148">
        <f t="shared" si="2"/>
        <v>330.25</v>
      </c>
      <c r="W4" s="296">
        <f t="shared" si="3"/>
        <v>136.28397307306761</v>
      </c>
      <c r="X4" s="297">
        <f>VLOOKUP(C4,'[3]Cost YTD'!$A:$L,12,0)</f>
        <v>0.26998220956803232</v>
      </c>
      <c r="Y4" s="143">
        <v>2.7E-2</v>
      </c>
      <c r="Z4" s="296">
        <f t="shared" si="4"/>
        <v>38.205598363224937</v>
      </c>
      <c r="AA4" s="143">
        <f t="shared" si="5"/>
        <v>0.28033816083965574</v>
      </c>
    </row>
    <row r="5" spans="2:33" hidden="1">
      <c r="B5" s="299" t="s">
        <v>643</v>
      </c>
      <c r="C5" s="284" t="s">
        <v>19</v>
      </c>
      <c r="D5" s="142" t="str">
        <f>VLOOKUP($C5,[1]Assortment!$F:$BA,5,0)</f>
        <v>269430舒洁湿厕纸家庭装40抽</v>
      </c>
      <c r="E5" s="1">
        <f>VLOOKUP($C5,[1]Assortment!$F:$AM,7,0)</f>
        <v>40</v>
      </c>
      <c r="F5" s="1">
        <f>VLOOKUP($C5,[1]Assortment!$F:$AM,31,0)</f>
        <v>40</v>
      </c>
      <c r="G5" s="291">
        <f>VLOOKUP($C5,[1]Assortment!$F:$AM,14,0)</f>
        <v>367.52</v>
      </c>
      <c r="H5" s="287">
        <f t="shared" si="0"/>
        <v>9.1879999999999988</v>
      </c>
      <c r="I5" s="150">
        <v>1</v>
      </c>
      <c r="J5" s="292"/>
      <c r="K5" s="300">
        <v>3.8500222393141597</v>
      </c>
      <c r="L5" s="302">
        <f t="shared" si="1"/>
        <v>4.3505251304249999</v>
      </c>
      <c r="M5" s="302"/>
      <c r="N5" s="302"/>
      <c r="O5" s="302"/>
      <c r="P5" s="303" t="e">
        <f>#REF!/1.13</f>
        <v>#REF!</v>
      </c>
      <c r="Q5" s="303"/>
      <c r="R5" s="298">
        <v>3.8500222393141597</v>
      </c>
      <c r="S5" s="293"/>
      <c r="T5" s="294"/>
      <c r="U5" s="295"/>
      <c r="V5" s="148">
        <f t="shared" si="2"/>
        <v>367.52</v>
      </c>
      <c r="W5" s="296">
        <f t="shared" si="3"/>
        <v>136.28397307306761</v>
      </c>
      <c r="X5" s="297">
        <f>VLOOKUP(C5,'[3]Cost YTD'!$A:$L,12,0)</f>
        <v>0.23244983260668389</v>
      </c>
      <c r="Y5" s="143">
        <v>2.7E-2</v>
      </c>
      <c r="Z5" s="296">
        <f t="shared" si="4"/>
        <v>40.930970593459151</v>
      </c>
      <c r="AA5" s="143">
        <f t="shared" si="5"/>
        <v>0.30033590649367348</v>
      </c>
    </row>
    <row r="6" spans="2:33" hidden="1">
      <c r="B6" s="299" t="s">
        <v>643</v>
      </c>
      <c r="C6" s="284" t="s">
        <v>118</v>
      </c>
      <c r="D6" s="142" t="str">
        <f>VLOOKUP($C6,[1]Assortment!$F:$BA,5,0)</f>
        <v>268220舒洁女性湿厕纸10包装</v>
      </c>
      <c r="E6" s="1">
        <f>VLOOKUP($C6,[1]Assortment!$F:$AM,7,0)</f>
        <v>4</v>
      </c>
      <c r="F6" s="1">
        <f>VLOOKUP($C6,[1]Assortment!$F:$AM,31,0)</f>
        <v>40</v>
      </c>
      <c r="G6" s="291">
        <f>VLOOKUP($C6,[1]Assortment!$F:$AM,14,0)</f>
        <v>255.40530999999999</v>
      </c>
      <c r="H6" s="287">
        <f t="shared" si="0"/>
        <v>63.851327499999996</v>
      </c>
      <c r="I6" s="150">
        <v>1</v>
      </c>
      <c r="J6" s="292"/>
      <c r="K6" s="300">
        <v>2.4659681413938053</v>
      </c>
      <c r="L6" s="302">
        <f t="shared" si="1"/>
        <v>2.7865439997749997</v>
      </c>
      <c r="M6" s="302"/>
      <c r="N6" s="302"/>
      <c r="O6" s="302"/>
      <c r="P6" s="303" t="e">
        <f>#REF!/1.13</f>
        <v>#REF!</v>
      </c>
      <c r="Q6" s="303"/>
      <c r="R6" s="298">
        <v>2.4659681413938053</v>
      </c>
      <c r="S6" s="293"/>
      <c r="T6" s="294"/>
      <c r="U6" s="295"/>
      <c r="V6" s="148">
        <f t="shared" si="2"/>
        <v>255.40530999999999</v>
      </c>
      <c r="W6" s="296">
        <f t="shared" si="3"/>
        <v>87.290907659957711</v>
      </c>
      <c r="X6" s="297">
        <f>VLOOKUP(C6,'[3]Cost YTD'!$A:$L,12,0)</f>
        <v>0.2341979756724677</v>
      </c>
      <c r="Y6" s="143">
        <v>2.7E-2</v>
      </c>
      <c r="Z6" s="296">
        <f t="shared" si="4"/>
        <v>20.579557711958643</v>
      </c>
      <c r="AA6" s="143">
        <f t="shared" si="5"/>
        <v>0.23575831966516422</v>
      </c>
    </row>
    <row r="7" spans="2:33" hidden="1">
      <c r="B7" s="299" t="s">
        <v>643</v>
      </c>
      <c r="C7" s="284" t="s">
        <v>112</v>
      </c>
      <c r="D7" s="142" t="str">
        <f>VLOOKUP($C7,[1]Assortment!$F:$BA,5,0)</f>
        <v>267400舒洁山茶花系列湿厕纸60片x4包</v>
      </c>
      <c r="E7" s="1">
        <f>VLOOKUP($C7,[1]Assortment!$F:$AM,7,0)</f>
        <v>1</v>
      </c>
      <c r="F7" s="1">
        <f>VLOOKUP($C7,[1]Assortment!$F:$AM,31,0)</f>
        <v>4</v>
      </c>
      <c r="G7" s="291">
        <f>VLOOKUP($C7,[1]Assortment!$F:$AM,14,0)</f>
        <v>41.9</v>
      </c>
      <c r="H7" s="287">
        <f t="shared" si="0"/>
        <v>41.9</v>
      </c>
      <c r="I7" s="150">
        <v>1</v>
      </c>
      <c r="J7" s="292"/>
      <c r="K7" s="300">
        <v>5.3848650442477872</v>
      </c>
      <c r="L7" s="302">
        <f t="shared" si="1"/>
        <v>6.0848974999999994</v>
      </c>
      <c r="M7" s="302"/>
      <c r="N7" s="302"/>
      <c r="O7" s="302"/>
      <c r="P7" s="303" t="e">
        <f>#REF!/1.13</f>
        <v>#REF!</v>
      </c>
      <c r="Q7" s="303"/>
      <c r="R7" s="298">
        <v>5.3848650442477872</v>
      </c>
      <c r="S7" s="293"/>
      <c r="T7" s="294"/>
      <c r="U7" s="295"/>
      <c r="V7" s="148">
        <f t="shared" si="2"/>
        <v>41.9</v>
      </c>
      <c r="W7" s="296">
        <f t="shared" si="3"/>
        <v>19.061469183178009</v>
      </c>
      <c r="X7" s="297">
        <f>VLOOKUP(C7,'[3]Cost YTD'!$A:$L,12,0)</f>
        <v>0.36133012658561275</v>
      </c>
      <c r="Y7" s="143">
        <v>2.7E-2</v>
      </c>
      <c r="Z7" s="296">
        <f t="shared" si="4"/>
        <v>2.7904368792408327</v>
      </c>
      <c r="AA7" s="143">
        <f t="shared" si="5"/>
        <v>0.14639149020598208</v>
      </c>
    </row>
    <row r="8" spans="2:33" hidden="1">
      <c r="B8" s="299" t="s">
        <v>643</v>
      </c>
      <c r="C8" s="284" t="s">
        <v>104</v>
      </c>
      <c r="D8" s="142" t="str">
        <f>VLOOKUP($C8,[1]Assortment!$F:$BA,5,0)</f>
        <v>267300舒洁山茶花系列湿厕纸60片</v>
      </c>
      <c r="E8" s="1">
        <f>VLOOKUP($C8,[1]Assortment!$F:$AM,7,0)</f>
        <v>24</v>
      </c>
      <c r="F8" s="1">
        <f>VLOOKUP($C8,[1]Assortment!$F:$AM,31,0)</f>
        <v>24</v>
      </c>
      <c r="G8" s="291">
        <f>VLOOKUP($C8,[1]Assortment!$F:$AM,14,0)</f>
        <v>244.8</v>
      </c>
      <c r="H8" s="287">
        <f t="shared" si="0"/>
        <v>10.200000000000001</v>
      </c>
      <c r="I8" s="150">
        <v>1</v>
      </c>
      <c r="J8" s="292"/>
      <c r="K8" s="300">
        <v>5.7647964601769921</v>
      </c>
      <c r="L8" s="302">
        <f t="shared" si="1"/>
        <v>6.5142200000000008</v>
      </c>
      <c r="M8" s="302"/>
      <c r="N8" s="302"/>
      <c r="O8" s="302"/>
      <c r="P8" s="303" t="e">
        <f>#REF!/1.13</f>
        <v>#REF!</v>
      </c>
      <c r="Q8" s="303"/>
      <c r="R8" s="298">
        <v>5.7647964601769921</v>
      </c>
      <c r="S8" s="293"/>
      <c r="T8" s="294"/>
      <c r="U8" s="295"/>
      <c r="V8" s="148">
        <f t="shared" si="2"/>
        <v>244.8</v>
      </c>
      <c r="W8" s="296">
        <f t="shared" si="3"/>
        <v>122.438154906414</v>
      </c>
      <c r="X8" s="297">
        <f>VLOOKUP(C8,'[3]Cost YTD'!$A:$L,12,0)</f>
        <v>0.36023809478885227</v>
      </c>
      <c r="Y8" s="143">
        <v>2.7E-2</v>
      </c>
      <c r="Z8" s="296">
        <f t="shared" si="4"/>
        <v>27.642269302102946</v>
      </c>
      <c r="AA8" s="143">
        <f t="shared" si="5"/>
        <v>0.22576515730109953</v>
      </c>
    </row>
    <row r="9" spans="2:33" hidden="1">
      <c r="B9" s="299" t="s">
        <v>643</v>
      </c>
      <c r="C9" s="284" t="s">
        <v>77</v>
      </c>
      <c r="D9" s="142" t="str">
        <f>VLOOKUP($C9,[1]Assortment!$F:$BA,5,0)</f>
        <v>267030舒洁湿厕纸旅行装10包装</v>
      </c>
      <c r="E9" s="1">
        <f>VLOOKUP($C9,[1]Assortment!$F:$AM,7,0)</f>
        <v>4</v>
      </c>
      <c r="F9" s="1">
        <f>VLOOKUP($C9,[1]Assortment!$F:$AM,31,0)</f>
        <v>40</v>
      </c>
      <c r="G9" s="291">
        <f>VLOOKUP($C9,[1]Assortment!$F:$AM,14,0)</f>
        <v>151.33000000000001</v>
      </c>
      <c r="H9" s="287">
        <f t="shared" si="0"/>
        <v>37.832500000000003</v>
      </c>
      <c r="I9" s="150">
        <v>1</v>
      </c>
      <c r="J9" s="292"/>
      <c r="K9" s="300">
        <v>1.0634917229424778</v>
      </c>
      <c r="L9" s="302">
        <f t="shared" si="1"/>
        <v>1.2017456469249999</v>
      </c>
      <c r="M9" s="302"/>
      <c r="N9" s="302"/>
      <c r="O9" s="302"/>
      <c r="P9" s="303" t="e">
        <f>#REF!/1.13</f>
        <v>#REF!</v>
      </c>
      <c r="Q9" s="303"/>
      <c r="R9" s="298">
        <v>1.0634917229424778</v>
      </c>
      <c r="S9" s="293"/>
      <c r="T9" s="294"/>
      <c r="U9" s="295"/>
      <c r="V9" s="148">
        <f t="shared" si="2"/>
        <v>151.33000000000001</v>
      </c>
      <c r="W9" s="296">
        <f t="shared" si="3"/>
        <v>37.645724705928423</v>
      </c>
      <c r="X9" s="297">
        <f>VLOOKUP(C9,'[3]Cost YTD'!$A:$L,12,0)</f>
        <v>0.19361901119079922</v>
      </c>
      <c r="Y9" s="143">
        <v>2.7E-2</v>
      </c>
      <c r="Z9" s="296">
        <f t="shared" si="4"/>
        <v>4.2594497424247777</v>
      </c>
      <c r="AA9" s="143">
        <f t="shared" si="5"/>
        <v>0.11314564338175703</v>
      </c>
    </row>
    <row r="10" spans="2:33" hidden="1">
      <c r="B10" s="299" t="s">
        <v>643</v>
      </c>
      <c r="C10" s="284" t="s">
        <v>70</v>
      </c>
      <c r="D10" s="142" t="str">
        <f>VLOOKUP($C10,[1]Assortment!$F:$BA,5,0)</f>
        <v>266600舒洁湿厕纸100片x6包-植物双萃</v>
      </c>
      <c r="E10" s="1">
        <f>VLOOKUP($C10,[1]Assortment!$F:$AM,7,0)</f>
        <v>1</v>
      </c>
      <c r="F10" s="1">
        <f>VLOOKUP($C10,[1]Assortment!$F:$AM,31,0)</f>
        <v>6</v>
      </c>
      <c r="G10" s="291">
        <f>VLOOKUP($C10,[1]Assortment!$F:$AM,14,0)</f>
        <v>86.8</v>
      </c>
      <c r="H10" s="287">
        <f t="shared" si="0"/>
        <v>86.8</v>
      </c>
      <c r="I10" s="150">
        <v>1</v>
      </c>
      <c r="J10" s="292"/>
      <c r="K10" s="300">
        <v>7.2990383480825969</v>
      </c>
      <c r="L10" s="302">
        <f t="shared" si="1"/>
        <v>8.247913333333333</v>
      </c>
      <c r="M10" s="302"/>
      <c r="N10" s="302"/>
      <c r="O10" s="302"/>
      <c r="P10" s="303" t="e">
        <f>#REF!/1.13</f>
        <v>#REF!</v>
      </c>
      <c r="Q10" s="303"/>
      <c r="R10" s="298">
        <v>7.2990383480825969</v>
      </c>
      <c r="S10" s="293"/>
      <c r="T10" s="294"/>
      <c r="U10" s="295"/>
      <c r="V10" s="148">
        <f t="shared" si="2"/>
        <v>86.8</v>
      </c>
      <c r="W10" s="296">
        <f t="shared" si="3"/>
        <v>38.755955830527064</v>
      </c>
      <c r="X10" s="297">
        <f>VLOOKUP(C10,'[3]Cost YTD'!$A:$L,12,0)</f>
        <v>0.32475112510666782</v>
      </c>
      <c r="Y10" s="143">
        <v>2.7E-2</v>
      </c>
      <c r="Z10" s="296">
        <f t="shared" si="4"/>
        <v>8.223958171268297</v>
      </c>
      <c r="AA10" s="143">
        <f t="shared" si="5"/>
        <v>0.21219856393763609</v>
      </c>
    </row>
    <row r="11" spans="2:33" hidden="1">
      <c r="B11" s="299" t="s">
        <v>643</v>
      </c>
      <c r="C11" s="284" t="s">
        <v>2</v>
      </c>
      <c r="D11" s="142" t="str">
        <f>VLOOKUP($C11,[1]Assortment!$F:$BA,5,0)</f>
        <v xml:space="preserve">266200舒洁湿厕纸80片x6包 </v>
      </c>
      <c r="E11" s="1">
        <f>VLOOKUP($C11,[1]Assortment!$F:$AM,7,0)</f>
        <v>1</v>
      </c>
      <c r="F11" s="1">
        <f>VLOOKUP($C11,[1]Assortment!$F:$AM,31,0)</f>
        <v>6</v>
      </c>
      <c r="G11" s="291">
        <f>VLOOKUP($C11,[1]Assortment!$F:$AM,14,0)</f>
        <v>69.44</v>
      </c>
      <c r="H11" s="287">
        <f t="shared" si="0"/>
        <v>69.44</v>
      </c>
      <c r="I11" s="150">
        <v>1</v>
      </c>
      <c r="J11" s="292"/>
      <c r="K11" s="300">
        <v>5.320941592920355</v>
      </c>
      <c r="L11" s="302">
        <f t="shared" si="1"/>
        <v>6.0126640000000009</v>
      </c>
      <c r="M11" s="302"/>
      <c r="N11" s="302"/>
      <c r="O11" s="302"/>
      <c r="P11" s="303" t="e">
        <f>#REF!/1.13</f>
        <v>#REF!</v>
      </c>
      <c r="Q11" s="303"/>
      <c r="R11" s="298">
        <v>6.4260592920353981</v>
      </c>
      <c r="S11" s="293"/>
      <c r="T11" s="294"/>
      <c r="U11" s="295"/>
      <c r="V11" s="148">
        <f t="shared" si="2"/>
        <v>69.44</v>
      </c>
      <c r="W11" s="296">
        <f t="shared" si="3"/>
        <v>34.120668807267606</v>
      </c>
      <c r="X11" s="297">
        <f>VLOOKUP(C11,'[3]Cost YTD'!$A:$L,12,0)</f>
        <v>0.32389512456073061</v>
      </c>
      <c r="Y11" s="143">
        <v>2.7E-2</v>
      </c>
      <c r="Z11" s="296">
        <f t="shared" si="4"/>
        <v>9.7545113577704718</v>
      </c>
      <c r="AA11" s="143">
        <f t="shared" si="5"/>
        <v>0.28588277131580692</v>
      </c>
    </row>
    <row r="12" spans="2:33" hidden="1">
      <c r="B12" s="299" t="s">
        <v>643</v>
      </c>
      <c r="C12" s="284" t="s">
        <v>57</v>
      </c>
      <c r="D12" s="142" t="str">
        <f>VLOOKUP($C12,[1]Assortment!$F:$BA,5,0)</f>
        <v>266100舒洁湿厕纸80片x3包</v>
      </c>
      <c r="E12" s="1">
        <f>VLOOKUP($C12,[1]Assortment!$F:$AM,7,0)</f>
        <v>8</v>
      </c>
      <c r="F12" s="1">
        <f>VLOOKUP($C12,[1]Assortment!$F:$AM,31,0)</f>
        <v>24</v>
      </c>
      <c r="G12" s="291">
        <f>VLOOKUP($C12,[1]Assortment!$F:$AM,14,0)</f>
        <v>310.48</v>
      </c>
      <c r="H12" s="287">
        <f t="shared" si="0"/>
        <v>38.81</v>
      </c>
      <c r="I12" s="150">
        <v>1</v>
      </c>
      <c r="J12" s="292"/>
      <c r="K12" s="300">
        <v>6.4260592920353981</v>
      </c>
      <c r="L12" s="302">
        <f t="shared" si="1"/>
        <v>7.2614469999999995</v>
      </c>
      <c r="M12" s="302"/>
      <c r="N12" s="302"/>
      <c r="O12" s="302"/>
      <c r="P12" s="303" t="e">
        <f>#REF!/1.13</f>
        <v>#REF!</v>
      </c>
      <c r="Q12" s="303"/>
      <c r="R12" s="298">
        <v>6.4260592920353981</v>
      </c>
      <c r="S12" s="293"/>
      <c r="T12" s="294"/>
      <c r="U12" s="295"/>
      <c r="V12" s="148">
        <f t="shared" si="2"/>
        <v>310.48</v>
      </c>
      <c r="W12" s="296">
        <f t="shared" si="3"/>
        <v>136.48267522907042</v>
      </c>
      <c r="X12" s="297">
        <f>VLOOKUP(C12,'[3]Cost YTD'!$A:$L,12,0)</f>
        <v>0.29821889159854614</v>
      </c>
      <c r="Y12" s="143">
        <v>2.7E-2</v>
      </c>
      <c r="Z12" s="296">
        <f t="shared" si="4"/>
        <v>35.508713765553807</v>
      </c>
      <c r="AA12" s="143">
        <f t="shared" si="5"/>
        <v>0.26017011833887727</v>
      </c>
    </row>
    <row r="13" spans="2:33" hidden="1">
      <c r="B13" s="299" t="s">
        <v>643</v>
      </c>
      <c r="C13" s="284" t="s">
        <v>635</v>
      </c>
      <c r="D13" s="142" t="e">
        <f>VLOOKUP($C13,[1]Assortment!$F:$BA,5,0)</f>
        <v>#N/A</v>
      </c>
      <c r="E13" s="1" t="e">
        <f>VLOOKUP($C13,[1]Assortment!$F:$AM,7,0)</f>
        <v>#N/A</v>
      </c>
      <c r="F13" s="1" t="e">
        <f>VLOOKUP($C13,[1]Assortment!$F:$AM,31,0)</f>
        <v>#N/A</v>
      </c>
      <c r="G13" s="291" t="e">
        <f>VLOOKUP($C13,[1]Assortment!$F:$AM,14,0)</f>
        <v>#N/A</v>
      </c>
      <c r="H13" s="287" t="e">
        <f t="shared" si="0"/>
        <v>#N/A</v>
      </c>
      <c r="I13" s="150">
        <v>1</v>
      </c>
      <c r="J13" s="292"/>
      <c r="K13" s="300">
        <v>5.7860902654867266</v>
      </c>
      <c r="L13" s="302">
        <f t="shared" si="1"/>
        <v>6.5382820000000006</v>
      </c>
      <c r="M13" s="302"/>
      <c r="N13" s="302"/>
      <c r="O13" s="302"/>
      <c r="P13" s="303" t="e">
        <f>#REF!/1.13</f>
        <v>#REF!</v>
      </c>
      <c r="Q13" s="303"/>
      <c r="R13" s="298">
        <v>5.7860902654867266</v>
      </c>
      <c r="S13" s="293"/>
      <c r="T13" s="294"/>
      <c r="U13" s="295"/>
      <c r="V13" s="148" t="e">
        <f t="shared" si="2"/>
        <v>#N/A</v>
      </c>
      <c r="W13" s="296" t="e">
        <f t="shared" si="3"/>
        <v>#N/A</v>
      </c>
      <c r="X13" s="297" t="e">
        <f>VLOOKUP(C13,'[3]Cost YTD'!$A:$L,12,0)</f>
        <v>#N/A</v>
      </c>
      <c r="Y13" s="143">
        <v>2.7E-2</v>
      </c>
      <c r="Z13" s="296" t="e">
        <f t="shared" si="4"/>
        <v>#N/A</v>
      </c>
      <c r="AA13" s="143" t="e">
        <f t="shared" si="5"/>
        <v>#N/A</v>
      </c>
    </row>
    <row r="14" spans="2:33" hidden="1">
      <c r="B14" s="299" t="s">
        <v>643</v>
      </c>
      <c r="C14" s="284" t="s">
        <v>96</v>
      </c>
      <c r="D14" s="142" t="str">
        <f>VLOOKUP($C14,[1]Assortment!$F:$BA,5,0)</f>
        <v>265500舒洁湿厕纸7抽6包装</v>
      </c>
      <c r="E14" s="1">
        <f>VLOOKUP($C14,[1]Assortment!$F:$AM,7,0)</f>
        <v>16</v>
      </c>
      <c r="F14" s="1">
        <f>VLOOKUP($C14,[1]Assortment!$F:$AM,31,0)</f>
        <v>96</v>
      </c>
      <c r="G14" s="291">
        <f>VLOOKUP($C14,[1]Assortment!$F:$AM,14,0)</f>
        <v>179.2</v>
      </c>
      <c r="H14" s="287">
        <f t="shared" si="0"/>
        <v>11.2</v>
      </c>
      <c r="I14" s="150">
        <v>1</v>
      </c>
      <c r="J14" s="292"/>
      <c r="K14" s="300">
        <v>1.0590442477876107</v>
      </c>
      <c r="L14" s="302">
        <f t="shared" si="1"/>
        <v>1.19672</v>
      </c>
      <c r="M14" s="302"/>
      <c r="N14" s="302"/>
      <c r="O14" s="302"/>
      <c r="P14" s="303" t="e">
        <f>#REF!/1.13</f>
        <v>#REF!</v>
      </c>
      <c r="Q14" s="303"/>
      <c r="R14" s="298">
        <v>1.0590442477876107</v>
      </c>
      <c r="S14" s="293"/>
      <c r="T14" s="294"/>
      <c r="U14" s="295"/>
      <c r="V14" s="148">
        <f t="shared" si="2"/>
        <v>179.2</v>
      </c>
      <c r="W14" s="296">
        <f t="shared" si="3"/>
        <v>89.971900697000564</v>
      </c>
      <c r="X14" s="297">
        <f>VLOOKUP(C14,'[3]Cost YTD'!$A:$L,12,0)</f>
        <v>0.2663167418092946</v>
      </c>
      <c r="Y14" s="143">
        <v>2.7E-2</v>
      </c>
      <c r="Z14" s="296">
        <f t="shared" si="4"/>
        <v>37.409540564774971</v>
      </c>
      <c r="AA14" s="143">
        <f t="shared" si="5"/>
        <v>0.41579137791875181</v>
      </c>
    </row>
    <row r="15" spans="2:33" hidden="1">
      <c r="B15" s="299" t="s">
        <v>643</v>
      </c>
      <c r="C15" s="284" t="s">
        <v>244</v>
      </c>
      <c r="D15" s="142" t="str">
        <f>VLOOKUP($C15,[1]Assortment!$F:$BA,5,0)</f>
        <v>261300舒洁无香湿巾单包装</v>
      </c>
      <c r="E15" s="1">
        <f>VLOOKUP($C15,[1]Assortment!$F:$AM,7,0)</f>
        <v>30</v>
      </c>
      <c r="F15" s="1">
        <f>VLOOKUP($C15,[1]Assortment!$F:$AM,31,0)</f>
        <v>30</v>
      </c>
      <c r="G15" s="291">
        <f>VLOOKUP($C15,[1]Assortment!$F:$AM,14,0)</f>
        <v>91.362830000000002</v>
      </c>
      <c r="H15" s="287">
        <f t="shared" si="0"/>
        <v>3.0454276666666669</v>
      </c>
      <c r="I15" s="150">
        <v>1</v>
      </c>
      <c r="J15" s="292"/>
      <c r="K15" s="300">
        <v>1.7050973469911501</v>
      </c>
      <c r="L15" s="302">
        <f t="shared" si="1"/>
        <v>1.9267600020999995</v>
      </c>
      <c r="M15" s="302"/>
      <c r="N15" s="302"/>
      <c r="O15" s="302"/>
      <c r="P15" s="303" t="e">
        <f>#REF!/1.13</f>
        <v>#REF!</v>
      </c>
      <c r="Q15" s="303"/>
      <c r="R15" s="298">
        <v>1.7050973469911501</v>
      </c>
      <c r="S15" s="293"/>
      <c r="T15" s="294"/>
      <c r="U15" s="295"/>
      <c r="V15" s="148">
        <f t="shared" si="2"/>
        <v>91.362830000000002</v>
      </c>
      <c r="W15" s="296">
        <f t="shared" si="3"/>
        <v>45.268071159057087</v>
      </c>
      <c r="X15" s="297">
        <f>VLOOKUP(C15,'[3]Cost YTD'!$A:$L,12,0)</f>
        <v>0.33841875289225204</v>
      </c>
      <c r="Y15" s="143">
        <v>2.7E-2</v>
      </c>
      <c r="Z15" s="296">
        <f t="shared" si="4"/>
        <v>11.882379759750251</v>
      </c>
      <c r="AA15" s="143">
        <f t="shared" si="5"/>
        <v>0.26248919946245297</v>
      </c>
    </row>
    <row r="16" spans="2:33" hidden="1">
      <c r="B16" s="299" t="s">
        <v>643</v>
      </c>
      <c r="C16" s="284" t="s">
        <v>236</v>
      </c>
      <c r="D16" s="142" t="str">
        <f>VLOOKUP($C16,[1]Assortment!$F:$BA,5,0)</f>
        <v>253000舒洁蚕丝洗脸巾80抽3包装</v>
      </c>
      <c r="E16" s="1">
        <f>VLOOKUP($C16,[1]Assortment!$F:$AM,7,0)</f>
        <v>6</v>
      </c>
      <c r="F16" s="1">
        <f>VLOOKUP($C16,[1]Assortment!$F:$AM,31,0)</f>
        <v>18</v>
      </c>
      <c r="G16" s="291">
        <f>VLOOKUP($C16,[1]Assortment!$F:$AM,14,0)</f>
        <v>358.2</v>
      </c>
      <c r="H16" s="287">
        <f t="shared" si="0"/>
        <v>59.699999999999996</v>
      </c>
      <c r="I16" s="150">
        <v>1</v>
      </c>
      <c r="J16" s="292"/>
      <c r="K16" s="300">
        <v>7.3941504424778763</v>
      </c>
      <c r="L16" s="302">
        <f t="shared" si="1"/>
        <v>8.3553899999999999</v>
      </c>
      <c r="M16" s="302"/>
      <c r="N16" s="302"/>
      <c r="O16" s="302"/>
      <c r="P16" s="303" t="e">
        <f>#REF!/1.13</f>
        <v>#REF!</v>
      </c>
      <c r="Q16" s="303"/>
      <c r="R16" s="298">
        <v>7.3941504424778763</v>
      </c>
      <c r="S16" s="293"/>
      <c r="T16" s="294"/>
      <c r="U16" s="295"/>
      <c r="V16" s="148">
        <f t="shared" si="2"/>
        <v>358.2</v>
      </c>
      <c r="W16" s="296">
        <f t="shared" si="3"/>
        <v>117.78292740230248</v>
      </c>
      <c r="X16" s="297">
        <f>VLOOKUP(C16,'[3]Cost YTD'!$A:$L,12,0)</f>
        <v>0.25617794633936342</v>
      </c>
      <c r="Y16" s="143">
        <v>2.7E-2</v>
      </c>
      <c r="Z16" s="296">
        <f t="shared" si="4"/>
        <v>16.348587023542493</v>
      </c>
      <c r="AA16" s="143">
        <f t="shared" si="5"/>
        <v>0.1388026888455729</v>
      </c>
    </row>
    <row r="17" spans="2:27" hidden="1">
      <c r="B17" s="299" t="s">
        <v>643</v>
      </c>
      <c r="C17" s="284" t="s">
        <v>195</v>
      </c>
      <c r="D17" s="142" t="str">
        <f>VLOOKUP($C17,[1]Assortment!$F:$BA,5,0)</f>
        <v>231216 舒洁马蹄莲盒面纸200抽3盒 FSC mix70%</v>
      </c>
      <c r="E17" s="1">
        <f>VLOOKUP($C17,[1]Assortment!$F:$AM,7,0)</f>
        <v>10</v>
      </c>
      <c r="F17" s="1">
        <f>VLOOKUP($C17,[1]Assortment!$F:$AM,31,0)</f>
        <v>30</v>
      </c>
      <c r="G17" s="291">
        <f>VLOOKUP($C17,[1]Assortment!$F:$AM,14,0)</f>
        <v>243.21306999999999</v>
      </c>
      <c r="H17" s="287">
        <f t="shared" si="0"/>
        <v>24.321306999999997</v>
      </c>
      <c r="I17" s="150">
        <v>1</v>
      </c>
      <c r="J17" s="292"/>
      <c r="K17" s="300">
        <v>5.4662264580235984</v>
      </c>
      <c r="L17" s="302">
        <f t="shared" si="1"/>
        <v>6.176835897566666</v>
      </c>
      <c r="M17" s="302"/>
      <c r="N17" s="302"/>
      <c r="O17" s="302"/>
      <c r="P17" s="303" t="e">
        <f>#REF!/1.13</f>
        <v>#REF!</v>
      </c>
      <c r="Q17" s="303"/>
      <c r="R17" s="298">
        <v>5.4662264580235984</v>
      </c>
      <c r="S17" s="293"/>
      <c r="T17" s="294"/>
      <c r="U17" s="295"/>
      <c r="V17" s="148">
        <f t="shared" si="2"/>
        <v>243.21306999999999</v>
      </c>
      <c r="W17" s="296">
        <f t="shared" si="3"/>
        <v>145.12105640770616</v>
      </c>
      <c r="X17" s="297">
        <f>VLOOKUP(C17,'[3]Cost YTD'!$A:$L,12,0)</f>
        <v>0.40988132072151023</v>
      </c>
      <c r="Y17" s="143">
        <v>2.7E-2</v>
      </c>
      <c r="Z17" s="296">
        <f t="shared" si="4"/>
        <v>38.865809169373037</v>
      </c>
      <c r="AA17" s="143">
        <f t="shared" si="5"/>
        <v>0.26781647082407262</v>
      </c>
    </row>
    <row r="18" spans="2:27" hidden="1">
      <c r="B18" s="299" t="s">
        <v>643</v>
      </c>
      <c r="C18" s="284" t="s">
        <v>219</v>
      </c>
      <c r="D18" s="142" t="str">
        <f>VLOOKUP($C18,[1]Assortment!$F:$BA,5,0)</f>
        <v>229160舒洁绿茶洋甘菊印花清香卷纸10粒</v>
      </c>
      <c r="E18" s="1">
        <f>VLOOKUP($C18,[1]Assortment!$F:$AM,7,0)</f>
        <v>5</v>
      </c>
      <c r="F18" s="1">
        <f>VLOOKUP($C18,[1]Assortment!$F:$AM,31,0)</f>
        <v>50</v>
      </c>
      <c r="G18" s="291">
        <f>VLOOKUP($C18,[1]Assortment!$F:$AM,14,0)</f>
        <v>153.64888999999999</v>
      </c>
      <c r="H18" s="287">
        <f t="shared" si="0"/>
        <v>30.729778</v>
      </c>
      <c r="I18" s="150">
        <v>1</v>
      </c>
      <c r="J18" s="292"/>
      <c r="K18" s="300">
        <v>2.2679876571504423</v>
      </c>
      <c r="L18" s="302">
        <f t="shared" si="1"/>
        <v>2.5628260525799993</v>
      </c>
      <c r="M18" s="302"/>
      <c r="N18" s="302"/>
      <c r="O18" s="302"/>
      <c r="P18" s="303" t="e">
        <f>#REF!/1.13</f>
        <v>#REF!</v>
      </c>
      <c r="Q18" s="303"/>
      <c r="R18" s="298">
        <v>2.2679876571504423</v>
      </c>
      <c r="S18" s="293"/>
      <c r="T18" s="294"/>
      <c r="U18" s="295"/>
      <c r="V18" s="148">
        <f t="shared" si="2"/>
        <v>153.64888999999999</v>
      </c>
      <c r="W18" s="296">
        <f t="shared" si="3"/>
        <v>100.35343615709922</v>
      </c>
      <c r="X18" s="297">
        <f>VLOOKUP(C18,'[3]Cost YTD'!$A:$L,12,0)</f>
        <v>0.50615632874392735</v>
      </c>
      <c r="Y18" s="143">
        <v>2.7E-2</v>
      </c>
      <c r="Z18" s="296">
        <f t="shared" si="4"/>
        <v>18.434558049119687</v>
      </c>
      <c r="AA18" s="143">
        <f t="shared" si="5"/>
        <v>0.18369633123733936</v>
      </c>
    </row>
    <row r="19" spans="2:27" hidden="1">
      <c r="B19" s="299" t="s">
        <v>643</v>
      </c>
      <c r="C19" s="284" t="s">
        <v>211</v>
      </c>
      <c r="D19" s="142" t="str">
        <f>VLOOKUP($C19,[1]Assortment!$F:$BA,5,0)</f>
        <v>221635舒洁卷纸3层纯白10粒（蓝色）</v>
      </c>
      <c r="E19" s="1">
        <f>VLOOKUP($C19,[1]Assortment!$F:$AM,7,0)</f>
        <v>10</v>
      </c>
      <c r="F19" s="1">
        <f>VLOOKUP($C19,[1]Assortment!$F:$AM,31,0)</f>
        <v>100</v>
      </c>
      <c r="G19" s="291">
        <f>VLOOKUP($C19,[1]Assortment!$F:$AM,14,0)</f>
        <v>240.89676</v>
      </c>
      <c r="H19" s="287">
        <f t="shared" si="0"/>
        <v>24.089676000000001</v>
      </c>
      <c r="I19" s="150">
        <v>1</v>
      </c>
      <c r="J19" s="292"/>
      <c r="K19" s="300">
        <v>17.675539808495579</v>
      </c>
      <c r="L19" s="302">
        <f t="shared" si="1"/>
        <v>19.973359983600002</v>
      </c>
      <c r="M19" s="302"/>
      <c r="N19" s="302"/>
      <c r="O19" s="302"/>
      <c r="P19" s="303" t="e">
        <f>#REF!/1.13</f>
        <v>#REF!</v>
      </c>
      <c r="Q19" s="303"/>
      <c r="R19" s="298">
        <v>1.8</v>
      </c>
      <c r="S19" s="293"/>
      <c r="T19" s="294"/>
      <c r="U19" s="295"/>
      <c r="V19" s="148">
        <f t="shared" si="2"/>
        <v>240.89676</v>
      </c>
      <c r="W19" s="296">
        <f t="shared" si="3"/>
        <v>159.2920353982301</v>
      </c>
      <c r="X19" s="297">
        <f>VLOOKUP(C19,'[3]Cost YTD'!$A:$L,12,0)</f>
        <v>0.48521181381160644</v>
      </c>
      <c r="Y19" s="143">
        <v>2.7E-2</v>
      </c>
      <c r="Z19" s="296">
        <f t="shared" si="4"/>
        <v>35.901869017290863</v>
      </c>
      <c r="AA19" s="143">
        <f t="shared" si="5"/>
        <v>0.22538395549743706</v>
      </c>
    </row>
    <row r="20" spans="2:27" hidden="1">
      <c r="B20" s="299" t="s">
        <v>643</v>
      </c>
      <c r="C20" s="284" t="s">
        <v>164</v>
      </c>
      <c r="D20" s="142" t="str">
        <f>VLOOKUP($C20,[1]Assortment!$F:$BA,5,0)</f>
        <v>216805舒洁®北海道牛乳系列乳霜纸面巾80抽5包装</v>
      </c>
      <c r="E20" s="1">
        <f>VLOOKUP($C20,[1]Assortment!$F:$AM,7,0)</f>
        <v>3</v>
      </c>
      <c r="F20" s="1">
        <f>VLOOKUP($C20,[1]Assortment!$F:$AM,31,0)</f>
        <v>15</v>
      </c>
      <c r="G20" s="291">
        <f>VLOOKUP($C20,[1]Assortment!$F:$AM,14,0)</f>
        <v>215.56800000000001</v>
      </c>
      <c r="H20" s="287">
        <f t="shared" si="0"/>
        <v>71.856000000000009</v>
      </c>
      <c r="I20" s="150">
        <v>1</v>
      </c>
      <c r="J20" s="292"/>
      <c r="K20" s="300">
        <v>7.0024923185840722</v>
      </c>
      <c r="L20" s="302">
        <f t="shared" si="1"/>
        <v>7.912816320000001</v>
      </c>
      <c r="M20" s="302"/>
      <c r="N20" s="302"/>
      <c r="O20" s="302"/>
      <c r="P20" s="303" t="e">
        <f>#REF!/1.13</f>
        <v>#REF!</v>
      </c>
      <c r="Q20" s="303"/>
      <c r="R20" s="298">
        <v>7.2</v>
      </c>
      <c r="S20" s="293"/>
      <c r="T20" s="294"/>
      <c r="U20" s="295"/>
      <c r="V20" s="148">
        <f t="shared" si="2"/>
        <v>215.56800000000001</v>
      </c>
      <c r="W20" s="296">
        <f t="shared" si="3"/>
        <v>95.575221238938056</v>
      </c>
      <c r="X20" s="297">
        <f>VLOOKUP(C20,'[3]Cost YTD'!$A:$L,12,0)</f>
        <v>0.28547005678913662</v>
      </c>
      <c r="Y20" s="143">
        <v>2.7E-2</v>
      </c>
      <c r="Z20" s="296">
        <f t="shared" si="4"/>
        <v>28.21667603701745</v>
      </c>
      <c r="AA20" s="143">
        <f t="shared" si="5"/>
        <v>0.29523003631323813</v>
      </c>
    </row>
    <row r="21" spans="2:27" hidden="1">
      <c r="B21" s="299" t="s">
        <v>643</v>
      </c>
      <c r="C21" s="284" t="s">
        <v>157</v>
      </c>
      <c r="D21" s="142" t="str">
        <f>VLOOKUP($C21,[1]Assortment!$F:$BA,5,0)</f>
        <v>216710舒洁®牛乳系列乳霜纸面巾口袋包7抽10包装</v>
      </c>
      <c r="E21" s="1">
        <f>VLOOKUP($C21,[1]Assortment!$F:$AM,7,0)</f>
        <v>12</v>
      </c>
      <c r="F21" s="1">
        <f>VLOOKUP($C21,[1]Assortment!$F:$AM,31,0)</f>
        <v>120</v>
      </c>
      <c r="G21" s="291">
        <f>VLOOKUP($C21,[1]Assortment!$F:$AM,14,0)</f>
        <v>202.8</v>
      </c>
      <c r="H21" s="287">
        <f t="shared" si="0"/>
        <v>16.900000000000002</v>
      </c>
      <c r="I21" s="150">
        <v>1</v>
      </c>
      <c r="J21" s="292"/>
      <c r="K21" s="300">
        <v>0.80416725663716826</v>
      </c>
      <c r="L21" s="302">
        <f t="shared" si="1"/>
        <v>0.9087090000000001</v>
      </c>
      <c r="M21" s="302"/>
      <c r="N21" s="302"/>
      <c r="O21" s="302"/>
      <c r="P21" s="303" t="e">
        <f>#REF!/1.13</f>
        <v>#REF!</v>
      </c>
      <c r="Q21" s="303"/>
      <c r="R21" s="298">
        <v>0.80416725663716826</v>
      </c>
      <c r="S21" s="293"/>
      <c r="T21" s="294"/>
      <c r="U21" s="295"/>
      <c r="V21" s="148">
        <f t="shared" si="2"/>
        <v>202.8</v>
      </c>
      <c r="W21" s="296">
        <f t="shared" si="3"/>
        <v>85.398292740230261</v>
      </c>
      <c r="X21" s="297">
        <f>VLOOKUP(C21,'[3]Cost YTD'!$A:$L,12,0)</f>
        <v>0.30604535523662951</v>
      </c>
      <c r="Y21" s="143">
        <v>2.7E-2</v>
      </c>
      <c r="Z21" s="296">
        <f t="shared" si="4"/>
        <v>17.856694698241782</v>
      </c>
      <c r="AA21" s="143">
        <f t="shared" si="5"/>
        <v>0.20909896586058652</v>
      </c>
    </row>
    <row r="22" spans="2:27" hidden="1">
      <c r="B22" s="299" t="s">
        <v>643</v>
      </c>
      <c r="C22" s="284" t="s">
        <v>150</v>
      </c>
      <c r="D22" s="142" t="str">
        <f>VLOOKUP($C22,[1]Assortment!$F:$BA,5,0)</f>
        <v>216208舒洁®北海道牛乳系列乳霜纸面巾20抽8包装</v>
      </c>
      <c r="E22" s="1">
        <f>VLOOKUP($C22,[1]Assortment!$F:$AM,7,0)</f>
        <v>4</v>
      </c>
      <c r="F22" s="1">
        <f>VLOOKUP($C22,[1]Assortment!$F:$AM,31,0)</f>
        <v>32</v>
      </c>
      <c r="G22" s="291">
        <f>VLOOKUP($C22,[1]Assortment!$F:$AM,14,0)</f>
        <v>100.4986</v>
      </c>
      <c r="H22" s="287">
        <f t="shared" si="0"/>
        <v>25.124649999999999</v>
      </c>
      <c r="I22" s="150">
        <v>1</v>
      </c>
      <c r="J22" s="292"/>
      <c r="K22" s="300">
        <v>1.601579022676991</v>
      </c>
      <c r="L22" s="302">
        <f t="shared" si="1"/>
        <v>1.8097842956249997</v>
      </c>
      <c r="M22" s="302"/>
      <c r="N22" s="302"/>
      <c r="O22" s="302"/>
      <c r="P22" s="303" t="e">
        <f>#REF!/1.13</f>
        <v>#REF!</v>
      </c>
      <c r="Q22" s="303"/>
      <c r="R22" s="298">
        <v>1.601579022676991</v>
      </c>
      <c r="S22" s="293"/>
      <c r="T22" s="294"/>
      <c r="U22" s="295"/>
      <c r="V22" s="148">
        <f t="shared" si="2"/>
        <v>100.4986</v>
      </c>
      <c r="W22" s="296">
        <f t="shared" si="3"/>
        <v>45.354450199702406</v>
      </c>
      <c r="X22" s="297">
        <f>VLOOKUP(C22,'[3]Cost YTD'!$A:$L,12,0)</f>
        <v>0.31234929480367374</v>
      </c>
      <c r="Y22" s="143">
        <v>2.7E-2</v>
      </c>
      <c r="Z22" s="296">
        <f t="shared" si="4"/>
        <v>11.250321160945916</v>
      </c>
      <c r="AA22" s="143">
        <f t="shared" si="5"/>
        <v>0.24805330262871833</v>
      </c>
    </row>
    <row r="23" spans="2:27" hidden="1">
      <c r="B23" s="299" t="s">
        <v>643</v>
      </c>
      <c r="C23" s="284" t="s">
        <v>143</v>
      </c>
      <c r="D23" s="142" t="str">
        <f>VLOOKUP($C23,[1]Assortment!$F:$BA,5,0)</f>
        <v>215610舒洁®北海道轻牛乳系列乳霜纸面巾100抽3包装</v>
      </c>
      <c r="E23" s="1">
        <f>VLOOKUP($C23,[1]Assortment!$F:$AM,7,0)</f>
        <v>6</v>
      </c>
      <c r="F23" s="1">
        <f>VLOOKUP($C23,[1]Assortment!$F:$AM,31,0)</f>
        <v>18</v>
      </c>
      <c r="G23" s="291">
        <f>VLOOKUP($C23,[1]Assortment!$F:$AM,14,0)</f>
        <v>215.4</v>
      </c>
      <c r="H23" s="287">
        <f t="shared" si="0"/>
        <v>35.9</v>
      </c>
      <c r="I23" s="150">
        <v>1</v>
      </c>
      <c r="J23" s="292"/>
      <c r="K23" s="300">
        <v>4.5967522123893803</v>
      </c>
      <c r="L23" s="302">
        <f t="shared" si="1"/>
        <v>5.194329999999999</v>
      </c>
      <c r="M23" s="302"/>
      <c r="N23" s="302"/>
      <c r="O23" s="302"/>
      <c r="P23" s="303" t="e">
        <f>#REF!/1.13</f>
        <v>#REF!</v>
      </c>
      <c r="Q23" s="303"/>
      <c r="R23" s="298">
        <v>4.5967522123893803</v>
      </c>
      <c r="S23" s="293"/>
      <c r="T23" s="294"/>
      <c r="U23" s="295"/>
      <c r="V23" s="148">
        <f t="shared" si="2"/>
        <v>215.4</v>
      </c>
      <c r="W23" s="296">
        <f t="shared" si="3"/>
        <v>73.22260161328218</v>
      </c>
      <c r="X23" s="297">
        <f>VLOOKUP(C23,'[3]Cost YTD'!$A:$L,12,0)</f>
        <v>0.2556926203465249</v>
      </c>
      <c r="Y23" s="143">
        <v>2.7E-2</v>
      </c>
      <c r="Z23" s="296">
        <f t="shared" si="4"/>
        <v>12.33061119064071</v>
      </c>
      <c r="AA23" s="143">
        <f t="shared" si="5"/>
        <v>0.16839897680450627</v>
      </c>
    </row>
    <row r="24" spans="2:27" hidden="1">
      <c r="B24" s="299" t="s">
        <v>643</v>
      </c>
      <c r="C24" s="284" t="s">
        <v>136</v>
      </c>
      <c r="D24" s="142" t="str">
        <f>VLOOKUP($C24,[1]Assortment!$F:$BA,5,0)</f>
        <v>215503舒洁®北海道轻牛乳系列乳霜纸面巾40抽3包装</v>
      </c>
      <c r="E24" s="1">
        <f>VLOOKUP($C24,[1]Assortment!$F:$AM,7,0)</f>
        <v>16</v>
      </c>
      <c r="F24" s="1">
        <f>VLOOKUP($C24,[1]Assortment!$F:$AM,31,0)</f>
        <v>48</v>
      </c>
      <c r="G24" s="291">
        <f>VLOOKUP($C24,[1]Assortment!$F:$AM,14,0)</f>
        <v>222.4</v>
      </c>
      <c r="H24" s="287">
        <f t="shared" si="0"/>
        <v>13.9</v>
      </c>
      <c r="I24" s="150">
        <v>1</v>
      </c>
      <c r="J24" s="292"/>
      <c r="K24" s="300">
        <v>1.9258967551622426</v>
      </c>
      <c r="L24" s="302">
        <f t="shared" si="1"/>
        <v>2.1762633333333339</v>
      </c>
      <c r="M24" s="302"/>
      <c r="N24" s="302"/>
      <c r="O24" s="302"/>
      <c r="P24" s="303" t="e">
        <f>#REF!/1.13</f>
        <v>#REF!</v>
      </c>
      <c r="Q24" s="303"/>
      <c r="R24" s="298">
        <v>1.9258967551622426</v>
      </c>
      <c r="S24" s="293"/>
      <c r="T24" s="294"/>
      <c r="U24" s="295"/>
      <c r="V24" s="148">
        <f t="shared" si="2"/>
        <v>222.4</v>
      </c>
      <c r="W24" s="296">
        <f t="shared" si="3"/>
        <v>81.80800375910411</v>
      </c>
      <c r="X24" s="297">
        <f>VLOOKUP(C24,'[3]Cost YTD'!$A:$L,12,0)</f>
        <v>0.24928738317349211</v>
      </c>
      <c r="Y24" s="143">
        <v>2.7E-2</v>
      </c>
      <c r="Z24" s="296">
        <f t="shared" si="4"/>
        <v>20.361689741319466</v>
      </c>
      <c r="AA24" s="143">
        <f t="shared" si="5"/>
        <v>0.24889605913472115</v>
      </c>
    </row>
    <row r="25" spans="2:27" hidden="1">
      <c r="B25" s="299" t="s">
        <v>643</v>
      </c>
      <c r="C25" s="284" t="s">
        <v>127</v>
      </c>
      <c r="D25" s="142" t="str">
        <f>VLOOKUP($C25,[1]Assortment!$F:$BA,5,0)</f>
        <v>215204舒洁鎏金系列乳霜纸巾40抽8包</v>
      </c>
      <c r="E25" s="1">
        <f>VLOOKUP($C25,[1]Assortment!$F:$AM,7,0)</f>
        <v>4</v>
      </c>
      <c r="F25" s="1">
        <f>VLOOKUP($C25,[1]Assortment!$F:$AM,31,0)</f>
        <v>32</v>
      </c>
      <c r="G25" s="291">
        <f>VLOOKUP($C25,[1]Assortment!$F:$AM,14,0)</f>
        <v>105.788</v>
      </c>
      <c r="H25" s="287">
        <f t="shared" si="0"/>
        <v>26.446999999999999</v>
      </c>
      <c r="I25" s="150">
        <v>1</v>
      </c>
      <c r="J25" s="292"/>
      <c r="K25" s="300">
        <v>1.4882131305309736</v>
      </c>
      <c r="L25" s="302">
        <f t="shared" si="1"/>
        <v>1.6816808375000001</v>
      </c>
      <c r="M25" s="302"/>
      <c r="N25" s="302"/>
      <c r="O25" s="302"/>
      <c r="P25" s="303" t="e">
        <f>#REF!/1.13</f>
        <v>#REF!</v>
      </c>
      <c r="Q25" s="303"/>
      <c r="R25" s="298">
        <v>1.4882131305309736</v>
      </c>
      <c r="S25" s="293"/>
      <c r="T25" s="294"/>
      <c r="U25" s="295"/>
      <c r="V25" s="148">
        <f t="shared" si="2"/>
        <v>105.788</v>
      </c>
      <c r="W25" s="296">
        <f t="shared" si="3"/>
        <v>42.144088652204566</v>
      </c>
      <c r="X25" s="297">
        <f>VLOOKUP(C25,'[3]Cost YTD'!$A:$L,12,0)</f>
        <v>0.29234795400060104</v>
      </c>
      <c r="Y25" s="143">
        <v>2.7E-2</v>
      </c>
      <c r="Z25" s="296">
        <f t="shared" si="4"/>
        <v>8.3609072943889799</v>
      </c>
      <c r="AA25" s="143">
        <f t="shared" si="5"/>
        <v>0.198388613012554</v>
      </c>
    </row>
    <row r="26" spans="2:27" hidden="1">
      <c r="B26" s="299" t="s">
        <v>643</v>
      </c>
      <c r="C26" s="284" t="s">
        <v>180</v>
      </c>
      <c r="D26" s="142" t="str">
        <f>VLOOKUP($C26,[1]Assortment!$F:$BA,5,0)</f>
        <v>214890舒洁小熊印花抽纸3层80抽16包FSC mix70%</v>
      </c>
      <c r="E26" s="1">
        <f>VLOOKUP($C26,[1]Assortment!$F:$AM,7,0)</f>
        <v>6</v>
      </c>
      <c r="F26" s="1">
        <f>VLOOKUP($C26,[1]Assortment!$F:$AM,31,0)</f>
        <v>96</v>
      </c>
      <c r="G26" s="291">
        <f>VLOOKUP($C26,[1]Assortment!$F:$AM,14,0)</f>
        <v>283.80122999999998</v>
      </c>
      <c r="H26" s="287">
        <f t="shared" si="0"/>
        <v>47.300204999999998</v>
      </c>
      <c r="I26" s="150">
        <v>1</v>
      </c>
      <c r="J26" s="292"/>
      <c r="K26" s="300">
        <v>2.0755820271294247</v>
      </c>
      <c r="L26" s="302">
        <f t="shared" si="1"/>
        <v>2.3454076906562498</v>
      </c>
      <c r="M26" s="302"/>
      <c r="N26" s="302"/>
      <c r="O26" s="302"/>
      <c r="P26" s="303" t="e">
        <f>#REF!/1.13</f>
        <v>#REF!</v>
      </c>
      <c r="Q26" s="303"/>
      <c r="R26" s="298">
        <v>2.0755820271294247</v>
      </c>
      <c r="S26" s="293"/>
      <c r="T26" s="294"/>
      <c r="U26" s="295"/>
      <c r="V26" s="148">
        <f t="shared" si="2"/>
        <v>283.80122999999998</v>
      </c>
      <c r="W26" s="296">
        <f t="shared" si="3"/>
        <v>176.33263239329628</v>
      </c>
      <c r="X26" s="297">
        <f>VLOOKUP(C26,'[3]Cost YTD'!$A:$L,12,0)</f>
        <v>0.46847941311762015</v>
      </c>
      <c r="Y26" s="143">
        <v>2.7E-2</v>
      </c>
      <c r="Z26" s="296">
        <f t="shared" si="4"/>
        <v>35.714965510837544</v>
      </c>
      <c r="AA26" s="143">
        <f t="shared" si="5"/>
        <v>0.20254314261683612</v>
      </c>
    </row>
    <row r="27" spans="2:27" hidden="1">
      <c r="B27" s="299" t="s">
        <v>643</v>
      </c>
      <c r="C27" s="284" t="s">
        <v>187</v>
      </c>
      <c r="D27" s="142" t="str">
        <f>VLOOKUP($C27,[1]Assortment!$F:$BA,5,0)</f>
        <v>210761舒洁卡通系列抽纸200抽3包 FSC mix70%</v>
      </c>
      <c r="E27" s="1">
        <f>VLOOKUP($C27,[1]Assortment!$F:$AM,7,0)</f>
        <v>20</v>
      </c>
      <c r="F27" s="1">
        <f>VLOOKUP($C27,[1]Assortment!$F:$AM,31,0)</f>
        <v>60</v>
      </c>
      <c r="G27" s="291">
        <f>VLOOKUP($C27,[1]Assortment!$F:$AM,14,0)</f>
        <v>338.18198999999998</v>
      </c>
      <c r="H27" s="287">
        <f t="shared" si="0"/>
        <v>16.9090995</v>
      </c>
      <c r="I27" s="150">
        <v>1</v>
      </c>
      <c r="J27" s="292"/>
      <c r="K27" s="300">
        <v>3.9400535477728611</v>
      </c>
      <c r="L27" s="302">
        <f t="shared" si="1"/>
        <v>4.4522605089833327</v>
      </c>
      <c r="M27" s="302"/>
      <c r="N27" s="302"/>
      <c r="O27" s="302"/>
      <c r="P27" s="303" t="e">
        <f>#REF!/1.13</f>
        <v>#REF!</v>
      </c>
      <c r="Q27" s="303"/>
      <c r="R27" s="298">
        <v>3.9400535477728611</v>
      </c>
      <c r="S27" s="293"/>
      <c r="T27" s="294"/>
      <c r="U27" s="295"/>
      <c r="V27" s="148">
        <f t="shared" si="2"/>
        <v>338.18198999999998</v>
      </c>
      <c r="W27" s="296">
        <f t="shared" si="3"/>
        <v>209.20638306758556</v>
      </c>
      <c r="X27" s="297">
        <f>VLOOKUP(C27,'[3]Cost YTD'!$A:$L,12,0)</f>
        <v>0.46297308548951832</v>
      </c>
      <c r="Y27" s="143">
        <v>2.7E-2</v>
      </c>
      <c r="Z27" s="296">
        <f t="shared" si="4"/>
        <v>43.506309970300123</v>
      </c>
      <c r="AA27" s="143">
        <f t="shared" si="5"/>
        <v>0.20795880762512448</v>
      </c>
    </row>
    <row r="28" spans="2:27" hidden="1">
      <c r="B28" s="299" t="s">
        <v>643</v>
      </c>
      <c r="C28" s="284" t="s">
        <v>172</v>
      </c>
      <c r="D28" s="142" t="str">
        <f>VLOOKUP($C28,[1]Assortment!$F:$BA,5,0)</f>
        <v>210390舒洁小熊印花抽纸3层80抽4包FSC mix70%</v>
      </c>
      <c r="E28" s="1">
        <f>VLOOKUP($C28,[1]Assortment!$F:$AM,7,0)</f>
        <v>24</v>
      </c>
      <c r="F28" s="1">
        <f>VLOOKUP($C28,[1]Assortment!$F:$AM,31,0)</f>
        <v>96</v>
      </c>
      <c r="G28" s="291">
        <f>VLOOKUP($C28,[1]Assortment!$F:$AM,14,0)</f>
        <v>287.22305</v>
      </c>
      <c r="H28" s="287">
        <f t="shared" si="0"/>
        <v>11.967627083333333</v>
      </c>
      <c r="I28" s="150">
        <v>1</v>
      </c>
      <c r="J28" s="292"/>
      <c r="K28" s="300">
        <v>2.1945357853982301</v>
      </c>
      <c r="L28" s="302">
        <f t="shared" si="1"/>
        <v>2.4798254374999997</v>
      </c>
      <c r="M28" s="302"/>
      <c r="N28" s="302"/>
      <c r="O28" s="302"/>
      <c r="P28" s="303" t="e">
        <f>#REF!/1.13</f>
        <v>#REF!</v>
      </c>
      <c r="Q28" s="303"/>
      <c r="R28" s="298">
        <v>2.1945357853982301</v>
      </c>
      <c r="S28" s="293"/>
      <c r="T28" s="294"/>
      <c r="U28" s="295"/>
      <c r="V28" s="148">
        <f t="shared" si="2"/>
        <v>287.22305</v>
      </c>
      <c r="W28" s="296">
        <f t="shared" si="3"/>
        <v>186.43843840551338</v>
      </c>
      <c r="X28" s="297">
        <f>VLOOKUP(C28,'[3]Cost YTD'!$A:$L,12,0)</f>
        <v>0.47224779147046408</v>
      </c>
      <c r="Y28" s="143">
        <v>2.7E-2</v>
      </c>
      <c r="Z28" s="296">
        <f t="shared" si="4"/>
        <v>43.042965033602684</v>
      </c>
      <c r="AA28" s="143">
        <f t="shared" si="5"/>
        <v>0.23086958570196764</v>
      </c>
    </row>
    <row r="29" spans="2:27" hidden="1">
      <c r="B29" s="299" t="s">
        <v>643</v>
      </c>
      <c r="C29" s="285" t="s">
        <v>96</v>
      </c>
      <c r="D29" s="142" t="str">
        <f>VLOOKUP($C29,[1]Assortment!$F:$BA,5,0)</f>
        <v>265500舒洁湿厕纸7抽6包装</v>
      </c>
      <c r="E29" s="1">
        <f>VLOOKUP($C29,[1]Assortment!$F:$AM,7,0)</f>
        <v>16</v>
      </c>
      <c r="F29" s="1">
        <f>VLOOKUP($C29,[1]Assortment!$F:$AM,31,0)</f>
        <v>96</v>
      </c>
      <c r="G29" s="291">
        <f>VLOOKUP($C29,[1]Assortment!$F:$AM,14,0)</f>
        <v>179.2</v>
      </c>
      <c r="H29" s="287">
        <f t="shared" si="0"/>
        <v>11.2</v>
      </c>
      <c r="I29" s="150">
        <v>1</v>
      </c>
      <c r="J29" s="292"/>
      <c r="K29" s="300">
        <v>1.0590442477876107</v>
      </c>
      <c r="L29" s="302">
        <f t="shared" si="1"/>
        <v>1.19672</v>
      </c>
      <c r="M29" s="302"/>
      <c r="N29" s="302"/>
      <c r="O29" s="302"/>
      <c r="P29" s="303" t="e">
        <f>#REF!/1.13</f>
        <v>#REF!</v>
      </c>
      <c r="Q29" s="303"/>
      <c r="R29" s="298">
        <v>1.0590442477876107</v>
      </c>
      <c r="S29" s="293"/>
      <c r="T29" s="294"/>
      <c r="U29" s="295"/>
      <c r="V29" s="148">
        <f t="shared" si="2"/>
        <v>179.2</v>
      </c>
      <c r="W29" s="296">
        <f t="shared" si="3"/>
        <v>89.971900697000564</v>
      </c>
      <c r="X29" s="297">
        <f>VLOOKUP(C29,'[3]Cost YTD'!$A:$L,12,0)</f>
        <v>0.2663167418092946</v>
      </c>
      <c r="Y29" s="143">
        <v>2.7E-2</v>
      </c>
      <c r="Z29" s="296">
        <f t="shared" si="4"/>
        <v>37.409540564774971</v>
      </c>
      <c r="AA29" s="143">
        <f t="shared" si="5"/>
        <v>0.41579137791875181</v>
      </c>
    </row>
    <row r="30" spans="2:27" hidden="1">
      <c r="B30" s="299" t="s">
        <v>643</v>
      </c>
      <c r="C30" s="285" t="s">
        <v>634</v>
      </c>
      <c r="D30" s="142" t="str">
        <f>VLOOKUP($C30,[1]Assortment!$F:$BA,5,0)</f>
        <v>267030舒洁湿厕纸旅行装10包装</v>
      </c>
      <c r="E30" s="1">
        <f>VLOOKUP($C30,[1]Assortment!$F:$AM,7,0)</f>
        <v>4</v>
      </c>
      <c r="F30" s="1">
        <f>VLOOKUP($C30,[1]Assortment!$F:$AM,31,0)</f>
        <v>40</v>
      </c>
      <c r="G30" s="291">
        <f>VLOOKUP($C30,[1]Assortment!$F:$AM,14,0)</f>
        <v>151.33000000000001</v>
      </c>
      <c r="H30" s="287">
        <f t="shared" si="0"/>
        <v>37.832500000000003</v>
      </c>
      <c r="I30" s="150">
        <v>1</v>
      </c>
      <c r="J30" s="292"/>
      <c r="K30" s="300">
        <v>1.0634917229424778</v>
      </c>
      <c r="L30" s="302">
        <f t="shared" si="1"/>
        <v>1.2017456469249999</v>
      </c>
      <c r="M30" s="302"/>
      <c r="N30" s="302"/>
      <c r="O30" s="302"/>
      <c r="P30" s="303" t="e">
        <f>#REF!/1.13</f>
        <v>#REF!</v>
      </c>
      <c r="Q30" s="303"/>
      <c r="R30" s="298">
        <v>1.0634917229424778</v>
      </c>
      <c r="S30" s="293"/>
      <c r="T30" s="294"/>
      <c r="U30" s="295"/>
      <c r="V30" s="148">
        <f t="shared" si="2"/>
        <v>151.33000000000001</v>
      </c>
      <c r="W30" s="296">
        <f t="shared" si="3"/>
        <v>37.645724705928423</v>
      </c>
      <c r="X30" s="297">
        <f>VLOOKUP(C30,'[3]Cost YTD'!$A:$L,12,0)</f>
        <v>0.19361901119079922</v>
      </c>
      <c r="Y30" s="143">
        <v>2.7E-2</v>
      </c>
      <c r="Z30" s="296">
        <f t="shared" si="4"/>
        <v>4.2594497424247777</v>
      </c>
      <c r="AA30" s="143">
        <f t="shared" si="5"/>
        <v>0.11314564338175703</v>
      </c>
    </row>
    <row r="31" spans="2:27" hidden="1">
      <c r="B31" s="299" t="s">
        <v>643</v>
      </c>
      <c r="C31" s="285" t="s">
        <v>497</v>
      </c>
      <c r="D31" s="142" t="str">
        <f>VLOOKUP($C31,[1]Assortment!$F:$BA,5,0)</f>
        <v>269430舒洁湿厕纸家庭装40抽</v>
      </c>
      <c r="E31" s="1">
        <f>VLOOKUP($C31,[1]Assortment!$F:$AM,7,0)</f>
        <v>40</v>
      </c>
      <c r="F31" s="1">
        <f>VLOOKUP($C31,[1]Assortment!$F:$AM,31,0)</f>
        <v>40</v>
      </c>
      <c r="G31" s="291">
        <f>VLOOKUP($C31,[1]Assortment!$F:$AM,14,0)</f>
        <v>367.52</v>
      </c>
      <c r="H31" s="287">
        <f t="shared" si="0"/>
        <v>9.1879999999999988</v>
      </c>
      <c r="I31" s="150">
        <v>1</v>
      </c>
      <c r="J31" s="292"/>
      <c r="K31" s="300">
        <v>3.8500222393141597</v>
      </c>
      <c r="L31" s="302">
        <f t="shared" si="1"/>
        <v>4.3505251304249999</v>
      </c>
      <c r="M31" s="302"/>
      <c r="N31" s="302"/>
      <c r="O31" s="302"/>
      <c r="P31" s="303" t="e">
        <f>#REF!/1.13</f>
        <v>#REF!</v>
      </c>
      <c r="Q31" s="303"/>
      <c r="R31" s="298">
        <v>3.8500222393141597</v>
      </c>
      <c r="S31" s="293"/>
      <c r="T31" s="294"/>
      <c r="U31" s="295"/>
      <c r="V31" s="148">
        <f t="shared" si="2"/>
        <v>367.52</v>
      </c>
      <c r="W31" s="296">
        <f t="shared" si="3"/>
        <v>136.28397307306761</v>
      </c>
      <c r="X31" s="297">
        <f>VLOOKUP(C31,'[3]Cost YTD'!$A:$L,12,0)</f>
        <v>0.23244983260668389</v>
      </c>
      <c r="Y31" s="143">
        <v>2.7E-2</v>
      </c>
      <c r="Z31" s="296">
        <f t="shared" si="4"/>
        <v>40.930970593459151</v>
      </c>
      <c r="AA31" s="143">
        <f t="shared" si="5"/>
        <v>0.30033590649367348</v>
      </c>
    </row>
    <row r="32" spans="2:27" hidden="1">
      <c r="B32" s="299" t="s">
        <v>643</v>
      </c>
      <c r="C32" s="285" t="s">
        <v>8</v>
      </c>
      <c r="D32" s="142" t="str">
        <f>VLOOKUP($C32,[1]Assortment!$F:$BA,5,0)</f>
        <v>269440舒洁湿厕纸家庭装40抽10包装</v>
      </c>
      <c r="E32" s="1">
        <f>VLOOKUP($C32,[1]Assortment!$F:$AM,7,0)</f>
        <v>4</v>
      </c>
      <c r="F32" s="1">
        <f>VLOOKUP($C32,[1]Assortment!$F:$AM,31,0)</f>
        <v>40</v>
      </c>
      <c r="G32" s="291">
        <f>VLOOKUP($C32,[1]Assortment!$F:$AM,14,0)</f>
        <v>330.25</v>
      </c>
      <c r="H32" s="287">
        <f t="shared" si="0"/>
        <v>82.5625</v>
      </c>
      <c r="I32" s="150">
        <v>1</v>
      </c>
      <c r="J32" s="292"/>
      <c r="K32" s="300">
        <v>3.0354980707079644</v>
      </c>
      <c r="L32" s="302">
        <f t="shared" si="1"/>
        <v>3.4301128198999993</v>
      </c>
      <c r="M32" s="302"/>
      <c r="N32" s="302"/>
      <c r="O32" s="302"/>
      <c r="P32" s="303" t="e">
        <f>#REF!/1.13</f>
        <v>#REF!</v>
      </c>
      <c r="Q32" s="303"/>
      <c r="R32" s="298">
        <v>3.0354980707079644</v>
      </c>
      <c r="S32" s="293"/>
      <c r="T32" s="294"/>
      <c r="U32" s="295"/>
      <c r="V32" s="148">
        <f t="shared" si="2"/>
        <v>330.25</v>
      </c>
      <c r="W32" s="296">
        <f t="shared" si="3"/>
        <v>107.45125914010494</v>
      </c>
      <c r="X32" s="297">
        <f>VLOOKUP(C32,'[3]Cost YTD'!$A:$L,12,0)</f>
        <v>0.26998220956803232</v>
      </c>
      <c r="Y32" s="143">
        <v>2.7E-2</v>
      </c>
      <c r="Z32" s="296">
        <f t="shared" si="4"/>
        <v>9.3728844302622605</v>
      </c>
      <c r="AA32" s="143">
        <f t="shared" si="5"/>
        <v>8.7229172605981495E-2</v>
      </c>
    </row>
    <row r="33" spans="2:27" hidden="1">
      <c r="B33" s="299" t="s">
        <v>643</v>
      </c>
      <c r="C33" s="285" t="s">
        <v>635</v>
      </c>
      <c r="D33" s="142" t="e">
        <f>VLOOKUP($C33,[1]Assortment!$F:$BA,5,0)</f>
        <v>#N/A</v>
      </c>
      <c r="E33" s="1" t="e">
        <f>VLOOKUP($C33,[1]Assortment!$F:$AM,7,0)</f>
        <v>#N/A</v>
      </c>
      <c r="F33" s="1" t="e">
        <f>VLOOKUP($C33,[1]Assortment!$F:$AM,31,0)</f>
        <v>#N/A</v>
      </c>
      <c r="G33" s="291" t="e">
        <f>VLOOKUP($C33,[1]Assortment!$F:$AM,14,0)</f>
        <v>#N/A</v>
      </c>
      <c r="H33" s="287" t="e">
        <f t="shared" si="0"/>
        <v>#N/A</v>
      </c>
      <c r="I33" s="150">
        <v>1</v>
      </c>
      <c r="J33" s="292"/>
      <c r="K33" s="300">
        <v>5.7860902654867266</v>
      </c>
      <c r="L33" s="302">
        <f t="shared" si="1"/>
        <v>6.5382820000000006</v>
      </c>
      <c r="M33" s="302"/>
      <c r="N33" s="302"/>
      <c r="O33" s="302"/>
      <c r="P33" s="303" t="e">
        <f>#REF!/1.13</f>
        <v>#REF!</v>
      </c>
      <c r="Q33" s="303"/>
      <c r="R33" s="298">
        <v>5.7860902654867266</v>
      </c>
      <c r="S33" s="293"/>
      <c r="T33" s="294"/>
      <c r="U33" s="295"/>
      <c r="V33" s="148" t="e">
        <f t="shared" si="2"/>
        <v>#N/A</v>
      </c>
      <c r="W33" s="296" t="e">
        <f t="shared" si="3"/>
        <v>#N/A</v>
      </c>
      <c r="X33" s="297" t="e">
        <f>VLOOKUP(C33,'[3]Cost YTD'!$A:$L,12,0)</f>
        <v>#N/A</v>
      </c>
      <c r="Y33" s="143">
        <v>2.7E-2</v>
      </c>
      <c r="Z33" s="296" t="e">
        <f t="shared" si="4"/>
        <v>#N/A</v>
      </c>
      <c r="AA33" s="143" t="e">
        <f t="shared" si="5"/>
        <v>#N/A</v>
      </c>
    </row>
    <row r="34" spans="2:27" hidden="1">
      <c r="B34" s="299" t="s">
        <v>643</v>
      </c>
      <c r="C34" s="285" t="s">
        <v>511</v>
      </c>
      <c r="D34" s="142" t="str">
        <f>VLOOKUP($C34,[1]Assortment!$F:$BA,5,0)</f>
        <v>266100舒洁湿厕纸80片x3包</v>
      </c>
      <c r="E34" s="1">
        <f>VLOOKUP($C34,[1]Assortment!$F:$AM,7,0)</f>
        <v>8</v>
      </c>
      <c r="F34" s="1">
        <f>VLOOKUP($C34,[1]Assortment!$F:$AM,31,0)</f>
        <v>24</v>
      </c>
      <c r="G34" s="291">
        <f>VLOOKUP($C34,[1]Assortment!$F:$AM,14,0)</f>
        <v>310.48</v>
      </c>
      <c r="H34" s="287">
        <f t="shared" si="0"/>
        <v>38.81</v>
      </c>
      <c r="I34" s="150">
        <v>1</v>
      </c>
      <c r="J34" s="292"/>
      <c r="K34" s="300">
        <v>6.4260592920353981</v>
      </c>
      <c r="L34" s="302">
        <f t="shared" si="1"/>
        <v>7.2614469999999995</v>
      </c>
      <c r="M34" s="302"/>
      <c r="N34" s="302"/>
      <c r="O34" s="302"/>
      <c r="P34" s="303" t="e">
        <f>#REF!/1.13</f>
        <v>#REF!</v>
      </c>
      <c r="Q34" s="303"/>
      <c r="R34" s="298">
        <v>6.4260592920353981</v>
      </c>
      <c r="S34" s="293"/>
      <c r="T34" s="294"/>
      <c r="U34" s="295"/>
      <c r="V34" s="148">
        <f t="shared" si="2"/>
        <v>310.48</v>
      </c>
      <c r="W34" s="296">
        <f t="shared" si="3"/>
        <v>136.48267522907042</v>
      </c>
      <c r="X34" s="297">
        <f>VLOOKUP(C34,'[3]Cost YTD'!$A:$L,12,0)</f>
        <v>0.29821889159854614</v>
      </c>
      <c r="Y34" s="143">
        <v>2.7E-2</v>
      </c>
      <c r="Z34" s="296">
        <f t="shared" si="4"/>
        <v>35.508713765553807</v>
      </c>
      <c r="AA34" s="143">
        <f t="shared" si="5"/>
        <v>0.26017011833887727</v>
      </c>
    </row>
    <row r="35" spans="2:27" hidden="1">
      <c r="B35" s="299" t="s">
        <v>643</v>
      </c>
      <c r="C35" s="285" t="s">
        <v>636</v>
      </c>
      <c r="D35" s="142" t="str">
        <f>VLOOKUP($C35,[1]Assortment!$F:$BA,5,0)</f>
        <v xml:space="preserve">266200舒洁湿厕纸80片x6包 </v>
      </c>
      <c r="E35" s="1">
        <f>VLOOKUP($C35,[1]Assortment!$F:$AM,7,0)</f>
        <v>1</v>
      </c>
      <c r="F35" s="1">
        <f>VLOOKUP($C35,[1]Assortment!$F:$AM,31,0)</f>
        <v>6</v>
      </c>
      <c r="G35" s="291">
        <f>VLOOKUP($C35,[1]Assortment!$F:$AM,14,0)</f>
        <v>69.44</v>
      </c>
      <c r="H35" s="287">
        <f t="shared" si="0"/>
        <v>69.44</v>
      </c>
      <c r="I35" s="150">
        <v>1</v>
      </c>
      <c r="J35" s="292"/>
      <c r="K35" s="300">
        <v>5.320941592920355</v>
      </c>
      <c r="L35" s="302">
        <f t="shared" si="1"/>
        <v>6.0126640000000009</v>
      </c>
      <c r="M35" s="302"/>
      <c r="N35" s="302"/>
      <c r="O35" s="302"/>
      <c r="P35" s="303" t="e">
        <f>#REF!/1.13</f>
        <v>#REF!</v>
      </c>
      <c r="Q35" s="303"/>
      <c r="R35" s="298">
        <v>5.320941592920355</v>
      </c>
      <c r="S35" s="293"/>
      <c r="T35" s="294"/>
      <c r="U35" s="295"/>
      <c r="V35" s="148">
        <f t="shared" ref="V35:V66" si="6">G35*I35</f>
        <v>69.44</v>
      </c>
      <c r="W35" s="296">
        <f t="shared" ref="W35:W66" si="7">R35*F35*I35/1.13</f>
        <v>28.252787219046134</v>
      </c>
      <c r="X35" s="297">
        <f>VLOOKUP(C35,'[3]Cost YTD'!$A:$L,12,0)</f>
        <v>0.32389512456073061</v>
      </c>
      <c r="Y35" s="143">
        <v>2.7E-2</v>
      </c>
      <c r="Z35" s="296">
        <f t="shared" si="4"/>
        <v>3.8866297695489997</v>
      </c>
      <c r="AA35" s="143">
        <f t="shared" si="5"/>
        <v>0.1375662422052609</v>
      </c>
    </row>
    <row r="36" spans="2:27" hidden="1">
      <c r="B36" s="299" t="s">
        <v>643</v>
      </c>
      <c r="C36" s="284" t="s">
        <v>227</v>
      </c>
      <c r="D36" s="142" t="str">
        <f>VLOOKUP($C36,[1]Assortment!$F:$BA,5,0)</f>
        <v>270190舒洁小熊印花手帕纸3层10包FSC mix70%</v>
      </c>
      <c r="E36" s="1">
        <f>VLOOKUP($C36,[1]Assortment!$F:$AM,7,0)</f>
        <v>36</v>
      </c>
      <c r="F36" s="1">
        <f>VLOOKUP($C36,[1]Assortment!$F:$AM,31,0)</f>
        <v>360</v>
      </c>
      <c r="G36" s="291">
        <f>VLOOKUP($C36,[1]Assortment!$F:$AM,14,0)</f>
        <v>208.46834000000001</v>
      </c>
      <c r="H36" s="287">
        <f t="shared" si="0"/>
        <v>5.7907872222222228</v>
      </c>
      <c r="I36" s="150">
        <v>1</v>
      </c>
      <c r="J36" s="292"/>
      <c r="K36" s="300">
        <v>0.45221238938053104</v>
      </c>
      <c r="L36" s="302">
        <f t="shared" si="1"/>
        <v>0.51100000000000001</v>
      </c>
      <c r="M36" s="302"/>
      <c r="N36" s="302"/>
      <c r="O36" s="302"/>
      <c r="P36" s="303" t="e">
        <f>#REF!/1.13</f>
        <v>#REF!</v>
      </c>
      <c r="Q36" s="303"/>
      <c r="R36" s="298">
        <v>0.45221238938053104</v>
      </c>
      <c r="S36" s="293"/>
      <c r="T36" s="294"/>
      <c r="U36" s="295"/>
      <c r="V36" s="148">
        <f t="shared" si="6"/>
        <v>208.46834000000001</v>
      </c>
      <c r="W36" s="296">
        <f t="shared" si="7"/>
        <v>144.06766387344354</v>
      </c>
      <c r="X36" s="297">
        <f>VLOOKUP(C36,'[3]Cost YTD'!$A:$L,12,0)</f>
        <v>0.43247839805493093</v>
      </c>
      <c r="Y36" s="143">
        <v>2.7E-2</v>
      </c>
      <c r="Z36" s="296">
        <f t="shared" si="4"/>
        <v>48.28096496507284</v>
      </c>
      <c r="AA36" s="143">
        <f t="shared" si="5"/>
        <v>0.33512700676180418</v>
      </c>
    </row>
    <row r="37" spans="2:27" hidden="1">
      <c r="B37" s="299" t="s">
        <v>643</v>
      </c>
      <c r="C37" s="284" t="s">
        <v>8</v>
      </c>
      <c r="D37" s="142" t="str">
        <f>VLOOKUP($C37,[1]Assortment!$F:$BA,5,0)</f>
        <v>269440舒洁湿厕纸家庭装40抽10包装</v>
      </c>
      <c r="E37" s="1">
        <f>VLOOKUP($C37,[1]Assortment!$F:$AM,7,0)</f>
        <v>4</v>
      </c>
      <c r="F37" s="1">
        <f>VLOOKUP($C37,[1]Assortment!$F:$AM,31,0)</f>
        <v>40</v>
      </c>
      <c r="G37" s="291">
        <f>VLOOKUP($C37,[1]Assortment!$F:$AM,14,0)</f>
        <v>330.25</v>
      </c>
      <c r="H37" s="287">
        <f t="shared" si="0"/>
        <v>82.5625</v>
      </c>
      <c r="I37" s="150">
        <v>1</v>
      </c>
      <c r="J37" s="292"/>
      <c r="K37" s="300">
        <v>3.3017699115044246</v>
      </c>
      <c r="L37" s="302">
        <f t="shared" si="1"/>
        <v>3.7309999999999994</v>
      </c>
      <c r="M37" s="302"/>
      <c r="N37" s="302"/>
      <c r="O37" s="302"/>
      <c r="P37" s="303" t="e">
        <f>#REF!/1.13</f>
        <v>#REF!</v>
      </c>
      <c r="Q37" s="303"/>
      <c r="R37" s="298">
        <v>3.3017699115044246</v>
      </c>
      <c r="S37" s="293"/>
      <c r="T37" s="294"/>
      <c r="U37" s="295"/>
      <c r="V37" s="148">
        <f t="shared" si="6"/>
        <v>330.25</v>
      </c>
      <c r="W37" s="296">
        <f t="shared" si="7"/>
        <v>116.8768110267053</v>
      </c>
      <c r="X37" s="297">
        <f>VLOOKUP(C37,'[3]Cost YTD'!$A:$L,12,0)</f>
        <v>0.26998220956803232</v>
      </c>
      <c r="Y37" s="143">
        <v>2.7E-2</v>
      </c>
      <c r="Z37" s="296">
        <f t="shared" si="4"/>
        <v>18.79843631686262</v>
      </c>
      <c r="AA37" s="143">
        <f t="shared" si="5"/>
        <v>0.16083974358752265</v>
      </c>
    </row>
    <row r="38" spans="2:27" hidden="1">
      <c r="B38" s="299" t="s">
        <v>643</v>
      </c>
      <c r="C38" s="284" t="s">
        <v>19</v>
      </c>
      <c r="D38" s="142" t="str">
        <f>VLOOKUP($C38,[1]Assortment!$F:$BA,5,0)</f>
        <v>269430舒洁湿厕纸家庭装40抽</v>
      </c>
      <c r="E38" s="1">
        <f>VLOOKUP($C38,[1]Assortment!$F:$AM,7,0)</f>
        <v>40</v>
      </c>
      <c r="F38" s="1">
        <f>VLOOKUP($C38,[1]Assortment!$F:$AM,31,0)</f>
        <v>40</v>
      </c>
      <c r="G38" s="291">
        <f>VLOOKUP($C38,[1]Assortment!$F:$AM,14,0)</f>
        <v>367.52</v>
      </c>
      <c r="H38" s="287">
        <f t="shared" si="0"/>
        <v>9.1879999999999988</v>
      </c>
      <c r="I38" s="150">
        <v>1</v>
      </c>
      <c r="J38" s="292"/>
      <c r="K38" s="300">
        <v>4.1628318584070794</v>
      </c>
      <c r="L38" s="302">
        <f t="shared" si="1"/>
        <v>4.7039999999999988</v>
      </c>
      <c r="M38" s="302"/>
      <c r="N38" s="302"/>
      <c r="O38" s="302"/>
      <c r="P38" s="303" t="e">
        <f>#REF!/1.13</f>
        <v>#REF!</v>
      </c>
      <c r="Q38" s="303"/>
      <c r="R38" s="298">
        <v>4.1628318584070794</v>
      </c>
      <c r="S38" s="293"/>
      <c r="T38" s="294"/>
      <c r="U38" s="295"/>
      <c r="V38" s="148">
        <f t="shared" si="6"/>
        <v>367.52</v>
      </c>
      <c r="W38" s="296">
        <f t="shared" si="7"/>
        <v>147.35687994361345</v>
      </c>
      <c r="X38" s="297">
        <f>VLOOKUP(C38,'[3]Cost YTD'!$A:$L,12,0)</f>
        <v>0.23244983260668389</v>
      </c>
      <c r="Y38" s="143">
        <v>2.7E-2</v>
      </c>
      <c r="Z38" s="296">
        <f t="shared" si="4"/>
        <v>52.003877464004987</v>
      </c>
      <c r="AA38" s="143">
        <f t="shared" si="5"/>
        <v>0.35291109233518264</v>
      </c>
    </row>
    <row r="39" spans="2:27" hidden="1">
      <c r="B39" s="299" t="s">
        <v>643</v>
      </c>
      <c r="C39" s="284" t="s">
        <v>118</v>
      </c>
      <c r="D39" s="142" t="str">
        <f>VLOOKUP($C39,[1]Assortment!$F:$BA,5,0)</f>
        <v>268220舒洁女性湿厕纸10包装</v>
      </c>
      <c r="E39" s="1">
        <f>VLOOKUP($C39,[1]Assortment!$F:$AM,7,0)</f>
        <v>4</v>
      </c>
      <c r="F39" s="1">
        <f>VLOOKUP($C39,[1]Assortment!$F:$AM,31,0)</f>
        <v>40</v>
      </c>
      <c r="G39" s="291">
        <f>VLOOKUP($C39,[1]Assortment!$F:$AM,14,0)</f>
        <v>255.40530999999999</v>
      </c>
      <c r="H39" s="287">
        <f t="shared" si="0"/>
        <v>63.851327499999996</v>
      </c>
      <c r="I39" s="150">
        <v>1</v>
      </c>
      <c r="J39" s="292"/>
      <c r="K39" s="300">
        <v>2.6761061946902656</v>
      </c>
      <c r="L39" s="302">
        <f t="shared" si="1"/>
        <v>3.0239999999999996</v>
      </c>
      <c r="M39" s="302"/>
      <c r="N39" s="302"/>
      <c r="O39" s="302"/>
      <c r="P39" s="303" t="e">
        <f>#REF!/1.13</f>
        <v>#REF!</v>
      </c>
      <c r="Q39" s="303"/>
      <c r="R39" s="298">
        <v>2.6761061946902656</v>
      </c>
      <c r="S39" s="293"/>
      <c r="T39" s="294"/>
      <c r="U39" s="295"/>
      <c r="V39" s="148">
        <f t="shared" si="6"/>
        <v>255.40530999999999</v>
      </c>
      <c r="W39" s="296">
        <f t="shared" si="7"/>
        <v>94.729422820894371</v>
      </c>
      <c r="X39" s="297">
        <f>VLOOKUP(C39,'[3]Cost YTD'!$A:$L,12,0)</f>
        <v>0.2341979756724677</v>
      </c>
      <c r="Y39" s="143">
        <v>2.7E-2</v>
      </c>
      <c r="Z39" s="296">
        <f t="shared" si="4"/>
        <v>28.018072872895303</v>
      </c>
      <c r="AA39" s="143">
        <f t="shared" si="5"/>
        <v>0.29576948785879636</v>
      </c>
    </row>
    <row r="40" spans="2:27" hidden="1">
      <c r="B40" s="299" t="s">
        <v>643</v>
      </c>
      <c r="C40" s="284" t="s">
        <v>112</v>
      </c>
      <c r="D40" s="142" t="str">
        <f>VLOOKUP($C40,[1]Assortment!$F:$BA,5,0)</f>
        <v>267400舒洁山茶花系列湿厕纸60片x4包</v>
      </c>
      <c r="E40" s="1">
        <f>VLOOKUP($C40,[1]Assortment!$F:$AM,7,0)</f>
        <v>1</v>
      </c>
      <c r="F40" s="1">
        <f>VLOOKUP($C40,[1]Assortment!$F:$AM,31,0)</f>
        <v>4</v>
      </c>
      <c r="G40" s="291">
        <f>VLOOKUP($C40,[1]Assortment!$F:$AM,14,0)</f>
        <v>41.9</v>
      </c>
      <c r="H40" s="287">
        <f t="shared" si="0"/>
        <v>41.9</v>
      </c>
      <c r="I40" s="150">
        <v>1</v>
      </c>
      <c r="J40" s="292"/>
      <c r="K40" s="300">
        <v>5.7610619469026556</v>
      </c>
      <c r="L40" s="302">
        <f t="shared" si="1"/>
        <v>6.51</v>
      </c>
      <c r="M40" s="302"/>
      <c r="N40" s="302"/>
      <c r="O40" s="302"/>
      <c r="P40" s="303" t="e">
        <f>#REF!/1.13</f>
        <v>#REF!</v>
      </c>
      <c r="Q40" s="303"/>
      <c r="R40" s="298">
        <v>5.7610619469026556</v>
      </c>
      <c r="S40" s="293"/>
      <c r="T40" s="294"/>
      <c r="U40" s="295"/>
      <c r="V40" s="148">
        <f t="shared" si="6"/>
        <v>41.9</v>
      </c>
      <c r="W40" s="296">
        <f t="shared" si="7"/>
        <v>20.39313963505365</v>
      </c>
      <c r="X40" s="297">
        <f>VLOOKUP(C40,'[3]Cost YTD'!$A:$L,12,0)</f>
        <v>0.36133012658561275</v>
      </c>
      <c r="Y40" s="143">
        <v>2.7E-2</v>
      </c>
      <c r="Z40" s="296">
        <f t="shared" si="4"/>
        <v>4.1221073311164744</v>
      </c>
      <c r="AA40" s="143">
        <f t="shared" si="5"/>
        <v>0.2021320603342022</v>
      </c>
    </row>
    <row r="41" spans="2:27" hidden="1">
      <c r="B41" s="299" t="s">
        <v>643</v>
      </c>
      <c r="C41" s="284" t="s">
        <v>104</v>
      </c>
      <c r="D41" s="142" t="str">
        <f>VLOOKUP($C41,[1]Assortment!$F:$BA,5,0)</f>
        <v>267300舒洁山茶花系列湿厕纸60片</v>
      </c>
      <c r="E41" s="1">
        <f>VLOOKUP($C41,[1]Assortment!$F:$AM,7,0)</f>
        <v>24</v>
      </c>
      <c r="F41" s="1">
        <f>VLOOKUP($C41,[1]Assortment!$F:$AM,31,0)</f>
        <v>24</v>
      </c>
      <c r="G41" s="291">
        <f>VLOOKUP($C41,[1]Assortment!$F:$AM,14,0)</f>
        <v>244.8</v>
      </c>
      <c r="H41" s="287">
        <f t="shared" si="0"/>
        <v>10.200000000000001</v>
      </c>
      <c r="I41" s="150">
        <v>1</v>
      </c>
      <c r="J41" s="292"/>
      <c r="K41" s="300">
        <v>6.2566371681415927</v>
      </c>
      <c r="L41" s="302">
        <f t="shared" si="1"/>
        <v>7.0699999999999994</v>
      </c>
      <c r="M41" s="302"/>
      <c r="N41" s="302"/>
      <c r="O41" s="302"/>
      <c r="P41" s="303" t="e">
        <f>#REF!/1.13</f>
        <v>#REF!</v>
      </c>
      <c r="Q41" s="303"/>
      <c r="R41" s="298">
        <v>6.2566371681415927</v>
      </c>
      <c r="S41" s="293"/>
      <c r="T41" s="294"/>
      <c r="U41" s="295"/>
      <c r="V41" s="148">
        <f t="shared" si="6"/>
        <v>244.8</v>
      </c>
      <c r="W41" s="296">
        <f t="shared" si="7"/>
        <v>132.88432923486567</v>
      </c>
      <c r="X41" s="297">
        <f>VLOOKUP(C41,'[3]Cost YTD'!$A:$L,12,0)</f>
        <v>0.36023809478885227</v>
      </c>
      <c r="Y41" s="143">
        <v>2.7E-2</v>
      </c>
      <c r="Z41" s="296">
        <f t="shared" si="4"/>
        <v>38.088443630554622</v>
      </c>
      <c r="AA41" s="143">
        <f t="shared" si="5"/>
        <v>0.28662855770777462</v>
      </c>
    </row>
    <row r="42" spans="2:27" hidden="1">
      <c r="B42" s="299" t="s">
        <v>643</v>
      </c>
      <c r="C42" s="284" t="s">
        <v>77</v>
      </c>
      <c r="D42" s="142" t="str">
        <f>VLOOKUP($C42,[1]Assortment!$F:$BA,5,0)</f>
        <v>267030舒洁湿厕纸旅行装10包装</v>
      </c>
      <c r="E42" s="1">
        <f>VLOOKUP($C42,[1]Assortment!$F:$AM,7,0)</f>
        <v>4</v>
      </c>
      <c r="F42" s="1">
        <f>VLOOKUP($C42,[1]Assortment!$F:$AM,31,0)</f>
        <v>40</v>
      </c>
      <c r="G42" s="291">
        <f>VLOOKUP($C42,[1]Assortment!$F:$AM,14,0)</f>
        <v>151.33000000000001</v>
      </c>
      <c r="H42" s="287">
        <f t="shared" si="0"/>
        <v>37.832500000000003</v>
      </c>
      <c r="I42" s="150">
        <v>1</v>
      </c>
      <c r="J42" s="292"/>
      <c r="K42" s="300">
        <v>1.1955752212389379</v>
      </c>
      <c r="L42" s="302">
        <f t="shared" si="1"/>
        <v>1.3509999999999998</v>
      </c>
      <c r="M42" s="302"/>
      <c r="N42" s="302"/>
      <c r="O42" s="302"/>
      <c r="P42" s="303" t="e">
        <f>#REF!/1.13</f>
        <v>#REF!</v>
      </c>
      <c r="Q42" s="303"/>
      <c r="R42" s="298">
        <v>1.1955752212389379</v>
      </c>
      <c r="S42" s="293"/>
      <c r="T42" s="294"/>
      <c r="U42" s="295"/>
      <c r="V42" s="148">
        <f t="shared" si="6"/>
        <v>151.33000000000001</v>
      </c>
      <c r="W42" s="296">
        <f t="shared" si="7"/>
        <v>42.321246769519931</v>
      </c>
      <c r="X42" s="297">
        <f>VLOOKUP(C42,'[3]Cost YTD'!$A:$L,12,0)</f>
        <v>0.19361901119079922</v>
      </c>
      <c r="Y42" s="143">
        <v>2.7E-2</v>
      </c>
      <c r="Z42" s="296">
        <f t="shared" si="4"/>
        <v>8.9349718060162857</v>
      </c>
      <c r="AA42" s="143">
        <f t="shared" si="5"/>
        <v>0.21112260361032931</v>
      </c>
    </row>
    <row r="43" spans="2:27" hidden="1">
      <c r="B43" s="299" t="s">
        <v>643</v>
      </c>
      <c r="C43" s="284" t="s">
        <v>70</v>
      </c>
      <c r="D43" s="142" t="str">
        <f>VLOOKUP($C43,[1]Assortment!$F:$BA,5,0)</f>
        <v>266600舒洁湿厕纸100片x6包-植物双萃</v>
      </c>
      <c r="E43" s="1">
        <f>VLOOKUP($C43,[1]Assortment!$F:$AM,7,0)</f>
        <v>1</v>
      </c>
      <c r="F43" s="1">
        <f>VLOOKUP($C43,[1]Assortment!$F:$AM,31,0)</f>
        <v>6</v>
      </c>
      <c r="G43" s="291">
        <f>VLOOKUP($C43,[1]Assortment!$F:$AM,14,0)</f>
        <v>86.8</v>
      </c>
      <c r="H43" s="287">
        <f t="shared" ref="H43:H68" si="8">G43/E43</f>
        <v>86.8</v>
      </c>
      <c r="I43" s="150">
        <v>1</v>
      </c>
      <c r="J43" s="292"/>
      <c r="K43" s="300">
        <v>7.784660766961653</v>
      </c>
      <c r="L43" s="302">
        <f t="shared" ref="L43:L68" si="9">K43*1.13</f>
        <v>8.7966666666666669</v>
      </c>
      <c r="M43" s="302"/>
      <c r="N43" s="302"/>
      <c r="O43" s="302"/>
      <c r="P43" s="303" t="e">
        <f>#REF!/1.13</f>
        <v>#REF!</v>
      </c>
      <c r="Q43" s="303"/>
      <c r="R43" s="298">
        <v>7.784660766961653</v>
      </c>
      <c r="S43" s="293"/>
      <c r="T43" s="294"/>
      <c r="U43" s="295"/>
      <c r="V43" s="148">
        <f t="shared" si="6"/>
        <v>86.8</v>
      </c>
      <c r="W43" s="296">
        <f t="shared" si="7"/>
        <v>41.334481948468955</v>
      </c>
      <c r="X43" s="297">
        <f>VLOOKUP(C43,'[3]Cost YTD'!$A:$L,12,0)</f>
        <v>0.32475112510666782</v>
      </c>
      <c r="Y43" s="143">
        <v>2.7E-2</v>
      </c>
      <c r="Z43" s="296">
        <f t="shared" ref="Z43:Z68" si="10">W43-V43*(X43+Y43)</f>
        <v>10.802484289210188</v>
      </c>
      <c r="AA43" s="143">
        <f t="shared" ref="AA43:AA68" si="11">Z43/W43</f>
        <v>0.26134316386685275</v>
      </c>
    </row>
    <row r="44" spans="2:27" hidden="1">
      <c r="B44" s="299" t="s">
        <v>643</v>
      </c>
      <c r="C44" s="284" t="s">
        <v>2</v>
      </c>
      <c r="D44" s="142" t="str">
        <f>VLOOKUP($C44,[1]Assortment!$F:$BA,5,0)</f>
        <v xml:space="preserve">266200舒洁湿厕纸80片x6包 </v>
      </c>
      <c r="E44" s="1">
        <f>VLOOKUP($C44,[1]Assortment!$F:$AM,7,0)</f>
        <v>1</v>
      </c>
      <c r="F44" s="1">
        <f>VLOOKUP($C44,[1]Assortment!$F:$AM,31,0)</f>
        <v>6</v>
      </c>
      <c r="G44" s="291">
        <f>VLOOKUP($C44,[1]Assortment!$F:$AM,14,0)</f>
        <v>69.44</v>
      </c>
      <c r="H44" s="287">
        <f t="shared" si="8"/>
        <v>69.44</v>
      </c>
      <c r="I44" s="150">
        <v>1</v>
      </c>
      <c r="J44" s="292"/>
      <c r="K44" s="300">
        <v>5.71976401179941</v>
      </c>
      <c r="L44" s="302">
        <f t="shared" si="9"/>
        <v>6.4633333333333329</v>
      </c>
      <c r="M44" s="302"/>
      <c r="N44" s="302"/>
      <c r="O44" s="302"/>
      <c r="P44" s="303" t="e">
        <f>#REF!/1.13</f>
        <v>#REF!</v>
      </c>
      <c r="Q44" s="303"/>
      <c r="R44" s="298">
        <v>5.71976401179941</v>
      </c>
      <c r="S44" s="293"/>
      <c r="T44" s="294"/>
      <c r="U44" s="295"/>
      <c r="V44" s="148">
        <f t="shared" si="6"/>
        <v>69.44</v>
      </c>
      <c r="W44" s="296">
        <f t="shared" si="7"/>
        <v>30.370428381235808</v>
      </c>
      <c r="X44" s="297">
        <f>VLOOKUP(C44,'[3]Cost YTD'!$A:$L,12,0)</f>
        <v>0.32389512456073061</v>
      </c>
      <c r="Y44" s="143">
        <v>2.7E-2</v>
      </c>
      <c r="Z44" s="296">
        <f t="shared" si="10"/>
        <v>6.0042709317386738</v>
      </c>
      <c r="AA44" s="143">
        <f t="shared" si="11"/>
        <v>0.1977012262180792</v>
      </c>
    </row>
    <row r="45" spans="2:27" hidden="1">
      <c r="B45" s="299" t="s">
        <v>643</v>
      </c>
      <c r="C45" s="284" t="s">
        <v>57</v>
      </c>
      <c r="D45" s="142" t="str">
        <f>VLOOKUP($C45,[1]Assortment!$F:$BA,5,0)</f>
        <v>266100舒洁湿厕纸80片x3包</v>
      </c>
      <c r="E45" s="1">
        <f>VLOOKUP($C45,[1]Assortment!$F:$AM,7,0)</f>
        <v>8</v>
      </c>
      <c r="F45" s="1">
        <f>VLOOKUP($C45,[1]Assortment!$F:$AM,31,0)</f>
        <v>24</v>
      </c>
      <c r="G45" s="291">
        <f>VLOOKUP($C45,[1]Assortment!$F:$AM,14,0)</f>
        <v>310.48</v>
      </c>
      <c r="H45" s="287">
        <f t="shared" si="8"/>
        <v>38.81</v>
      </c>
      <c r="I45" s="150">
        <v>1</v>
      </c>
      <c r="J45" s="292"/>
      <c r="K45" s="300">
        <v>6.8761061946902649</v>
      </c>
      <c r="L45" s="302">
        <f t="shared" si="9"/>
        <v>7.7699999999999987</v>
      </c>
      <c r="M45" s="302"/>
      <c r="N45" s="302"/>
      <c r="O45" s="302"/>
      <c r="P45" s="303" t="e">
        <f>#REF!/1.13</f>
        <v>#REF!</v>
      </c>
      <c r="Q45" s="303"/>
      <c r="R45" s="298">
        <v>6.8761061946902649</v>
      </c>
      <c r="S45" s="293"/>
      <c r="T45" s="294"/>
      <c r="U45" s="295"/>
      <c r="V45" s="148">
        <f t="shared" si="6"/>
        <v>310.48</v>
      </c>
      <c r="W45" s="296">
        <f t="shared" si="7"/>
        <v>146.04119351554544</v>
      </c>
      <c r="X45" s="297">
        <f>VLOOKUP(C45,'[3]Cost YTD'!$A:$L,12,0)</f>
        <v>0.29821889159854614</v>
      </c>
      <c r="Y45" s="143">
        <v>2.7E-2</v>
      </c>
      <c r="Z45" s="296">
        <f t="shared" si="10"/>
        <v>45.067232052028828</v>
      </c>
      <c r="AA45" s="143">
        <f t="shared" si="11"/>
        <v>0.30859260299890401</v>
      </c>
    </row>
    <row r="46" spans="2:27" hidden="1">
      <c r="B46" s="299" t="s">
        <v>643</v>
      </c>
      <c r="C46" s="284" t="s">
        <v>635</v>
      </c>
      <c r="D46" s="142" t="e">
        <f>VLOOKUP($C46,[1]Assortment!$F:$BA,5,0)</f>
        <v>#N/A</v>
      </c>
      <c r="E46" s="1" t="e">
        <f>VLOOKUP($C46,[1]Assortment!$F:$AM,7,0)</f>
        <v>#N/A</v>
      </c>
      <c r="F46" s="1" t="e">
        <f>VLOOKUP($C46,[1]Assortment!$F:$AM,31,0)</f>
        <v>#N/A</v>
      </c>
      <c r="G46" s="291" t="e">
        <f>VLOOKUP($C46,[1]Assortment!$F:$AM,14,0)</f>
        <v>#N/A</v>
      </c>
      <c r="H46" s="287" t="e">
        <f t="shared" si="8"/>
        <v>#N/A</v>
      </c>
      <c r="I46" s="150">
        <v>1</v>
      </c>
      <c r="J46" s="292"/>
      <c r="K46" s="300">
        <v>6.3805309734513278</v>
      </c>
      <c r="L46" s="302">
        <f t="shared" si="9"/>
        <v>7.21</v>
      </c>
      <c r="M46" s="302"/>
      <c r="N46" s="302"/>
      <c r="O46" s="302"/>
      <c r="P46" s="303" t="e">
        <f>#REF!/1.13</f>
        <v>#REF!</v>
      </c>
      <c r="Q46" s="303"/>
      <c r="R46" s="298">
        <v>6.3805309734513278</v>
      </c>
      <c r="S46" s="293"/>
      <c r="T46" s="294"/>
      <c r="U46" s="295"/>
      <c r="V46" s="148" t="e">
        <f t="shared" si="6"/>
        <v>#N/A</v>
      </c>
      <c r="W46" s="296" t="e">
        <f t="shared" si="7"/>
        <v>#N/A</v>
      </c>
      <c r="X46" s="297" t="e">
        <f>VLOOKUP(C46,'[3]Cost YTD'!$A:$L,12,0)</f>
        <v>#N/A</v>
      </c>
      <c r="Y46" s="143">
        <v>2.7E-2</v>
      </c>
      <c r="Z46" s="296" t="e">
        <f t="shared" si="10"/>
        <v>#N/A</v>
      </c>
      <c r="AA46" s="143" t="e">
        <f t="shared" si="11"/>
        <v>#N/A</v>
      </c>
    </row>
    <row r="47" spans="2:27" hidden="1">
      <c r="B47" s="299" t="s">
        <v>643</v>
      </c>
      <c r="C47" s="284" t="s">
        <v>96</v>
      </c>
      <c r="D47" s="142" t="str">
        <f>VLOOKUP($C47,[1]Assortment!$F:$BA,5,0)</f>
        <v>265500舒洁湿厕纸7抽6包装</v>
      </c>
      <c r="E47" s="1">
        <f>VLOOKUP($C47,[1]Assortment!$F:$AM,7,0)</f>
        <v>16</v>
      </c>
      <c r="F47" s="1">
        <f>VLOOKUP($C47,[1]Assortment!$F:$AM,31,0)</f>
        <v>96</v>
      </c>
      <c r="G47" s="291">
        <f>VLOOKUP($C47,[1]Assortment!$F:$AM,14,0)</f>
        <v>179.2</v>
      </c>
      <c r="H47" s="287">
        <f t="shared" si="8"/>
        <v>11.2</v>
      </c>
      <c r="I47" s="150">
        <v>1</v>
      </c>
      <c r="J47" s="292"/>
      <c r="K47" s="300">
        <v>1.1356932153392332</v>
      </c>
      <c r="L47" s="302">
        <f t="shared" si="9"/>
        <v>1.2833333333333334</v>
      </c>
      <c r="M47" s="302"/>
      <c r="N47" s="302"/>
      <c r="O47" s="302"/>
      <c r="P47" s="303" t="e">
        <f>#REF!/1.13</f>
        <v>#REF!</v>
      </c>
      <c r="Q47" s="303"/>
      <c r="R47" s="298">
        <v>1.1356932153392332</v>
      </c>
      <c r="S47" s="293"/>
      <c r="T47" s="294"/>
      <c r="U47" s="295"/>
      <c r="V47" s="148">
        <f t="shared" si="6"/>
        <v>179.2</v>
      </c>
      <c r="W47" s="296">
        <f t="shared" si="7"/>
        <v>96.483671391651669</v>
      </c>
      <c r="X47" s="297">
        <f>VLOOKUP(C47,'[3]Cost YTD'!$A:$L,12,0)</f>
        <v>0.2663167418092946</v>
      </c>
      <c r="Y47" s="143">
        <v>2.7E-2</v>
      </c>
      <c r="Z47" s="296">
        <f t="shared" si="10"/>
        <v>43.921311259426076</v>
      </c>
      <c r="AA47" s="143">
        <f t="shared" si="11"/>
        <v>0.4552201489217626</v>
      </c>
    </row>
    <row r="48" spans="2:27" hidden="1">
      <c r="B48" s="299" t="s">
        <v>643</v>
      </c>
      <c r="C48" s="284" t="s">
        <v>244</v>
      </c>
      <c r="D48" s="142" t="str">
        <f>VLOOKUP($C48,[1]Assortment!$F:$BA,5,0)</f>
        <v>261300舒洁无香湿巾单包装</v>
      </c>
      <c r="E48" s="1">
        <f>VLOOKUP($C48,[1]Assortment!$F:$AM,7,0)</f>
        <v>30</v>
      </c>
      <c r="F48" s="1">
        <f>VLOOKUP($C48,[1]Assortment!$F:$AM,31,0)</f>
        <v>30</v>
      </c>
      <c r="G48" s="291">
        <f>VLOOKUP($C48,[1]Assortment!$F:$AM,14,0)</f>
        <v>91.362830000000002</v>
      </c>
      <c r="H48" s="287">
        <f t="shared" si="8"/>
        <v>3.0454276666666669</v>
      </c>
      <c r="I48" s="150">
        <v>1</v>
      </c>
      <c r="J48" s="292"/>
      <c r="K48" s="300">
        <v>1.8274336283185839</v>
      </c>
      <c r="L48" s="302">
        <f t="shared" si="9"/>
        <v>2.0649999999999995</v>
      </c>
      <c r="M48" s="302"/>
      <c r="N48" s="302"/>
      <c r="O48" s="302"/>
      <c r="P48" s="303" t="e">
        <f>#REF!/1.13</f>
        <v>#REF!</v>
      </c>
      <c r="Q48" s="303"/>
      <c r="R48" s="298">
        <v>1.8274336283185839</v>
      </c>
      <c r="S48" s="293"/>
      <c r="T48" s="294"/>
      <c r="U48" s="295"/>
      <c r="V48" s="148">
        <f t="shared" si="6"/>
        <v>91.362830000000002</v>
      </c>
      <c r="W48" s="296">
        <f t="shared" si="7"/>
        <v>48.515937035006658</v>
      </c>
      <c r="X48" s="297">
        <f>VLOOKUP(C48,'[3]Cost YTD'!$A:$L,12,0)</f>
        <v>0.33841875289225204</v>
      </c>
      <c r="Y48" s="143">
        <v>2.7E-2</v>
      </c>
      <c r="Z48" s="296">
        <f t="shared" si="10"/>
        <v>15.130245635699822</v>
      </c>
      <c r="AA48" s="143">
        <f t="shared" si="11"/>
        <v>0.31186135031840356</v>
      </c>
    </row>
    <row r="49" spans="2:27" hidden="1">
      <c r="B49" s="299" t="s">
        <v>643</v>
      </c>
      <c r="C49" s="284" t="s">
        <v>236</v>
      </c>
      <c r="D49" s="142" t="str">
        <f>VLOOKUP($C49,[1]Assortment!$F:$BA,5,0)</f>
        <v>253000舒洁蚕丝洗脸巾80抽3包装</v>
      </c>
      <c r="E49" s="1">
        <f>VLOOKUP($C49,[1]Assortment!$F:$AM,7,0)</f>
        <v>6</v>
      </c>
      <c r="F49" s="1">
        <f>VLOOKUP($C49,[1]Assortment!$F:$AM,31,0)</f>
        <v>18</v>
      </c>
      <c r="G49" s="291">
        <f>VLOOKUP($C49,[1]Assortment!$F:$AM,14,0)</f>
        <v>358.2</v>
      </c>
      <c r="H49" s="287">
        <f t="shared" si="8"/>
        <v>59.699999999999996</v>
      </c>
      <c r="I49" s="150">
        <v>1</v>
      </c>
      <c r="J49" s="292"/>
      <c r="K49" s="300">
        <v>8.0943952802359878</v>
      </c>
      <c r="L49" s="302">
        <f t="shared" si="9"/>
        <v>9.1466666666666647</v>
      </c>
      <c r="M49" s="302"/>
      <c r="N49" s="302"/>
      <c r="O49" s="302"/>
      <c r="P49" s="303" t="e">
        <f>#REF!/1.13</f>
        <v>#REF!</v>
      </c>
      <c r="Q49" s="303"/>
      <c r="R49" s="298">
        <v>8.0943952802359878</v>
      </c>
      <c r="S49" s="293"/>
      <c r="T49" s="294"/>
      <c r="U49" s="295"/>
      <c r="V49" s="148">
        <f t="shared" si="6"/>
        <v>358.2</v>
      </c>
      <c r="W49" s="296">
        <f t="shared" si="7"/>
        <v>128.93726995066177</v>
      </c>
      <c r="X49" s="297">
        <f>VLOOKUP(C49,'[3]Cost YTD'!$A:$L,12,0)</f>
        <v>0.25617794633936342</v>
      </c>
      <c r="Y49" s="143">
        <v>2.7E-2</v>
      </c>
      <c r="Z49" s="296">
        <f t="shared" si="10"/>
        <v>27.502929571901788</v>
      </c>
      <c r="AA49" s="143">
        <f t="shared" si="11"/>
        <v>0.21330473014067899</v>
      </c>
    </row>
    <row r="50" spans="2:27" hidden="1">
      <c r="B50" s="299" t="s">
        <v>643</v>
      </c>
      <c r="C50" s="284" t="s">
        <v>195</v>
      </c>
      <c r="D50" s="142" t="str">
        <f>VLOOKUP($C50,[1]Assortment!$F:$BA,5,0)</f>
        <v>231216 舒洁马蹄莲盒面纸200抽3盒 FSC mix70%</v>
      </c>
      <c r="E50" s="1">
        <f>VLOOKUP($C50,[1]Assortment!$F:$AM,7,0)</f>
        <v>10</v>
      </c>
      <c r="F50" s="1">
        <f>VLOOKUP($C50,[1]Assortment!$F:$AM,31,0)</f>
        <v>30</v>
      </c>
      <c r="G50" s="291">
        <f>VLOOKUP($C50,[1]Assortment!$F:$AM,14,0)</f>
        <v>243.21306999999999</v>
      </c>
      <c r="H50" s="287">
        <f t="shared" si="8"/>
        <v>24.321306999999997</v>
      </c>
      <c r="I50" s="150">
        <v>1</v>
      </c>
      <c r="J50" s="292"/>
      <c r="K50" s="300">
        <v>5.8023598820058995</v>
      </c>
      <c r="L50" s="302">
        <f t="shared" si="9"/>
        <v>6.5566666666666658</v>
      </c>
      <c r="M50" s="302"/>
      <c r="N50" s="302"/>
      <c r="O50" s="302"/>
      <c r="P50" s="303" t="e">
        <f>#REF!/1.13</f>
        <v>#REF!</v>
      </c>
      <c r="Q50" s="303"/>
      <c r="R50" s="298">
        <v>5.8023598820058995</v>
      </c>
      <c r="S50" s="293"/>
      <c r="T50" s="294"/>
      <c r="U50" s="295"/>
      <c r="V50" s="148">
        <f t="shared" si="6"/>
        <v>243.21306999999999</v>
      </c>
      <c r="W50" s="296">
        <f t="shared" si="7"/>
        <v>154.04495261962566</v>
      </c>
      <c r="X50" s="297">
        <f>VLOOKUP(C50,'[3]Cost YTD'!$A:$L,12,0)</f>
        <v>0.40988132072151023</v>
      </c>
      <c r="Y50" s="143">
        <v>2.7E-2</v>
      </c>
      <c r="Z50" s="296">
        <f t="shared" si="10"/>
        <v>47.789705381292535</v>
      </c>
      <c r="AA50" s="143">
        <f t="shared" si="11"/>
        <v>0.31023220539589441</v>
      </c>
    </row>
    <row r="51" spans="2:27" hidden="1">
      <c r="B51" s="299" t="s">
        <v>643</v>
      </c>
      <c r="C51" s="284" t="s">
        <v>219</v>
      </c>
      <c r="D51" s="142" t="str">
        <f>VLOOKUP($C51,[1]Assortment!$F:$BA,5,0)</f>
        <v>229160舒洁绿茶洋甘菊印花清香卷纸10粒</v>
      </c>
      <c r="E51" s="1">
        <f>VLOOKUP($C51,[1]Assortment!$F:$AM,7,0)</f>
        <v>5</v>
      </c>
      <c r="F51" s="1">
        <f>VLOOKUP($C51,[1]Assortment!$F:$AM,31,0)</f>
        <v>50</v>
      </c>
      <c r="G51" s="291">
        <f>VLOOKUP($C51,[1]Assortment!$F:$AM,14,0)</f>
        <v>153.64888999999999</v>
      </c>
      <c r="H51" s="287">
        <f t="shared" si="8"/>
        <v>30.729778</v>
      </c>
      <c r="I51" s="150">
        <v>1</v>
      </c>
      <c r="J51" s="292"/>
      <c r="K51" s="300">
        <v>2.3663716814159299</v>
      </c>
      <c r="L51" s="302">
        <f t="shared" si="9"/>
        <v>2.6740000000000004</v>
      </c>
      <c r="M51" s="302"/>
      <c r="N51" s="302"/>
      <c r="O51" s="302"/>
      <c r="P51" s="303" t="e">
        <f>#REF!/1.13</f>
        <v>#REF!</v>
      </c>
      <c r="Q51" s="303"/>
      <c r="R51" s="298">
        <v>2.3663716814159299</v>
      </c>
      <c r="S51" s="293"/>
      <c r="T51" s="294"/>
      <c r="U51" s="295"/>
      <c r="V51" s="148">
        <f t="shared" si="6"/>
        <v>153.64888999999999</v>
      </c>
      <c r="W51" s="296">
        <f t="shared" si="7"/>
        <v>104.70671156707655</v>
      </c>
      <c r="X51" s="297">
        <f>VLOOKUP(C51,'[3]Cost YTD'!$A:$L,12,0)</f>
        <v>0.50615632874392735</v>
      </c>
      <c r="Y51" s="143">
        <v>2.7E-2</v>
      </c>
      <c r="Z51" s="296">
        <f t="shared" si="10"/>
        <v>22.787833459097016</v>
      </c>
      <c r="AA51" s="143">
        <f t="shared" si="11"/>
        <v>0.21763488813703041</v>
      </c>
    </row>
    <row r="52" spans="2:27" hidden="1">
      <c r="B52" s="299" t="s">
        <v>643</v>
      </c>
      <c r="C52" s="284" t="s">
        <v>211</v>
      </c>
      <c r="D52" s="142" t="str">
        <f>VLOOKUP($C52,[1]Assortment!$F:$BA,5,0)</f>
        <v>221635舒洁卷纸3层纯白10粒（蓝色）</v>
      </c>
      <c r="E52" s="1">
        <f>VLOOKUP($C52,[1]Assortment!$F:$AM,7,0)</f>
        <v>10</v>
      </c>
      <c r="F52" s="1">
        <f>VLOOKUP($C52,[1]Assortment!$F:$AM,31,0)</f>
        <v>100</v>
      </c>
      <c r="G52" s="291">
        <f>VLOOKUP($C52,[1]Assortment!$F:$AM,14,0)</f>
        <v>240.89676</v>
      </c>
      <c r="H52" s="287">
        <f t="shared" si="8"/>
        <v>24.089676000000001</v>
      </c>
      <c r="I52" s="150">
        <v>1</v>
      </c>
      <c r="J52" s="292"/>
      <c r="K52" s="300">
        <v>18.707964601769909</v>
      </c>
      <c r="L52" s="302">
        <f t="shared" si="9"/>
        <v>21.139999999999993</v>
      </c>
      <c r="M52" s="302"/>
      <c r="N52" s="302"/>
      <c r="O52" s="302"/>
      <c r="P52" s="303" t="e">
        <f>#REF!/1.13</f>
        <v>#REF!</v>
      </c>
      <c r="Q52" s="303"/>
      <c r="R52" s="300">
        <v>1.89</v>
      </c>
      <c r="S52" s="293"/>
      <c r="T52" s="294"/>
      <c r="U52" s="295"/>
      <c r="V52" s="148">
        <f t="shared" si="6"/>
        <v>240.89676</v>
      </c>
      <c r="W52" s="296">
        <f t="shared" si="7"/>
        <v>167.25663716814162</v>
      </c>
      <c r="X52" s="297">
        <f>VLOOKUP(C52,'[3]Cost YTD'!$A:$L,12,0)</f>
        <v>0.48521181381160644</v>
      </c>
      <c r="Y52" s="143">
        <v>2.7E-2</v>
      </c>
      <c r="Z52" s="296">
        <f t="shared" si="10"/>
        <v>43.866470787202388</v>
      </c>
      <c r="AA52" s="143">
        <f t="shared" si="11"/>
        <v>0.26227043380708304</v>
      </c>
    </row>
    <row r="53" spans="2:27" hidden="1">
      <c r="B53" s="299" t="s">
        <v>643</v>
      </c>
      <c r="C53" s="284" t="s">
        <v>164</v>
      </c>
      <c r="D53" s="142" t="str">
        <f>VLOOKUP($C53,[1]Assortment!$F:$BA,5,0)</f>
        <v>216805舒洁®北海道牛乳系列乳霜纸面巾80抽5包装</v>
      </c>
      <c r="E53" s="1">
        <f>VLOOKUP($C53,[1]Assortment!$F:$AM,7,0)</f>
        <v>3</v>
      </c>
      <c r="F53" s="1">
        <f>VLOOKUP($C53,[1]Assortment!$F:$AM,31,0)</f>
        <v>15</v>
      </c>
      <c r="G53" s="291">
        <f>VLOOKUP($C53,[1]Assortment!$F:$AM,14,0)</f>
        <v>215.56800000000001</v>
      </c>
      <c r="H53" s="287">
        <f t="shared" si="8"/>
        <v>71.856000000000009</v>
      </c>
      <c r="I53" s="150">
        <v>1</v>
      </c>
      <c r="J53" s="292"/>
      <c r="K53" s="300">
        <v>7.4584070796460171</v>
      </c>
      <c r="L53" s="302">
        <f t="shared" si="9"/>
        <v>8.427999999999999</v>
      </c>
      <c r="M53" s="302"/>
      <c r="N53" s="302"/>
      <c r="O53" s="302"/>
      <c r="P53" s="303" t="e">
        <f>#REF!/1.13</f>
        <v>#REF!</v>
      </c>
      <c r="Q53" s="303"/>
      <c r="R53" s="298">
        <v>7.4584070796460171</v>
      </c>
      <c r="S53" s="293"/>
      <c r="T53" s="294"/>
      <c r="U53" s="295"/>
      <c r="V53" s="148">
        <f t="shared" si="6"/>
        <v>215.56800000000001</v>
      </c>
      <c r="W53" s="296">
        <f t="shared" si="7"/>
        <v>99.005403712115282</v>
      </c>
      <c r="X53" s="297">
        <f>VLOOKUP(C53,'[3]Cost YTD'!$A:$L,12,0)</f>
        <v>0.28547005678913662</v>
      </c>
      <c r="Y53" s="143">
        <v>2.7E-2</v>
      </c>
      <c r="Z53" s="296">
        <f t="shared" si="10"/>
        <v>31.646858510194676</v>
      </c>
      <c r="AA53" s="143">
        <f t="shared" si="11"/>
        <v>0.31964779015715533</v>
      </c>
    </row>
    <row r="54" spans="2:27" hidden="1">
      <c r="B54" s="299" t="s">
        <v>643</v>
      </c>
      <c r="C54" s="284" t="s">
        <v>157</v>
      </c>
      <c r="D54" s="142" t="str">
        <f>VLOOKUP($C54,[1]Assortment!$F:$BA,5,0)</f>
        <v>216710舒洁®牛乳系列乳霜纸面巾口袋包7抽10包装</v>
      </c>
      <c r="E54" s="1">
        <f>VLOOKUP($C54,[1]Assortment!$F:$AM,7,0)</f>
        <v>12</v>
      </c>
      <c r="F54" s="1">
        <f>VLOOKUP($C54,[1]Assortment!$F:$AM,31,0)</f>
        <v>120</v>
      </c>
      <c r="G54" s="291">
        <f>VLOOKUP($C54,[1]Assortment!$F:$AM,14,0)</f>
        <v>202.8</v>
      </c>
      <c r="H54" s="287">
        <f t="shared" si="8"/>
        <v>16.900000000000002</v>
      </c>
      <c r="I54" s="150">
        <v>1</v>
      </c>
      <c r="J54" s="292"/>
      <c r="K54" s="300">
        <v>0.87964601769911499</v>
      </c>
      <c r="L54" s="302">
        <f t="shared" si="9"/>
        <v>0.99399999999999988</v>
      </c>
      <c r="M54" s="302"/>
      <c r="N54" s="302"/>
      <c r="O54" s="302"/>
      <c r="P54" s="303" t="e">
        <f>#REF!/1.13</f>
        <v>#REF!</v>
      </c>
      <c r="Q54" s="303"/>
      <c r="R54" s="298">
        <v>0.87964601769911499</v>
      </c>
      <c r="S54" s="293"/>
      <c r="T54" s="294"/>
      <c r="U54" s="295"/>
      <c r="V54" s="148">
        <f t="shared" si="6"/>
        <v>202.8</v>
      </c>
      <c r="W54" s="296">
        <f t="shared" si="7"/>
        <v>93.41373639282638</v>
      </c>
      <c r="X54" s="297">
        <f>VLOOKUP(C54,'[3]Cost YTD'!$A:$L,12,0)</f>
        <v>0.30604535523662951</v>
      </c>
      <c r="Y54" s="143">
        <v>2.7E-2</v>
      </c>
      <c r="Z54" s="296">
        <f t="shared" si="10"/>
        <v>25.872138350837901</v>
      </c>
      <c r="AA54" s="143">
        <f t="shared" si="11"/>
        <v>0.27696288950523906</v>
      </c>
    </row>
    <row r="55" spans="2:27" hidden="1">
      <c r="B55" s="299" t="s">
        <v>643</v>
      </c>
      <c r="C55" s="284" t="s">
        <v>150</v>
      </c>
      <c r="D55" s="142" t="str">
        <f>VLOOKUP($C55,[1]Assortment!$F:$BA,5,0)</f>
        <v>216208舒洁®北海道牛乳系列乳霜纸面巾20抽8包装</v>
      </c>
      <c r="E55" s="1">
        <f>VLOOKUP($C55,[1]Assortment!$F:$AM,7,0)</f>
        <v>4</v>
      </c>
      <c r="F55" s="1">
        <f>VLOOKUP($C55,[1]Assortment!$F:$AM,31,0)</f>
        <v>32</v>
      </c>
      <c r="G55" s="291">
        <f>VLOOKUP($C55,[1]Assortment!$F:$AM,14,0)</f>
        <v>100.4986</v>
      </c>
      <c r="H55" s="287">
        <f t="shared" si="8"/>
        <v>25.124649999999999</v>
      </c>
      <c r="I55" s="150">
        <v>1</v>
      </c>
      <c r="J55" s="292"/>
      <c r="K55" s="300">
        <v>1.7112831858407083</v>
      </c>
      <c r="L55" s="302">
        <f t="shared" si="9"/>
        <v>1.9337500000000001</v>
      </c>
      <c r="M55" s="302"/>
      <c r="N55" s="302"/>
      <c r="O55" s="302"/>
      <c r="P55" s="303" t="e">
        <f>#REF!/1.13</f>
        <v>#REF!</v>
      </c>
      <c r="Q55" s="303"/>
      <c r="R55" s="298">
        <v>1.7112831858407083</v>
      </c>
      <c r="S55" s="293"/>
      <c r="T55" s="294"/>
      <c r="U55" s="295"/>
      <c r="V55" s="148">
        <f t="shared" si="6"/>
        <v>100.4986</v>
      </c>
      <c r="W55" s="296">
        <f t="shared" si="7"/>
        <v>48.461116767170502</v>
      </c>
      <c r="X55" s="297">
        <f>VLOOKUP(C55,'[3]Cost YTD'!$A:$L,12,0)</f>
        <v>0.31234929480367374</v>
      </c>
      <c r="Y55" s="143">
        <v>2.7E-2</v>
      </c>
      <c r="Z55" s="296">
        <f t="shared" si="10"/>
        <v>14.356987728414012</v>
      </c>
      <c r="AA55" s="143">
        <f t="shared" si="11"/>
        <v>0.29625788025875643</v>
      </c>
    </row>
    <row r="56" spans="2:27" hidden="1">
      <c r="B56" s="299" t="s">
        <v>643</v>
      </c>
      <c r="C56" s="284" t="s">
        <v>143</v>
      </c>
      <c r="D56" s="142" t="str">
        <f>VLOOKUP($C56,[1]Assortment!$F:$BA,5,0)</f>
        <v>215610舒洁®北海道轻牛乳系列乳霜纸面巾100抽3包装</v>
      </c>
      <c r="E56" s="1">
        <f>VLOOKUP($C56,[1]Assortment!$F:$AM,7,0)</f>
        <v>6</v>
      </c>
      <c r="F56" s="1">
        <f>VLOOKUP($C56,[1]Assortment!$F:$AM,31,0)</f>
        <v>18</v>
      </c>
      <c r="G56" s="291">
        <f>VLOOKUP($C56,[1]Assortment!$F:$AM,14,0)</f>
        <v>215.4</v>
      </c>
      <c r="H56" s="287">
        <f t="shared" si="8"/>
        <v>35.9</v>
      </c>
      <c r="I56" s="150">
        <v>1</v>
      </c>
      <c r="J56" s="292"/>
      <c r="K56" s="300">
        <v>5.0589970501474921</v>
      </c>
      <c r="L56" s="302">
        <f t="shared" si="9"/>
        <v>5.7166666666666659</v>
      </c>
      <c r="M56" s="302"/>
      <c r="N56" s="302"/>
      <c r="O56" s="302"/>
      <c r="P56" s="303" t="e">
        <f>#REF!/1.13</f>
        <v>#REF!</v>
      </c>
      <c r="Q56" s="303"/>
      <c r="R56" s="298">
        <v>5.0589970501474921</v>
      </c>
      <c r="S56" s="293"/>
      <c r="T56" s="294"/>
      <c r="U56" s="295"/>
      <c r="V56" s="148">
        <f t="shared" si="6"/>
        <v>215.4</v>
      </c>
      <c r="W56" s="296">
        <f t="shared" si="7"/>
        <v>80.58579371916359</v>
      </c>
      <c r="X56" s="297">
        <f>VLOOKUP(C56,'[3]Cost YTD'!$A:$L,12,0)</f>
        <v>0.2556926203465249</v>
      </c>
      <c r="Y56" s="143">
        <v>2.7E-2</v>
      </c>
      <c r="Z56" s="296">
        <f t="shared" si="10"/>
        <v>19.69380329652212</v>
      </c>
      <c r="AA56" s="143">
        <f t="shared" si="11"/>
        <v>0.24438306539678423</v>
      </c>
    </row>
    <row r="57" spans="2:27" hidden="1">
      <c r="B57" s="299" t="s">
        <v>643</v>
      </c>
      <c r="C57" s="284" t="s">
        <v>136</v>
      </c>
      <c r="D57" s="142" t="str">
        <f>VLOOKUP($C57,[1]Assortment!$F:$BA,5,0)</f>
        <v>215503舒洁®北海道轻牛乳系列乳霜纸面巾40抽3包装</v>
      </c>
      <c r="E57" s="1">
        <f>VLOOKUP($C57,[1]Assortment!$F:$AM,7,0)</f>
        <v>16</v>
      </c>
      <c r="F57" s="1">
        <f>VLOOKUP($C57,[1]Assortment!$F:$AM,31,0)</f>
        <v>48</v>
      </c>
      <c r="G57" s="291">
        <f>VLOOKUP($C57,[1]Assortment!$F:$AM,14,0)</f>
        <v>222.4</v>
      </c>
      <c r="H57" s="287">
        <f t="shared" si="8"/>
        <v>13.9</v>
      </c>
      <c r="I57" s="150">
        <v>1</v>
      </c>
      <c r="J57" s="292"/>
      <c r="K57" s="300">
        <v>2.0855457227138641</v>
      </c>
      <c r="L57" s="302">
        <f t="shared" si="9"/>
        <v>2.356666666666666</v>
      </c>
      <c r="M57" s="302"/>
      <c r="N57" s="302"/>
      <c r="O57" s="302"/>
      <c r="P57" s="303" t="e">
        <f>#REF!/1.13</f>
        <v>#REF!</v>
      </c>
      <c r="Q57" s="303"/>
      <c r="R57" s="298">
        <v>2.0855457227138641</v>
      </c>
      <c r="S57" s="293"/>
      <c r="T57" s="294"/>
      <c r="U57" s="295"/>
      <c r="V57" s="148">
        <f t="shared" si="6"/>
        <v>222.4</v>
      </c>
      <c r="W57" s="296">
        <f t="shared" si="7"/>
        <v>88.589552823243793</v>
      </c>
      <c r="X57" s="297">
        <f>VLOOKUP(C57,'[3]Cost YTD'!$A:$L,12,0)</f>
        <v>0.24928738317349211</v>
      </c>
      <c r="Y57" s="143">
        <v>2.7E-2</v>
      </c>
      <c r="Z57" s="296">
        <f t="shared" si="10"/>
        <v>27.143238805459148</v>
      </c>
      <c r="AA57" s="143">
        <f t="shared" si="11"/>
        <v>0.30639322516522971</v>
      </c>
    </row>
    <row r="58" spans="2:27" hidden="1">
      <c r="B58" s="299" t="s">
        <v>643</v>
      </c>
      <c r="C58" s="284" t="s">
        <v>127</v>
      </c>
      <c r="D58" s="142" t="str">
        <f>VLOOKUP($C58,[1]Assortment!$F:$BA,5,0)</f>
        <v>215204舒洁鎏金系列乳霜纸巾40抽8包</v>
      </c>
      <c r="E58" s="1">
        <f>VLOOKUP($C58,[1]Assortment!$F:$AM,7,0)</f>
        <v>4</v>
      </c>
      <c r="F58" s="1">
        <f>VLOOKUP($C58,[1]Assortment!$F:$AM,31,0)</f>
        <v>32</v>
      </c>
      <c r="G58" s="291">
        <f>VLOOKUP($C58,[1]Assortment!$F:$AM,14,0)</f>
        <v>105.788</v>
      </c>
      <c r="H58" s="287">
        <f t="shared" si="8"/>
        <v>26.446999999999999</v>
      </c>
      <c r="I58" s="150">
        <v>1</v>
      </c>
      <c r="J58" s="292"/>
      <c r="K58" s="300">
        <v>1.595132743362832</v>
      </c>
      <c r="L58" s="302">
        <f t="shared" si="9"/>
        <v>1.8025</v>
      </c>
      <c r="M58" s="302"/>
      <c r="N58" s="302"/>
      <c r="O58" s="302"/>
      <c r="P58" s="303" t="e">
        <f>#REF!/1.13</f>
        <v>#REF!</v>
      </c>
      <c r="Q58" s="303"/>
      <c r="R58" s="298">
        <v>1.595132743362832</v>
      </c>
      <c r="S58" s="293"/>
      <c r="T58" s="294"/>
      <c r="U58" s="295"/>
      <c r="V58" s="148">
        <f t="shared" si="6"/>
        <v>105.788</v>
      </c>
      <c r="W58" s="296">
        <f t="shared" si="7"/>
        <v>45.171900697000552</v>
      </c>
      <c r="X58" s="297">
        <f>VLOOKUP(C58,'[3]Cost YTD'!$A:$L,12,0)</f>
        <v>0.29234795400060104</v>
      </c>
      <c r="Y58" s="143">
        <v>2.7E-2</v>
      </c>
      <c r="Z58" s="296">
        <f t="shared" si="10"/>
        <v>11.388719339184966</v>
      </c>
      <c r="AA58" s="143">
        <f t="shared" si="11"/>
        <v>0.25211955139052156</v>
      </c>
    </row>
    <row r="59" spans="2:27" hidden="1">
      <c r="B59" s="299" t="s">
        <v>643</v>
      </c>
      <c r="C59" s="284" t="s">
        <v>180</v>
      </c>
      <c r="D59" s="142" t="str">
        <f>VLOOKUP($C59,[1]Assortment!$F:$BA,5,0)</f>
        <v>214890舒洁小熊印花抽纸3层80抽16包FSC mix70%</v>
      </c>
      <c r="E59" s="1">
        <f>VLOOKUP($C59,[1]Assortment!$F:$AM,7,0)</f>
        <v>6</v>
      </c>
      <c r="F59" s="1">
        <f>VLOOKUP($C59,[1]Assortment!$F:$AM,31,0)</f>
        <v>96</v>
      </c>
      <c r="G59" s="291">
        <f>VLOOKUP($C59,[1]Assortment!$F:$AM,14,0)</f>
        <v>283.80122999999998</v>
      </c>
      <c r="H59" s="287">
        <f t="shared" si="8"/>
        <v>47.300204999999998</v>
      </c>
      <c r="I59" s="150">
        <v>1</v>
      </c>
      <c r="J59" s="292"/>
      <c r="K59" s="300">
        <v>2.1991150442477876</v>
      </c>
      <c r="L59" s="302">
        <f t="shared" si="9"/>
        <v>2.4849999999999999</v>
      </c>
      <c r="M59" s="302"/>
      <c r="N59" s="302"/>
      <c r="O59" s="302"/>
      <c r="P59" s="303" t="e">
        <f>#REF!/1.13</f>
        <v>#REF!</v>
      </c>
      <c r="Q59" s="303"/>
      <c r="R59" s="298">
        <v>2.1991150442477876</v>
      </c>
      <c r="S59" s="293"/>
      <c r="T59" s="294"/>
      <c r="U59" s="295"/>
      <c r="V59" s="148">
        <f t="shared" si="6"/>
        <v>283.80122999999998</v>
      </c>
      <c r="W59" s="296">
        <f t="shared" si="7"/>
        <v>186.82747278565276</v>
      </c>
      <c r="X59" s="297">
        <f>VLOOKUP(C59,'[3]Cost YTD'!$A:$L,12,0)</f>
        <v>0.46847941311762015</v>
      </c>
      <c r="Y59" s="143">
        <v>2.7E-2</v>
      </c>
      <c r="Z59" s="296">
        <f t="shared" si="10"/>
        <v>46.209805903194024</v>
      </c>
      <c r="AA59" s="143">
        <f t="shared" si="11"/>
        <v>0.24733945824022655</v>
      </c>
    </row>
    <row r="60" spans="2:27" hidden="1">
      <c r="B60" s="299" t="s">
        <v>643</v>
      </c>
      <c r="C60" s="284" t="s">
        <v>187</v>
      </c>
      <c r="D60" s="142" t="str">
        <f>VLOOKUP($C60,[1]Assortment!$F:$BA,5,0)</f>
        <v>210761舒洁卡通系列抽纸200抽3包 FSC mix70%</v>
      </c>
      <c r="E60" s="1">
        <f>VLOOKUP($C60,[1]Assortment!$F:$AM,7,0)</f>
        <v>20</v>
      </c>
      <c r="F60" s="1">
        <f>VLOOKUP($C60,[1]Assortment!$F:$AM,31,0)</f>
        <v>60</v>
      </c>
      <c r="G60" s="291">
        <f>VLOOKUP($C60,[1]Assortment!$F:$AM,14,0)</f>
        <v>338.18198999999998</v>
      </c>
      <c r="H60" s="287">
        <f t="shared" si="8"/>
        <v>16.9090995</v>
      </c>
      <c r="I60" s="150">
        <v>1</v>
      </c>
      <c r="J60" s="292"/>
      <c r="K60" s="300">
        <v>4.1504424778761067</v>
      </c>
      <c r="L60" s="302">
        <f t="shared" si="9"/>
        <v>4.6900000000000004</v>
      </c>
      <c r="M60" s="302"/>
      <c r="N60" s="302"/>
      <c r="O60" s="302"/>
      <c r="P60" s="303" t="e">
        <f>#REF!/1.13</f>
        <v>#REF!</v>
      </c>
      <c r="Q60" s="303"/>
      <c r="R60" s="298">
        <v>4.1504424778761067</v>
      </c>
      <c r="S60" s="293"/>
      <c r="T60" s="294"/>
      <c r="U60" s="295"/>
      <c r="V60" s="148">
        <f t="shared" si="6"/>
        <v>338.18198999999998</v>
      </c>
      <c r="W60" s="296">
        <f t="shared" si="7"/>
        <v>220.37747670138623</v>
      </c>
      <c r="X60" s="297">
        <f>VLOOKUP(C60,'[3]Cost YTD'!$A:$L,12,0)</f>
        <v>0.46297308548951832</v>
      </c>
      <c r="Y60" s="143">
        <v>2.7E-2</v>
      </c>
      <c r="Z60" s="296">
        <f t="shared" si="10"/>
        <v>54.677403604100789</v>
      </c>
      <c r="AA60" s="143">
        <f t="shared" si="11"/>
        <v>0.24810794833715807</v>
      </c>
    </row>
    <row r="61" spans="2:27" hidden="1">
      <c r="B61" s="299" t="s">
        <v>643</v>
      </c>
      <c r="C61" s="284" t="s">
        <v>172</v>
      </c>
      <c r="D61" s="142" t="str">
        <f>VLOOKUP($C61,[1]Assortment!$F:$BA,5,0)</f>
        <v>210390舒洁小熊印花抽纸3层80抽4包FSC mix70%</v>
      </c>
      <c r="E61" s="1">
        <f>VLOOKUP($C61,[1]Assortment!$F:$AM,7,0)</f>
        <v>24</v>
      </c>
      <c r="F61" s="1">
        <f>VLOOKUP($C61,[1]Assortment!$F:$AM,31,0)</f>
        <v>96</v>
      </c>
      <c r="G61" s="291">
        <f>VLOOKUP($C61,[1]Assortment!$F:$AM,14,0)</f>
        <v>287.22305</v>
      </c>
      <c r="H61" s="287">
        <f t="shared" si="8"/>
        <v>11.967627083333333</v>
      </c>
      <c r="I61" s="150">
        <v>1</v>
      </c>
      <c r="J61" s="292"/>
      <c r="K61" s="300">
        <v>2.3539823008849559</v>
      </c>
      <c r="L61" s="302">
        <f t="shared" si="9"/>
        <v>2.6599999999999997</v>
      </c>
      <c r="M61" s="302"/>
      <c r="N61" s="302"/>
      <c r="O61" s="302"/>
      <c r="P61" s="303" t="e">
        <f>#REF!/1.13</f>
        <v>#REF!</v>
      </c>
      <c r="Q61" s="303"/>
      <c r="R61" s="298">
        <v>2.3539823008849559</v>
      </c>
      <c r="S61" s="293"/>
      <c r="T61" s="294"/>
      <c r="U61" s="295"/>
      <c r="V61" s="148">
        <f t="shared" si="6"/>
        <v>287.22305</v>
      </c>
      <c r="W61" s="296">
        <f t="shared" si="7"/>
        <v>199.98433706633253</v>
      </c>
      <c r="X61" s="297">
        <f>VLOOKUP(C61,'[3]Cost YTD'!$A:$L,12,0)</f>
        <v>0.47224779147046408</v>
      </c>
      <c r="Y61" s="143">
        <v>2.7E-2</v>
      </c>
      <c r="Z61" s="296">
        <f t="shared" si="10"/>
        <v>56.588863694421832</v>
      </c>
      <c r="AA61" s="143">
        <f t="shared" si="11"/>
        <v>0.28296647889805465</v>
      </c>
    </row>
    <row r="62" spans="2:27" hidden="1">
      <c r="B62" s="299" t="s">
        <v>643</v>
      </c>
      <c r="C62" s="285" t="s">
        <v>96</v>
      </c>
      <c r="D62" s="142" t="str">
        <f>VLOOKUP($C62,[1]Assortment!$F:$BA,5,0)</f>
        <v>265500舒洁湿厕纸7抽6包装</v>
      </c>
      <c r="E62" s="1">
        <f>VLOOKUP($C62,[1]Assortment!$F:$AM,7,0)</f>
        <v>16</v>
      </c>
      <c r="F62" s="1">
        <f>VLOOKUP($C62,[1]Assortment!$F:$AM,31,0)</f>
        <v>96</v>
      </c>
      <c r="G62" s="291">
        <f>VLOOKUP($C62,[1]Assortment!$F:$AM,14,0)</f>
        <v>179.2</v>
      </c>
      <c r="H62" s="287">
        <f t="shared" si="8"/>
        <v>11.2</v>
      </c>
      <c r="I62" s="150">
        <v>1</v>
      </c>
      <c r="J62" s="292"/>
      <c r="K62" s="300">
        <v>1.1356932153392332</v>
      </c>
      <c r="L62" s="302">
        <f t="shared" si="9"/>
        <v>1.2833333333333334</v>
      </c>
      <c r="M62" s="302"/>
      <c r="N62" s="302"/>
      <c r="O62" s="302"/>
      <c r="P62" s="303" t="e">
        <f>#REF!/1.13</f>
        <v>#REF!</v>
      </c>
      <c r="Q62" s="303"/>
      <c r="R62" s="298">
        <v>1.1356932153392332</v>
      </c>
      <c r="S62" s="293"/>
      <c r="T62" s="294"/>
      <c r="U62" s="295"/>
      <c r="V62" s="148">
        <f t="shared" si="6"/>
        <v>179.2</v>
      </c>
      <c r="W62" s="296">
        <f t="shared" si="7"/>
        <v>96.483671391651669</v>
      </c>
      <c r="X62" s="297">
        <f>VLOOKUP(C62,'[3]Cost YTD'!$A:$L,12,0)</f>
        <v>0.2663167418092946</v>
      </c>
      <c r="Y62" s="143">
        <v>2.7E-2</v>
      </c>
      <c r="Z62" s="296">
        <f t="shared" si="10"/>
        <v>43.921311259426076</v>
      </c>
      <c r="AA62" s="143">
        <f t="shared" si="11"/>
        <v>0.4552201489217626</v>
      </c>
    </row>
    <row r="63" spans="2:27" hidden="1">
      <c r="B63" s="299" t="s">
        <v>643</v>
      </c>
      <c r="C63" s="285" t="s">
        <v>634</v>
      </c>
      <c r="D63" s="142" t="str">
        <f>VLOOKUP($C63,[1]Assortment!$F:$BA,5,0)</f>
        <v>267030舒洁湿厕纸旅行装10包装</v>
      </c>
      <c r="E63" s="1">
        <f>VLOOKUP($C63,[1]Assortment!$F:$AM,7,0)</f>
        <v>4</v>
      </c>
      <c r="F63" s="1">
        <f>VLOOKUP($C63,[1]Assortment!$F:$AM,31,0)</f>
        <v>40</v>
      </c>
      <c r="G63" s="291">
        <f>VLOOKUP($C63,[1]Assortment!$F:$AM,14,0)</f>
        <v>151.33000000000001</v>
      </c>
      <c r="H63" s="287">
        <f t="shared" si="8"/>
        <v>37.832500000000003</v>
      </c>
      <c r="I63" s="150">
        <v>1</v>
      </c>
      <c r="J63" s="292"/>
      <c r="K63" s="300">
        <v>1.1955752212389379</v>
      </c>
      <c r="L63" s="302">
        <f t="shared" si="9"/>
        <v>1.3509999999999998</v>
      </c>
      <c r="M63" s="302"/>
      <c r="N63" s="302"/>
      <c r="O63" s="302"/>
      <c r="P63" s="303" t="e">
        <f>#REF!/1.13</f>
        <v>#REF!</v>
      </c>
      <c r="Q63" s="303"/>
      <c r="R63" s="298">
        <v>1.1955752212389379</v>
      </c>
      <c r="S63" s="293"/>
      <c r="T63" s="294"/>
      <c r="U63" s="295"/>
      <c r="V63" s="148">
        <f t="shared" si="6"/>
        <v>151.33000000000001</v>
      </c>
      <c r="W63" s="296">
        <f t="shared" si="7"/>
        <v>42.321246769519931</v>
      </c>
      <c r="X63" s="297">
        <f>VLOOKUP(C63,'[3]Cost YTD'!$A:$L,12,0)</f>
        <v>0.19361901119079922</v>
      </c>
      <c r="Y63" s="143">
        <v>2.7E-2</v>
      </c>
      <c r="Z63" s="296">
        <f t="shared" si="10"/>
        <v>8.9349718060162857</v>
      </c>
      <c r="AA63" s="143">
        <f t="shared" si="11"/>
        <v>0.21112260361032931</v>
      </c>
    </row>
    <row r="64" spans="2:27" hidden="1">
      <c r="B64" s="299" t="s">
        <v>643</v>
      </c>
      <c r="C64" s="285" t="s">
        <v>497</v>
      </c>
      <c r="D64" s="142" t="str">
        <f>VLOOKUP($C64,[1]Assortment!$F:$BA,5,0)</f>
        <v>269430舒洁湿厕纸家庭装40抽</v>
      </c>
      <c r="E64" s="1">
        <f>VLOOKUP($C64,[1]Assortment!$F:$AM,7,0)</f>
        <v>40</v>
      </c>
      <c r="F64" s="1">
        <f>VLOOKUP($C64,[1]Assortment!$F:$AM,31,0)</f>
        <v>40</v>
      </c>
      <c r="G64" s="291">
        <f>VLOOKUP($C64,[1]Assortment!$F:$AM,14,0)</f>
        <v>367.52</v>
      </c>
      <c r="H64" s="287">
        <f t="shared" si="8"/>
        <v>9.1879999999999988</v>
      </c>
      <c r="I64" s="150">
        <v>1</v>
      </c>
      <c r="J64" s="292"/>
      <c r="K64" s="300">
        <v>4.1628318584070794</v>
      </c>
      <c r="L64" s="302">
        <f t="shared" si="9"/>
        <v>4.7039999999999988</v>
      </c>
      <c r="M64" s="302"/>
      <c r="N64" s="302"/>
      <c r="O64" s="302"/>
      <c r="P64" s="303" t="e">
        <f>#REF!/1.13</f>
        <v>#REF!</v>
      </c>
      <c r="Q64" s="303"/>
      <c r="R64" s="298">
        <v>4.1628318584070794</v>
      </c>
      <c r="S64" s="293"/>
      <c r="T64" s="294"/>
      <c r="U64" s="295"/>
      <c r="V64" s="148">
        <f t="shared" si="6"/>
        <v>367.52</v>
      </c>
      <c r="W64" s="296">
        <f t="shared" si="7"/>
        <v>147.35687994361345</v>
      </c>
      <c r="X64" s="297">
        <f>VLOOKUP(C64,'[3]Cost YTD'!$A:$L,12,0)</f>
        <v>0.23244983260668389</v>
      </c>
      <c r="Y64" s="143">
        <v>2.7E-2</v>
      </c>
      <c r="Z64" s="296">
        <f t="shared" si="10"/>
        <v>52.003877464004987</v>
      </c>
      <c r="AA64" s="143">
        <f t="shared" si="11"/>
        <v>0.35291109233518264</v>
      </c>
    </row>
    <row r="65" spans="1:33" hidden="1">
      <c r="B65" s="299" t="s">
        <v>643</v>
      </c>
      <c r="C65" s="285" t="s">
        <v>8</v>
      </c>
      <c r="D65" s="142" t="str">
        <f>VLOOKUP($C65,[1]Assortment!$F:$BA,5,0)</f>
        <v>269440舒洁湿厕纸家庭装40抽10包装</v>
      </c>
      <c r="E65" s="1">
        <f>VLOOKUP($C65,[1]Assortment!$F:$AM,7,0)</f>
        <v>4</v>
      </c>
      <c r="F65" s="1">
        <f>VLOOKUP($C65,[1]Assortment!$F:$AM,31,0)</f>
        <v>40</v>
      </c>
      <c r="G65" s="291">
        <f>VLOOKUP($C65,[1]Assortment!$F:$AM,14,0)</f>
        <v>330.25</v>
      </c>
      <c r="H65" s="287">
        <f t="shared" si="8"/>
        <v>82.5625</v>
      </c>
      <c r="I65" s="150">
        <v>1</v>
      </c>
      <c r="J65" s="292"/>
      <c r="K65" s="300">
        <v>3.3017699115044246</v>
      </c>
      <c r="L65" s="302">
        <f t="shared" si="9"/>
        <v>3.7309999999999994</v>
      </c>
      <c r="M65" s="302"/>
      <c r="N65" s="302"/>
      <c r="O65" s="302"/>
      <c r="P65" s="303" t="e">
        <f>#REF!/1.13</f>
        <v>#REF!</v>
      </c>
      <c r="Q65" s="303"/>
      <c r="R65" s="298">
        <v>3.3017699115044246</v>
      </c>
      <c r="S65" s="293"/>
      <c r="T65" s="294"/>
      <c r="U65" s="295"/>
      <c r="V65" s="148">
        <f t="shared" si="6"/>
        <v>330.25</v>
      </c>
      <c r="W65" s="296">
        <f t="shared" si="7"/>
        <v>116.8768110267053</v>
      </c>
      <c r="X65" s="297">
        <f>VLOOKUP(C65,'[3]Cost YTD'!$A:$L,12,0)</f>
        <v>0.26998220956803232</v>
      </c>
      <c r="Y65" s="143">
        <v>2.7E-2</v>
      </c>
      <c r="Z65" s="296">
        <f t="shared" si="10"/>
        <v>18.79843631686262</v>
      </c>
      <c r="AA65" s="143">
        <f t="shared" si="11"/>
        <v>0.16083974358752265</v>
      </c>
    </row>
    <row r="66" spans="1:33" hidden="1">
      <c r="B66" s="299" t="s">
        <v>643</v>
      </c>
      <c r="C66" s="285" t="s">
        <v>635</v>
      </c>
      <c r="D66" s="142" t="e">
        <f>VLOOKUP($C66,[1]Assortment!$F:$BA,5,0)</f>
        <v>#N/A</v>
      </c>
      <c r="E66" s="1" t="e">
        <f>VLOOKUP($C66,[1]Assortment!$F:$AM,7,0)</f>
        <v>#N/A</v>
      </c>
      <c r="F66" s="1" t="e">
        <f>VLOOKUP($C66,[1]Assortment!$F:$AM,31,0)</f>
        <v>#N/A</v>
      </c>
      <c r="G66" s="291" t="e">
        <f>VLOOKUP($C66,[1]Assortment!$F:$AM,14,0)</f>
        <v>#N/A</v>
      </c>
      <c r="H66" s="287" t="e">
        <f t="shared" si="8"/>
        <v>#N/A</v>
      </c>
      <c r="I66" s="150">
        <v>1</v>
      </c>
      <c r="J66" s="292"/>
      <c r="K66" s="300">
        <v>6.3805309734513278</v>
      </c>
      <c r="L66" s="302">
        <f t="shared" si="9"/>
        <v>7.21</v>
      </c>
      <c r="M66" s="302"/>
      <c r="N66" s="302"/>
      <c r="O66" s="302"/>
      <c r="P66" s="303" t="e">
        <f>#REF!/1.13</f>
        <v>#REF!</v>
      </c>
      <c r="Q66" s="303"/>
      <c r="R66" s="298">
        <v>6.3805309734513278</v>
      </c>
      <c r="S66" s="293"/>
      <c r="T66" s="294"/>
      <c r="U66" s="295"/>
      <c r="V66" s="148" t="e">
        <f t="shared" si="6"/>
        <v>#N/A</v>
      </c>
      <c r="W66" s="296" t="e">
        <f t="shared" si="7"/>
        <v>#N/A</v>
      </c>
      <c r="X66" s="297" t="e">
        <f>VLOOKUP(C66,'[3]Cost YTD'!$A:$L,12,0)</f>
        <v>#N/A</v>
      </c>
      <c r="Y66" s="143">
        <v>2.7E-2</v>
      </c>
      <c r="Z66" s="296" t="e">
        <f t="shared" si="10"/>
        <v>#N/A</v>
      </c>
      <c r="AA66" s="143" t="e">
        <f t="shared" si="11"/>
        <v>#N/A</v>
      </c>
    </row>
    <row r="67" spans="1:33" hidden="1">
      <c r="B67" s="299" t="s">
        <v>643</v>
      </c>
      <c r="C67" s="285" t="s">
        <v>511</v>
      </c>
      <c r="D67" s="142" t="str">
        <f>VLOOKUP($C67,[1]Assortment!$F:$BA,5,0)</f>
        <v>266100舒洁湿厕纸80片x3包</v>
      </c>
      <c r="E67" s="1">
        <f>VLOOKUP($C67,[1]Assortment!$F:$AM,7,0)</f>
        <v>8</v>
      </c>
      <c r="F67" s="1">
        <f>VLOOKUP($C67,[1]Assortment!$F:$AM,31,0)</f>
        <v>24</v>
      </c>
      <c r="G67" s="291">
        <f>VLOOKUP($C67,[1]Assortment!$F:$AM,14,0)</f>
        <v>310.48</v>
      </c>
      <c r="H67" s="287">
        <f t="shared" si="8"/>
        <v>38.81</v>
      </c>
      <c r="I67" s="150">
        <v>1</v>
      </c>
      <c r="J67" s="292"/>
      <c r="K67" s="300">
        <v>6.8761061946902649</v>
      </c>
      <c r="L67" s="302">
        <f t="shared" si="9"/>
        <v>7.7699999999999987</v>
      </c>
      <c r="M67" s="302"/>
      <c r="N67" s="302"/>
      <c r="O67" s="302"/>
      <c r="P67" s="303" t="e">
        <f>#REF!/1.13</f>
        <v>#REF!</v>
      </c>
      <c r="Q67" s="303"/>
      <c r="R67" s="298">
        <v>6.8761061946902649</v>
      </c>
      <c r="S67" s="293"/>
      <c r="T67" s="294"/>
      <c r="U67" s="295"/>
      <c r="V67" s="148">
        <f t="shared" ref="V67:V92" si="12">G67*I67</f>
        <v>310.48</v>
      </c>
      <c r="W67" s="296">
        <f t="shared" ref="W67:W92" si="13">R67*F67*I67/1.13</f>
        <v>146.04119351554544</v>
      </c>
      <c r="X67" s="297">
        <f>VLOOKUP(C67,'[3]Cost YTD'!$A:$L,12,0)</f>
        <v>0.29821889159854614</v>
      </c>
      <c r="Y67" s="143">
        <v>2.7E-2</v>
      </c>
      <c r="Z67" s="296">
        <f t="shared" si="10"/>
        <v>45.067232052028828</v>
      </c>
      <c r="AA67" s="143">
        <f t="shared" si="11"/>
        <v>0.30859260299890401</v>
      </c>
    </row>
    <row r="68" spans="1:33" hidden="1">
      <c r="B68" s="299" t="s">
        <v>643</v>
      </c>
      <c r="C68" s="285" t="s">
        <v>637</v>
      </c>
      <c r="D68" s="142" t="e">
        <f>VLOOKUP($C68,[1]Assortment!$F:$BA,5,0)</f>
        <v>#N/A</v>
      </c>
      <c r="E68" s="1" t="e">
        <f>VLOOKUP($C68,[1]Assortment!$F:$AM,7,0)</f>
        <v>#N/A</v>
      </c>
      <c r="F68" s="1" t="e">
        <f>VLOOKUP($C68,[1]Assortment!$F:$AM,31,0)</f>
        <v>#N/A</v>
      </c>
      <c r="G68" s="291" t="e">
        <f>VLOOKUP($C68,[1]Assortment!$F:$AM,14,0)</f>
        <v>#N/A</v>
      </c>
      <c r="H68" s="287" t="e">
        <f t="shared" si="8"/>
        <v>#N/A</v>
      </c>
      <c r="I68" s="150">
        <v>1</v>
      </c>
      <c r="J68" s="292"/>
      <c r="K68" s="300">
        <v>5.71976401179941</v>
      </c>
      <c r="L68" s="302">
        <f t="shared" si="9"/>
        <v>6.4633333333333329</v>
      </c>
      <c r="M68" s="302"/>
      <c r="N68" s="302"/>
      <c r="O68" s="302"/>
      <c r="P68" s="303" t="e">
        <f>#REF!/1.13</f>
        <v>#REF!</v>
      </c>
      <c r="Q68" s="303"/>
      <c r="R68" s="298">
        <v>5.71976401179941</v>
      </c>
      <c r="S68" s="293"/>
      <c r="T68" s="294"/>
      <c r="U68" s="295"/>
      <c r="V68" s="148" t="e">
        <f t="shared" si="12"/>
        <v>#N/A</v>
      </c>
      <c r="W68" s="296" t="e">
        <f t="shared" si="13"/>
        <v>#N/A</v>
      </c>
      <c r="X68" s="297" t="e">
        <f>VLOOKUP(C68,'[3]Cost YTD'!$A:$L,12,0)</f>
        <v>#N/A</v>
      </c>
      <c r="Y68" s="143">
        <v>2.7E-2</v>
      </c>
      <c r="Z68" s="296" t="e">
        <f t="shared" si="10"/>
        <v>#N/A</v>
      </c>
      <c r="AA68" s="143" t="e">
        <f t="shared" si="11"/>
        <v>#N/A</v>
      </c>
    </row>
    <row r="69" spans="1:33">
      <c r="A69" t="s">
        <v>646</v>
      </c>
      <c r="B69" s="305" t="s">
        <v>645</v>
      </c>
      <c r="C69" s="284" t="s">
        <v>227</v>
      </c>
      <c r="D69" s="306" t="str">
        <f>VLOOKUP($C69,[1]Assortment!$F:$BA,5,0)</f>
        <v>270190舒洁小熊印花手帕纸3层10包FSC mix70%</v>
      </c>
      <c r="E69" s="1">
        <f>VLOOKUP($C69,[1]Assortment!$F:$AM,7,0)</f>
        <v>36</v>
      </c>
      <c r="F69" s="1">
        <f>VLOOKUP($C69,[1]Assortment!$F:$AM,31,0)</f>
        <v>360</v>
      </c>
      <c r="G69" s="291">
        <f>VLOOKUP($C69,[1]Assortment!$F:$AM,14,0)</f>
        <v>208.46834000000001</v>
      </c>
      <c r="H69" s="287">
        <f>G69/E69</f>
        <v>5.7907872222222228</v>
      </c>
      <c r="I69" s="150">
        <v>1</v>
      </c>
      <c r="J69" s="292"/>
      <c r="K69" s="300">
        <v>0.41625595691740419</v>
      </c>
      <c r="L69" s="300">
        <f>K69*1.13</f>
        <v>0.47036923131666669</v>
      </c>
      <c r="M69" s="300">
        <f>L69*1.12</f>
        <v>0.52681353907466677</v>
      </c>
      <c r="N69" s="300">
        <v>0.47399999999999998</v>
      </c>
      <c r="O69" s="300"/>
      <c r="P69" s="300">
        <f>N69/1.13</f>
        <v>0.41946902654867257</v>
      </c>
      <c r="Q69" s="300">
        <f>P69-K69</f>
        <v>3.2130696312683837E-3</v>
      </c>
      <c r="R69" s="298">
        <f t="shared" ref="R69:R92" si="14">N69</f>
        <v>0.47399999999999998</v>
      </c>
      <c r="S69" s="293"/>
      <c r="T69" s="294"/>
      <c r="U69" s="295"/>
      <c r="V69" s="148">
        <f t="shared" si="12"/>
        <v>208.46834000000001</v>
      </c>
      <c r="W69" s="296">
        <f t="shared" si="13"/>
        <v>151.00884955752213</v>
      </c>
      <c r="X69" s="355">
        <f>'25年版cogs'!F4</f>
        <v>0.42397103094004412</v>
      </c>
      <c r="Y69" s="365">
        <f>'25年版cogs'!G4</f>
        <v>2.5426166846564392E-2</v>
      </c>
      <c r="Z69" s="296">
        <f>W69-V69*(X69+Y69)</f>
        <v>57.32376173429617</v>
      </c>
      <c r="AA69" s="143">
        <f>Z69/W69</f>
        <v>0.3796053138757306</v>
      </c>
      <c r="AB69" s="3">
        <f>Z69/W69</f>
        <v>0.3796053138757306</v>
      </c>
      <c r="AC69" s="143">
        <v>2.7504778958902656E-2</v>
      </c>
      <c r="AD69" s="3">
        <v>2.7504778958902701E-2</v>
      </c>
      <c r="AF69" s="31">
        <f>R69*F69/0.966/1.13</f>
        <v>156.32386082559228</v>
      </c>
      <c r="AG69" s="31">
        <f>(G69-AF69)*1000</f>
        <v>52144.479174407737</v>
      </c>
    </row>
    <row r="70" spans="1:33">
      <c r="B70" s="305" t="s">
        <v>645</v>
      </c>
      <c r="C70" s="284" t="s">
        <v>8</v>
      </c>
      <c r="D70" s="306" t="str">
        <f>VLOOKUP($C70,[1]Assortment!$F:$BA,5,0)</f>
        <v>269440舒洁湿厕纸家庭装40抽10包装</v>
      </c>
      <c r="E70" s="1">
        <f>VLOOKUP($C70,[1]Assortment!$F:$AM,7,0)</f>
        <v>4</v>
      </c>
      <c r="F70" s="1">
        <f>VLOOKUP($C70,[1]Assortment!$F:$AM,31,0)</f>
        <v>40</v>
      </c>
      <c r="G70" s="291">
        <f>VLOOKUP($C70,[1]Assortment!$F:$AM,14,0)</f>
        <v>330.25</v>
      </c>
      <c r="H70" s="287">
        <f t="shared" ref="H70:H92" si="15">G70/E70</f>
        <v>82.5625</v>
      </c>
      <c r="I70" s="150">
        <v>1</v>
      </c>
      <c r="J70" s="292"/>
      <c r="K70" s="300">
        <v>3.0354980707079644</v>
      </c>
      <c r="L70" s="300">
        <f t="shared" ref="L70:L92" si="16">K70*1.13</f>
        <v>3.4301128198999993</v>
      </c>
      <c r="M70" s="300">
        <f t="shared" ref="M70:M92" si="17">L70*1.12</f>
        <v>3.8417263582879997</v>
      </c>
      <c r="N70" s="300">
        <v>4.0999999999999996</v>
      </c>
      <c r="O70" s="300"/>
      <c r="P70" s="300">
        <f t="shared" ref="P70:P92" si="18">N70/1.13</f>
        <v>3.6283185840707963</v>
      </c>
      <c r="Q70" s="300">
        <f t="shared" ref="Q70:Q92" si="19">P70-K70</f>
        <v>0.59282051336283192</v>
      </c>
      <c r="R70" s="298">
        <f t="shared" si="14"/>
        <v>4.0999999999999996</v>
      </c>
      <c r="S70" s="293"/>
      <c r="T70" s="294"/>
      <c r="U70" s="295"/>
      <c r="V70" s="148">
        <f t="shared" si="12"/>
        <v>330.25</v>
      </c>
      <c r="W70" s="296">
        <f t="shared" si="13"/>
        <v>145.13274336283186</v>
      </c>
      <c r="X70" s="355">
        <f>'25年版cogs'!F5</f>
        <v>0.26981473567782382</v>
      </c>
      <c r="Y70" s="365">
        <f>'25年版cogs'!G5</f>
        <v>2.5386208677685956E-2</v>
      </c>
      <c r="Z70" s="296">
        <f t="shared" ref="Z70:Z92" si="20">W70-V70*(X70+Y70)</f>
        <v>47.642631489424744</v>
      </c>
      <c r="AA70" s="143">
        <f t="shared" ref="AA70:AA92" si="21">Z70/W70</f>
        <v>0.32826935111615829</v>
      </c>
      <c r="AB70" s="3">
        <f t="shared" ref="AB70:AB92" si="22">Z70/W70</f>
        <v>0.32826935111615829</v>
      </c>
      <c r="AC70" s="143">
        <v>5.2241538072640162E-2</v>
      </c>
      <c r="AD70" s="344">
        <v>0.06</v>
      </c>
    </row>
    <row r="71" spans="1:33">
      <c r="B71" s="305" t="s">
        <v>642</v>
      </c>
      <c r="C71" s="284" t="s">
        <v>19</v>
      </c>
      <c r="D71" s="345" t="str">
        <f>VLOOKUP($C71,[1]Assortment!$F:$BA,5,0)</f>
        <v>269430舒洁湿厕纸家庭装40抽</v>
      </c>
      <c r="E71" s="1">
        <f>VLOOKUP($C71,[1]Assortment!$F:$AM,7,0)</f>
        <v>40</v>
      </c>
      <c r="F71" s="1">
        <f>VLOOKUP($C71,[1]Assortment!$F:$AM,31,0)</f>
        <v>40</v>
      </c>
      <c r="G71" s="291">
        <f>VLOOKUP($C71,[1]Assortment!$F:$AM,14,0)</f>
        <v>367.52</v>
      </c>
      <c r="H71" s="287">
        <f t="shared" si="15"/>
        <v>9.1879999999999988</v>
      </c>
      <c r="I71" s="150">
        <v>1</v>
      </c>
      <c r="J71" s="292"/>
      <c r="K71" s="300">
        <v>3.8500222393141597</v>
      </c>
      <c r="L71" s="300">
        <f t="shared" si="16"/>
        <v>4.3505251304249999</v>
      </c>
      <c r="M71" s="300">
        <f t="shared" si="17"/>
        <v>4.8725881460760005</v>
      </c>
      <c r="N71" s="300">
        <v>4.0999999999999996</v>
      </c>
      <c r="O71" s="300"/>
      <c r="P71" s="300">
        <f t="shared" si="18"/>
        <v>3.6283185840707963</v>
      </c>
      <c r="Q71" s="300">
        <f t="shared" si="19"/>
        <v>-0.22170365524336333</v>
      </c>
      <c r="R71" s="298">
        <f t="shared" si="14"/>
        <v>4.0999999999999996</v>
      </c>
      <c r="S71" s="293"/>
      <c r="T71" s="294"/>
      <c r="U71" s="295"/>
      <c r="V71" s="148">
        <f t="shared" si="12"/>
        <v>367.52</v>
      </c>
      <c r="W71" s="296">
        <f t="shared" si="13"/>
        <v>145.13274336283186</v>
      </c>
      <c r="X71" s="355">
        <f>'25年版cogs'!F6</f>
        <v>0.26981473567782382</v>
      </c>
      <c r="Y71" s="365">
        <f>'25年版cogs'!G6</f>
        <v>2.5386208677685956E-2</v>
      </c>
      <c r="Z71" s="296">
        <f t="shared" si="20"/>
        <v>36.640492293294898</v>
      </c>
      <c r="AA71" s="143">
        <f t="shared" si="21"/>
        <v>0.25246192860623923</v>
      </c>
      <c r="AB71" s="3">
        <f t="shared" si="22"/>
        <v>0.25246192860623923</v>
      </c>
      <c r="AC71" s="143">
        <v>0.14847536819903931</v>
      </c>
      <c r="AD71" s="344">
        <v>0.14099999999999999</v>
      </c>
    </row>
    <row r="72" spans="1:33">
      <c r="B72" s="305" t="s">
        <v>642</v>
      </c>
      <c r="C72" s="284" t="s">
        <v>118</v>
      </c>
      <c r="D72" s="306" t="str">
        <f>VLOOKUP($C72,[1]Assortment!$F:$BA,5,0)</f>
        <v>268220舒洁女性湿厕纸10包装</v>
      </c>
      <c r="E72" s="1">
        <f>VLOOKUP($C72,[1]Assortment!$F:$AM,7,0)</f>
        <v>4</v>
      </c>
      <c r="F72" s="1">
        <f>VLOOKUP($C72,[1]Assortment!$F:$AM,31,0)</f>
        <v>40</v>
      </c>
      <c r="G72" s="291">
        <f>VLOOKUP($C72,[1]Assortment!$F:$AM,14,0)</f>
        <v>255.40530999999999</v>
      </c>
      <c r="H72" s="287">
        <f t="shared" si="15"/>
        <v>63.851327499999996</v>
      </c>
      <c r="I72" s="150">
        <v>1</v>
      </c>
      <c r="J72" s="292"/>
      <c r="K72" s="300">
        <v>2.4659681413938053</v>
      </c>
      <c r="L72" s="300">
        <f t="shared" si="16"/>
        <v>2.7865439997749997</v>
      </c>
      <c r="M72" s="300">
        <f t="shared" si="17"/>
        <v>3.1209292797479997</v>
      </c>
      <c r="N72" s="300">
        <f t="shared" ref="N72:N91" si="23">M72</f>
        <v>3.1209292797479997</v>
      </c>
      <c r="O72" s="300"/>
      <c r="P72" s="300">
        <f t="shared" si="18"/>
        <v>2.7618843183610617</v>
      </c>
      <c r="Q72" s="300">
        <f t="shared" si="19"/>
        <v>0.29591617696725647</v>
      </c>
      <c r="R72" s="298">
        <f t="shared" si="14"/>
        <v>3.1209292797479997</v>
      </c>
      <c r="S72" s="293"/>
      <c r="T72" s="294"/>
      <c r="U72" s="295"/>
      <c r="V72" s="148">
        <f t="shared" si="12"/>
        <v>255.40530999999999</v>
      </c>
      <c r="W72" s="296">
        <f t="shared" si="13"/>
        <v>110.47537273444247</v>
      </c>
      <c r="X72" s="355">
        <f>'25年版cogs'!F7</f>
        <v>0.22151093990062315</v>
      </c>
      <c r="Y72" s="365">
        <f>'25年版cogs'!G7</f>
        <v>2.5347831289972513E-2</v>
      </c>
      <c r="Z72" s="296">
        <f t="shared" si="20"/>
        <v>47.426331752289322</v>
      </c>
      <c r="AA72" s="143">
        <f t="shared" si="21"/>
        <v>0.42929324951264364</v>
      </c>
      <c r="AB72" s="3">
        <f t="shared" si="22"/>
        <v>0.42929324951264364</v>
      </c>
      <c r="AC72" s="143">
        <v>1.9531765800939785E-3</v>
      </c>
      <c r="AD72" s="3">
        <v>1.9531765800939785E-3</v>
      </c>
    </row>
    <row r="73" spans="1:33">
      <c r="B73" s="305" t="s">
        <v>642</v>
      </c>
      <c r="C73" s="284" t="s">
        <v>112</v>
      </c>
      <c r="D73" s="306" t="str">
        <f>VLOOKUP($C73,[1]Assortment!$F:$BA,5,0)</f>
        <v>267400舒洁山茶花系列湿厕纸60片x4包</v>
      </c>
      <c r="E73" s="1">
        <f>VLOOKUP($C73,[1]Assortment!$F:$AM,7,0)</f>
        <v>1</v>
      </c>
      <c r="F73" s="1">
        <f>VLOOKUP($C73,[1]Assortment!$F:$AM,31,0)</f>
        <v>4</v>
      </c>
      <c r="G73" s="291">
        <f>VLOOKUP($C73,[1]Assortment!$F:$AM,14,0)</f>
        <v>41.9</v>
      </c>
      <c r="H73" s="287">
        <f t="shared" si="15"/>
        <v>41.9</v>
      </c>
      <c r="I73" s="150">
        <v>1</v>
      </c>
      <c r="J73" s="292"/>
      <c r="K73" s="300">
        <v>5.3848650442477872</v>
      </c>
      <c r="L73" s="300">
        <f t="shared" si="16"/>
        <v>6.0848974999999994</v>
      </c>
      <c r="M73" s="300">
        <f t="shared" si="17"/>
        <v>6.8150852000000004</v>
      </c>
      <c r="N73" s="300">
        <f t="shared" si="23"/>
        <v>6.8150852000000004</v>
      </c>
      <c r="O73" s="300"/>
      <c r="P73" s="300">
        <f t="shared" si="18"/>
        <v>6.0310488495575232</v>
      </c>
      <c r="Q73" s="300">
        <f t="shared" si="19"/>
        <v>0.64618380530973596</v>
      </c>
      <c r="R73" s="298">
        <f t="shared" si="14"/>
        <v>6.8150852000000004</v>
      </c>
      <c r="S73" s="293"/>
      <c r="T73" s="294"/>
      <c r="U73" s="295"/>
      <c r="V73" s="148">
        <f t="shared" si="12"/>
        <v>41.9</v>
      </c>
      <c r="W73" s="296">
        <f t="shared" si="13"/>
        <v>24.124195398230093</v>
      </c>
      <c r="X73" s="355">
        <f>'25年版cogs'!F8</f>
        <v>0.3593912401292928</v>
      </c>
      <c r="Y73" s="365">
        <f>'25年版cogs'!G8</f>
        <v>2.5333520292894686E-2</v>
      </c>
      <c r="Z73" s="296">
        <f t="shared" si="20"/>
        <v>8.0042279365404383</v>
      </c>
      <c r="AA73" s="143">
        <f t="shared" si="21"/>
        <v>0.33179253460729641</v>
      </c>
      <c r="AB73" s="3">
        <f t="shared" si="22"/>
        <v>0.33179253460729641</v>
      </c>
      <c r="AC73" s="143">
        <v>5.1970605221363293E-4</v>
      </c>
      <c r="AD73" s="3">
        <v>5.1970605221363293E-4</v>
      </c>
    </row>
    <row r="74" spans="1:33">
      <c r="B74" s="305" t="s">
        <v>642</v>
      </c>
      <c r="C74" s="284" t="s">
        <v>104</v>
      </c>
      <c r="D74" s="306" t="str">
        <f>VLOOKUP($C74,[1]Assortment!$F:$BA,5,0)</f>
        <v>267300舒洁山茶花系列湿厕纸60片</v>
      </c>
      <c r="E74" s="1">
        <f>VLOOKUP($C74,[1]Assortment!$F:$AM,7,0)</f>
        <v>24</v>
      </c>
      <c r="F74" s="1">
        <f>VLOOKUP($C74,[1]Assortment!$F:$AM,31,0)</f>
        <v>24</v>
      </c>
      <c r="G74" s="291">
        <f>VLOOKUP($C74,[1]Assortment!$F:$AM,14,0)</f>
        <v>244.8</v>
      </c>
      <c r="H74" s="287">
        <f t="shared" si="15"/>
        <v>10.200000000000001</v>
      </c>
      <c r="I74" s="150">
        <v>1</v>
      </c>
      <c r="J74" s="292"/>
      <c r="K74" s="300">
        <v>5.7647964601769921</v>
      </c>
      <c r="L74" s="300">
        <f t="shared" si="16"/>
        <v>6.5142200000000008</v>
      </c>
      <c r="M74" s="300">
        <f t="shared" si="17"/>
        <v>7.2959264000000017</v>
      </c>
      <c r="N74" s="300">
        <f t="shared" si="23"/>
        <v>7.2959264000000017</v>
      </c>
      <c r="O74" s="300"/>
      <c r="P74" s="300">
        <f t="shared" si="18"/>
        <v>6.4565720353982323</v>
      </c>
      <c r="Q74" s="300">
        <f t="shared" si="19"/>
        <v>0.69177557522124022</v>
      </c>
      <c r="R74" s="298">
        <f t="shared" si="14"/>
        <v>7.2959264000000017</v>
      </c>
      <c r="S74" s="293"/>
      <c r="T74" s="294"/>
      <c r="U74" s="295"/>
      <c r="V74" s="148">
        <f t="shared" si="12"/>
        <v>244.8</v>
      </c>
      <c r="W74" s="296">
        <f t="shared" si="13"/>
        <v>154.95772884955755</v>
      </c>
      <c r="X74" s="355">
        <f>'25年版cogs'!F9</f>
        <v>0.35822651469680938</v>
      </c>
      <c r="Y74" s="365">
        <f>'25年版cogs'!G9</f>
        <v>2.5367759294612966E-2</v>
      </c>
      <c r="Z74" s="296">
        <f t="shared" si="20"/>
        <v>61.05385057645735</v>
      </c>
      <c r="AA74" s="143">
        <f t="shared" si="21"/>
        <v>0.3940032615974397</v>
      </c>
      <c r="AB74" s="3">
        <f t="shared" si="22"/>
        <v>0.3940032615974397</v>
      </c>
      <c r="AC74" s="143">
        <v>3.5206814975814521E-3</v>
      </c>
      <c r="AD74" s="3">
        <v>3.5206814975814521E-3</v>
      </c>
    </row>
    <row r="75" spans="1:33">
      <c r="B75" s="305" t="s">
        <v>642</v>
      </c>
      <c r="C75" s="284" t="s">
        <v>77</v>
      </c>
      <c r="D75" s="306" t="str">
        <f>VLOOKUP($C75,[1]Assortment!$F:$BA,5,0)</f>
        <v>267030舒洁湿厕纸旅行装10包装</v>
      </c>
      <c r="E75" s="1">
        <f>VLOOKUP($C75,[1]Assortment!$F:$AM,7,0)</f>
        <v>4</v>
      </c>
      <c r="F75" s="1">
        <f>VLOOKUP($C75,[1]Assortment!$F:$AM,31,0)</f>
        <v>40</v>
      </c>
      <c r="G75" s="291">
        <f>VLOOKUP($C75,[1]Assortment!$F:$AM,14,0)</f>
        <v>151.33000000000001</v>
      </c>
      <c r="H75" s="287">
        <f t="shared" si="15"/>
        <v>37.832500000000003</v>
      </c>
      <c r="I75" s="150">
        <v>1</v>
      </c>
      <c r="J75" s="292"/>
      <c r="K75" s="300">
        <v>1.0634917229424778</v>
      </c>
      <c r="L75" s="300">
        <f t="shared" si="16"/>
        <v>1.2017456469249999</v>
      </c>
      <c r="M75" s="300">
        <f t="shared" si="17"/>
        <v>1.345955124556</v>
      </c>
      <c r="N75" s="300">
        <f t="shared" si="23"/>
        <v>1.345955124556</v>
      </c>
      <c r="O75" s="300"/>
      <c r="P75" s="300">
        <f t="shared" si="18"/>
        <v>1.1911107296955754</v>
      </c>
      <c r="Q75" s="300">
        <f t="shared" si="19"/>
        <v>0.12761900675309756</v>
      </c>
      <c r="R75" s="298">
        <f t="shared" si="14"/>
        <v>1.345955124556</v>
      </c>
      <c r="S75" s="293"/>
      <c r="T75" s="294"/>
      <c r="U75" s="295"/>
      <c r="V75" s="148">
        <f t="shared" si="12"/>
        <v>151.33000000000001</v>
      </c>
      <c r="W75" s="296">
        <f t="shared" si="13"/>
        <v>47.644429187823015</v>
      </c>
      <c r="X75" s="355">
        <f>'25年版cogs'!F10</f>
        <v>0.18260265156782779</v>
      </c>
      <c r="Y75" s="365">
        <f>'25年版cogs'!G10</f>
        <v>2.53701174215193E-2</v>
      </c>
      <c r="Z75" s="296">
        <f t="shared" si="20"/>
        <v>16.171910056665119</v>
      </c>
      <c r="AA75" s="143">
        <f t="shared" si="21"/>
        <v>0.33942919103747693</v>
      </c>
      <c r="AB75" s="3">
        <f t="shared" si="22"/>
        <v>0.33942919103747693</v>
      </c>
      <c r="AC75" s="143">
        <v>5.6438213163016835E-4</v>
      </c>
      <c r="AD75" s="3">
        <v>5.6438213163016835E-4</v>
      </c>
    </row>
    <row r="76" spans="1:33">
      <c r="B76" s="305" t="s">
        <v>642</v>
      </c>
      <c r="C76" s="284" t="s">
        <v>70</v>
      </c>
      <c r="D76" s="306" t="str">
        <f>VLOOKUP($C76,[1]Assortment!$F:$BA,5,0)</f>
        <v>266600舒洁湿厕纸100片x6包-植物双萃</v>
      </c>
      <c r="E76" s="1">
        <f>VLOOKUP($C76,[1]Assortment!$F:$AM,7,0)</f>
        <v>1</v>
      </c>
      <c r="F76" s="1">
        <f>VLOOKUP($C76,[1]Assortment!$F:$AM,31,0)</f>
        <v>6</v>
      </c>
      <c r="G76" s="291">
        <f>VLOOKUP($C76,[1]Assortment!$F:$AM,14,0)</f>
        <v>86.8</v>
      </c>
      <c r="H76" s="287">
        <f t="shared" si="15"/>
        <v>86.8</v>
      </c>
      <c r="I76" s="150">
        <v>1</v>
      </c>
      <c r="J76" s="292"/>
      <c r="K76" s="300">
        <v>7.2990383480825969</v>
      </c>
      <c r="L76" s="300">
        <f t="shared" si="16"/>
        <v>8.247913333333333</v>
      </c>
      <c r="M76" s="300">
        <f t="shared" si="17"/>
        <v>9.2376629333333344</v>
      </c>
      <c r="N76" s="300">
        <f t="shared" si="23"/>
        <v>9.2376629333333344</v>
      </c>
      <c r="O76" s="300"/>
      <c r="P76" s="300">
        <f t="shared" si="18"/>
        <v>8.17492294985251</v>
      </c>
      <c r="Q76" s="300">
        <f t="shared" si="19"/>
        <v>0.87588460176991312</v>
      </c>
      <c r="R76" s="298">
        <f t="shared" si="14"/>
        <v>9.2376629333333344</v>
      </c>
      <c r="S76" s="293"/>
      <c r="T76" s="294"/>
      <c r="U76" s="295"/>
      <c r="V76" s="148">
        <f t="shared" si="12"/>
        <v>86.8</v>
      </c>
      <c r="W76" s="296">
        <f t="shared" si="13"/>
        <v>49.049537699115056</v>
      </c>
      <c r="X76" s="355">
        <f>'25年版cogs'!F11</f>
        <v>0.32309187890232577</v>
      </c>
      <c r="Y76" s="365">
        <f>'25年版cogs'!G11</f>
        <v>2.5336010167948227E-2</v>
      </c>
      <c r="Z76" s="296">
        <f t="shared" si="20"/>
        <v>18.805996927815276</v>
      </c>
      <c r="AA76" s="143">
        <f t="shared" si="21"/>
        <v>0.38340824011792002</v>
      </c>
      <c r="AB76" s="3">
        <f t="shared" si="22"/>
        <v>0.38340824011792002</v>
      </c>
      <c r="AC76" s="143">
        <v>9.1353072408084603E-4</v>
      </c>
      <c r="AD76" s="3">
        <v>9.1353072408084603E-4</v>
      </c>
    </row>
    <row r="77" spans="1:33">
      <c r="A77">
        <v>5.9</v>
      </c>
      <c r="B77" s="305" t="s">
        <v>642</v>
      </c>
      <c r="C77" s="284" t="s">
        <v>2</v>
      </c>
      <c r="D77" s="307" t="str">
        <f>VLOOKUP($C77,[1]Assortment!$F:$BA,5,0)</f>
        <v xml:space="preserve">266200舒洁湿厕纸80片x6包 </v>
      </c>
      <c r="E77" s="1">
        <f>VLOOKUP($C77,[1]Assortment!$F:$AM,7,0)</f>
        <v>1</v>
      </c>
      <c r="F77" s="1">
        <f>VLOOKUP($C77,[1]Assortment!$F:$AM,31,0)</f>
        <v>6</v>
      </c>
      <c r="G77" s="291">
        <f>VLOOKUP($C77,[1]Assortment!$F:$AM,14,0)</f>
        <v>69.44</v>
      </c>
      <c r="H77" s="287">
        <f t="shared" si="15"/>
        <v>69.44</v>
      </c>
      <c r="I77" s="150">
        <v>1</v>
      </c>
      <c r="J77" s="292"/>
      <c r="K77" s="300">
        <v>5.320941592920355</v>
      </c>
      <c r="L77" s="300">
        <f t="shared" si="16"/>
        <v>6.0126640000000009</v>
      </c>
      <c r="M77" s="300">
        <f t="shared" si="17"/>
        <v>6.7341836800000019</v>
      </c>
      <c r="N77" s="300">
        <f t="shared" si="23"/>
        <v>6.7341836800000019</v>
      </c>
      <c r="O77" s="300"/>
      <c r="P77" s="300">
        <f t="shared" si="18"/>
        <v>5.9594545840707989</v>
      </c>
      <c r="Q77" s="300">
        <f t="shared" si="19"/>
        <v>0.63851299115044391</v>
      </c>
      <c r="R77" s="298">
        <f t="shared" si="14"/>
        <v>6.7341836800000019</v>
      </c>
      <c r="S77" s="293"/>
      <c r="T77" s="294"/>
      <c r="U77" s="295"/>
      <c r="V77" s="148">
        <f t="shared" si="12"/>
        <v>69.44</v>
      </c>
      <c r="W77" s="296">
        <f t="shared" si="13"/>
        <v>35.756727504424795</v>
      </c>
      <c r="X77" s="355">
        <f>'25年版cogs'!F12</f>
        <v>0.34017627505490672</v>
      </c>
      <c r="Y77" s="365">
        <f>'25年版cogs'!G12</f>
        <v>2.5238484018626956E-2</v>
      </c>
      <c r="Z77" s="296">
        <f t="shared" si="20"/>
        <v>10.38232663435862</v>
      </c>
      <c r="AA77" s="143">
        <f t="shared" si="21"/>
        <v>0.29036009050531358</v>
      </c>
      <c r="AB77" s="3">
        <f t="shared" si="22"/>
        <v>0.29036009050531358</v>
      </c>
      <c r="AC77" s="143">
        <v>0.12721599609836617</v>
      </c>
      <c r="AD77" s="344">
        <v>0.156</v>
      </c>
    </row>
    <row r="78" spans="1:33">
      <c r="B78" s="305" t="s">
        <v>642</v>
      </c>
      <c r="C78" s="284" t="s">
        <v>57</v>
      </c>
      <c r="D78" s="306" t="str">
        <f>VLOOKUP($C78,[1]Assortment!$F:$BA,5,0)</f>
        <v>266100舒洁湿厕纸80片x3包</v>
      </c>
      <c r="E78" s="1">
        <f>VLOOKUP($C78,[1]Assortment!$F:$AM,7,0)</f>
        <v>8</v>
      </c>
      <c r="F78" s="1">
        <f>VLOOKUP($C78,[1]Assortment!$F:$AM,31,0)</f>
        <v>24</v>
      </c>
      <c r="G78" s="291">
        <f>VLOOKUP($C78,[1]Assortment!$F:$AM,14,0)</f>
        <v>310.48</v>
      </c>
      <c r="H78" s="287">
        <f t="shared" si="15"/>
        <v>38.81</v>
      </c>
      <c r="I78" s="150">
        <v>1</v>
      </c>
      <c r="J78" s="292"/>
      <c r="K78" s="300">
        <v>6.4260592920353981</v>
      </c>
      <c r="L78" s="300">
        <f t="shared" si="16"/>
        <v>7.2614469999999995</v>
      </c>
      <c r="M78" s="300">
        <f t="shared" si="17"/>
        <v>8.1328206400000003</v>
      </c>
      <c r="N78" s="300">
        <f t="shared" si="23"/>
        <v>8.1328206400000003</v>
      </c>
      <c r="O78" s="300"/>
      <c r="P78" s="300">
        <f t="shared" si="18"/>
        <v>7.1971864070796467</v>
      </c>
      <c r="Q78" s="300">
        <f t="shared" si="19"/>
        <v>0.77112711504424869</v>
      </c>
      <c r="R78" s="298">
        <f t="shared" si="14"/>
        <v>8.1328206400000003</v>
      </c>
      <c r="S78" s="293"/>
      <c r="T78" s="294"/>
      <c r="U78" s="295"/>
      <c r="V78" s="148">
        <f t="shared" si="12"/>
        <v>310.48</v>
      </c>
      <c r="W78" s="296">
        <f t="shared" si="13"/>
        <v>172.73247376991154</v>
      </c>
      <c r="X78" s="355">
        <f>'25年版cogs'!F13</f>
        <v>0.30486433058202039</v>
      </c>
      <c r="Y78" s="365">
        <f>'25年版cogs'!G13</f>
        <v>2.5424501922404755E-2</v>
      </c>
      <c r="Z78" s="296">
        <f t="shared" si="20"/>
        <v>70.184397053937616</v>
      </c>
      <c r="AA78" s="143">
        <f t="shared" si="21"/>
        <v>0.40631848500836509</v>
      </c>
      <c r="AB78" s="3">
        <f t="shared" si="22"/>
        <v>0.40631848500836509</v>
      </c>
      <c r="AC78" s="143">
        <v>4.5366618509328988E-3</v>
      </c>
      <c r="AD78" s="3">
        <v>4.5366618509328988E-3</v>
      </c>
    </row>
    <row r="79" spans="1:33">
      <c r="B79" s="305" t="s">
        <v>642</v>
      </c>
      <c r="C79" s="284" t="s">
        <v>96</v>
      </c>
      <c r="D79" s="306" t="str">
        <f>VLOOKUP($C79,[1]Assortment!$F:$BA,5,0)</f>
        <v>265500舒洁湿厕纸7抽6包装</v>
      </c>
      <c r="E79" s="1">
        <f>VLOOKUP($C79,[1]Assortment!$F:$AM,7,0)</f>
        <v>16</v>
      </c>
      <c r="F79" s="1">
        <f>VLOOKUP($C79,[1]Assortment!$F:$AM,31,0)</f>
        <v>96</v>
      </c>
      <c r="G79" s="291">
        <f>VLOOKUP($C79,[1]Assortment!$F:$AM,14,0)</f>
        <v>179.2</v>
      </c>
      <c r="H79" s="287">
        <f t="shared" si="15"/>
        <v>11.2</v>
      </c>
      <c r="I79" s="150">
        <v>1</v>
      </c>
      <c r="J79" s="292"/>
      <c r="K79" s="300">
        <v>1.0590442477876107</v>
      </c>
      <c r="L79" s="300">
        <f t="shared" si="16"/>
        <v>1.19672</v>
      </c>
      <c r="M79" s="300">
        <f t="shared" si="17"/>
        <v>1.3403264000000001</v>
      </c>
      <c r="N79" s="300">
        <f t="shared" si="23"/>
        <v>1.3403264000000001</v>
      </c>
      <c r="O79" s="300"/>
      <c r="P79" s="300">
        <f t="shared" si="18"/>
        <v>1.1861295575221242</v>
      </c>
      <c r="Q79" s="300">
        <f t="shared" si="19"/>
        <v>0.12708530973451349</v>
      </c>
      <c r="R79" s="298">
        <f t="shared" si="14"/>
        <v>1.3403264000000001</v>
      </c>
      <c r="S79" s="293"/>
      <c r="T79" s="294"/>
      <c r="U79" s="295"/>
      <c r="V79" s="148">
        <f t="shared" si="12"/>
        <v>179.2</v>
      </c>
      <c r="W79" s="296">
        <f t="shared" si="13"/>
        <v>113.86843752212391</v>
      </c>
      <c r="X79" s="355">
        <f>'25年版cogs'!F14</f>
        <v>0.27365302206594172</v>
      </c>
      <c r="Y79" s="365">
        <f>'25年版cogs'!G14</f>
        <v>2.5424501922404755E-2</v>
      </c>
      <c r="Z79" s="296">
        <f t="shared" si="20"/>
        <v>60.273745223412227</v>
      </c>
      <c r="AA79" s="143">
        <f t="shared" si="21"/>
        <v>0.5293279378818333</v>
      </c>
      <c r="AB79" s="3">
        <f t="shared" si="22"/>
        <v>0.5293279378818333</v>
      </c>
      <c r="AC79" s="143">
        <v>4.6618358251641987E-3</v>
      </c>
      <c r="AD79" s="3">
        <v>0.02</v>
      </c>
    </row>
    <row r="80" spans="1:33">
      <c r="B80" s="305" t="s">
        <v>642</v>
      </c>
      <c r="C80" s="284" t="s">
        <v>244</v>
      </c>
      <c r="D80" s="306" t="str">
        <f>VLOOKUP($C80,[1]Assortment!$F:$BA,5,0)</f>
        <v>261300舒洁无香湿巾单包装</v>
      </c>
      <c r="E80" s="1">
        <f>VLOOKUP($C80,[1]Assortment!$F:$AM,7,0)</f>
        <v>30</v>
      </c>
      <c r="F80" s="1">
        <f>VLOOKUP($C80,[1]Assortment!$F:$AM,31,0)</f>
        <v>30</v>
      </c>
      <c r="G80" s="291">
        <f>VLOOKUP($C80,[1]Assortment!$F:$AM,14,0)</f>
        <v>91.362830000000002</v>
      </c>
      <c r="H80" s="287">
        <f t="shared" si="15"/>
        <v>3.0454276666666669</v>
      </c>
      <c r="I80" s="150">
        <v>1</v>
      </c>
      <c r="J80" s="292"/>
      <c r="K80" s="300">
        <v>1.7050973469911501</v>
      </c>
      <c r="L80" s="300">
        <f t="shared" si="16"/>
        <v>1.9267600020999995</v>
      </c>
      <c r="M80" s="300">
        <f t="shared" si="17"/>
        <v>2.1579712023519999</v>
      </c>
      <c r="N80" s="300">
        <v>1.98</v>
      </c>
      <c r="O80" s="300"/>
      <c r="P80" s="300">
        <f t="shared" si="18"/>
        <v>1.752212389380531</v>
      </c>
      <c r="Q80" s="300">
        <f t="shared" si="19"/>
        <v>4.7115042389380912E-2</v>
      </c>
      <c r="R80" s="298">
        <f t="shared" si="14"/>
        <v>1.98</v>
      </c>
      <c r="S80" s="293"/>
      <c r="T80" s="294"/>
      <c r="U80" s="295"/>
      <c r="V80" s="148">
        <f t="shared" si="12"/>
        <v>91.362830000000002</v>
      </c>
      <c r="W80" s="296">
        <f t="shared" si="13"/>
        <v>52.56637168141593</v>
      </c>
      <c r="X80" s="355">
        <f>'25年版cogs'!F15</f>
        <v>0.33593910703599916</v>
      </c>
      <c r="Y80" s="365">
        <f>'25年版cogs'!G15</f>
        <v>2.5420064922445213E-2</v>
      </c>
      <c r="Z80" s="296">
        <f t="shared" si="20"/>
        <v>19.551575084835811</v>
      </c>
      <c r="AA80" s="143">
        <f t="shared" si="21"/>
        <v>0.37194073814586642</v>
      </c>
      <c r="AB80" s="3">
        <f t="shared" si="22"/>
        <v>0.37194073814586642</v>
      </c>
      <c r="AC80" s="143">
        <v>9.0805241119005259E-2</v>
      </c>
      <c r="AD80" s="344">
        <v>0.15</v>
      </c>
    </row>
    <row r="81" spans="2:30">
      <c r="B81" s="305" t="s">
        <v>642</v>
      </c>
      <c r="C81" s="284" t="s">
        <v>236</v>
      </c>
      <c r="D81" s="306" t="str">
        <f>VLOOKUP($C81,[1]Assortment!$F:$BA,5,0)</f>
        <v>253000舒洁蚕丝洗脸巾80抽3包装</v>
      </c>
      <c r="E81" s="1">
        <f>VLOOKUP($C81,[1]Assortment!$F:$AM,7,0)</f>
        <v>6</v>
      </c>
      <c r="F81" s="1">
        <f>VLOOKUP($C81,[1]Assortment!$F:$AM,31,0)</f>
        <v>18</v>
      </c>
      <c r="G81" s="291">
        <f>VLOOKUP($C81,[1]Assortment!$F:$AM,14,0)</f>
        <v>358.2</v>
      </c>
      <c r="H81" s="287">
        <f t="shared" si="15"/>
        <v>59.699999999999996</v>
      </c>
      <c r="I81" s="150">
        <v>1</v>
      </c>
      <c r="J81" s="292"/>
      <c r="K81" s="300">
        <v>7.3941504424778763</v>
      </c>
      <c r="L81" s="300">
        <f t="shared" si="16"/>
        <v>8.3553899999999999</v>
      </c>
      <c r="M81" s="300">
        <f t="shared" si="17"/>
        <v>9.3580368000000007</v>
      </c>
      <c r="N81" s="300">
        <f t="shared" si="23"/>
        <v>9.3580368000000007</v>
      </c>
      <c r="O81" s="300"/>
      <c r="P81" s="300">
        <f t="shared" si="18"/>
        <v>8.2814484955752228</v>
      </c>
      <c r="Q81" s="300">
        <f t="shared" si="19"/>
        <v>0.88729805309734644</v>
      </c>
      <c r="R81" s="298">
        <f t="shared" si="14"/>
        <v>9.3580368000000007</v>
      </c>
      <c r="S81" s="293"/>
      <c r="T81" s="294"/>
      <c r="U81" s="295"/>
      <c r="V81" s="148">
        <f t="shared" si="12"/>
        <v>358.2</v>
      </c>
      <c r="W81" s="296">
        <f t="shared" si="13"/>
        <v>149.06607292035403</v>
      </c>
      <c r="X81" s="355">
        <f>'25年版cogs'!F16</f>
        <v>0.2414926131963808</v>
      </c>
      <c r="Y81" s="365">
        <f>'25年版cogs'!G16</f>
        <v>2.531385367853289E-2</v>
      </c>
      <c r="Z81" s="296">
        <f t="shared" si="20"/>
        <v>53.49599648575996</v>
      </c>
      <c r="AA81" s="143">
        <f t="shared" si="21"/>
        <v>0.3588743933325651</v>
      </c>
      <c r="AB81" s="3">
        <f t="shared" si="22"/>
        <v>0.3588743933325651</v>
      </c>
      <c r="AC81" s="143">
        <v>3.4525429103014803E-3</v>
      </c>
      <c r="AD81" s="3">
        <v>3.4525429103014803E-3</v>
      </c>
    </row>
    <row r="82" spans="2:30">
      <c r="B82" s="305" t="s">
        <v>642</v>
      </c>
      <c r="C82" s="284" t="s">
        <v>195</v>
      </c>
      <c r="D82" s="306" t="str">
        <f>VLOOKUP($C82,[1]Assortment!$F:$BA,5,0)</f>
        <v>231216 舒洁马蹄莲盒面纸200抽3盒 FSC mix70%</v>
      </c>
      <c r="E82" s="1">
        <f>VLOOKUP($C82,[1]Assortment!$F:$AM,7,0)</f>
        <v>10</v>
      </c>
      <c r="F82" s="1">
        <f>VLOOKUP($C82,[1]Assortment!$F:$AM,31,0)</f>
        <v>30</v>
      </c>
      <c r="G82" s="291">
        <f>VLOOKUP($C82,[1]Assortment!$F:$AM,14,0)</f>
        <v>243.21306999999999</v>
      </c>
      <c r="H82" s="287">
        <f t="shared" si="15"/>
        <v>24.321306999999997</v>
      </c>
      <c r="I82" s="150">
        <v>1</v>
      </c>
      <c r="J82" s="292"/>
      <c r="K82" s="300">
        <v>5.4662264580235984</v>
      </c>
      <c r="L82" s="300">
        <f t="shared" si="16"/>
        <v>6.176835897566666</v>
      </c>
      <c r="M82" s="300">
        <f t="shared" si="17"/>
        <v>6.9180562052746666</v>
      </c>
      <c r="N82" s="300">
        <v>6.85</v>
      </c>
      <c r="O82" s="300"/>
      <c r="P82" s="300">
        <f t="shared" si="18"/>
        <v>6.0619469026548671</v>
      </c>
      <c r="Q82" s="300">
        <f t="shared" si="19"/>
        <v>0.59572044463126872</v>
      </c>
      <c r="R82" s="298">
        <f t="shared" si="14"/>
        <v>6.85</v>
      </c>
      <c r="S82" s="293"/>
      <c r="T82" s="294"/>
      <c r="U82" s="295"/>
      <c r="V82" s="148">
        <f t="shared" si="12"/>
        <v>243.21306999999999</v>
      </c>
      <c r="W82" s="296">
        <f t="shared" si="13"/>
        <v>181.85840707964604</v>
      </c>
      <c r="X82" s="355">
        <f>'25年版cogs'!F17</f>
        <v>0.38128924028564587</v>
      </c>
      <c r="Y82" s="365">
        <f>'25年版cogs'!G17</f>
        <v>2.5408134744837801E-2</v>
      </c>
      <c r="Z82" s="296">
        <f t="shared" si="20"/>
        <v>82.944289937540773</v>
      </c>
      <c r="AA82" s="143">
        <f t="shared" si="21"/>
        <v>0.45609268919426305</v>
      </c>
      <c r="AB82" s="3">
        <f t="shared" si="22"/>
        <v>0.45609268919426305</v>
      </c>
      <c r="AC82" s="143">
        <v>0.11037747054972995</v>
      </c>
      <c r="AD82" s="3">
        <v>0.05</v>
      </c>
    </row>
    <row r="83" spans="2:30">
      <c r="B83" s="305" t="s">
        <v>642</v>
      </c>
      <c r="C83" s="284" t="s">
        <v>219</v>
      </c>
      <c r="D83" s="306" t="str">
        <f>VLOOKUP($C83,[1]Assortment!$F:$BA,5,0)</f>
        <v>229160舒洁绿茶洋甘菊印花清香卷纸10粒</v>
      </c>
      <c r="E83" s="1">
        <f>VLOOKUP($C83,[1]Assortment!$F:$AM,7,0)</f>
        <v>5</v>
      </c>
      <c r="F83" s="1">
        <f>VLOOKUP($C83,[1]Assortment!$F:$AM,31,0)</f>
        <v>50</v>
      </c>
      <c r="G83" s="291">
        <f>VLOOKUP($C83,[1]Assortment!$F:$AM,14,0)</f>
        <v>153.64888999999999</v>
      </c>
      <c r="H83" s="287">
        <f t="shared" si="15"/>
        <v>30.729778</v>
      </c>
      <c r="I83" s="150">
        <v>1</v>
      </c>
      <c r="J83" s="292"/>
      <c r="K83" s="300">
        <v>2.2679876571504423</v>
      </c>
      <c r="L83" s="300">
        <f t="shared" si="16"/>
        <v>2.5628260525799993</v>
      </c>
      <c r="M83" s="300">
        <f t="shared" si="17"/>
        <v>2.8703651788895996</v>
      </c>
      <c r="N83" s="300">
        <v>2.57</v>
      </c>
      <c r="O83" s="300"/>
      <c r="P83" s="300">
        <f t="shared" si="18"/>
        <v>2.2743362831858409</v>
      </c>
      <c r="Q83" s="300">
        <f t="shared" si="19"/>
        <v>6.3486260353986523E-3</v>
      </c>
      <c r="R83" s="298">
        <f t="shared" si="14"/>
        <v>2.57</v>
      </c>
      <c r="S83" s="293"/>
      <c r="T83" s="294"/>
      <c r="U83" s="295"/>
      <c r="V83" s="148">
        <f t="shared" si="12"/>
        <v>153.64888999999999</v>
      </c>
      <c r="W83" s="296">
        <f t="shared" si="13"/>
        <v>113.71681415929204</v>
      </c>
      <c r="X83" s="355">
        <f>'25年版cogs'!F18</f>
        <v>0.49468306728938327</v>
      </c>
      <c r="Y83" s="365">
        <f>'25年版cogs'!G18</f>
        <v>2.5366739620046732E-2</v>
      </c>
      <c r="Z83" s="296">
        <f t="shared" si="20"/>
        <v>33.811738582943789</v>
      </c>
      <c r="AA83" s="143">
        <f t="shared" si="21"/>
        <v>0.29733279843366911</v>
      </c>
      <c r="AB83" s="3">
        <f t="shared" si="22"/>
        <v>0.29733279843366911</v>
      </c>
      <c r="AC83" s="143">
        <v>1.8186358107355728E-2</v>
      </c>
      <c r="AD83" s="3">
        <v>1.8186358107355728E-2</v>
      </c>
    </row>
    <row r="84" spans="2:30">
      <c r="B84" s="305" t="s">
        <v>642</v>
      </c>
      <c r="C84" s="284" t="s">
        <v>211</v>
      </c>
      <c r="D84" s="306" t="str">
        <f>VLOOKUP($C84,[1]Assortment!$F:$BA,5,0)</f>
        <v>221635舒洁卷纸3层纯白10粒（蓝色）</v>
      </c>
      <c r="E84" s="1">
        <f>VLOOKUP($C84,[1]Assortment!$F:$AM,7,0)</f>
        <v>10</v>
      </c>
      <c r="F84" s="1">
        <f>VLOOKUP($C84,[1]Assortment!$F:$AM,31,0)</f>
        <v>100</v>
      </c>
      <c r="G84" s="291">
        <f>VLOOKUP($C84,[1]Assortment!$F:$AM,14,0)</f>
        <v>240.89676</v>
      </c>
      <c r="H84" s="287">
        <f t="shared" si="15"/>
        <v>24.089676000000001</v>
      </c>
      <c r="I84" s="150">
        <v>1</v>
      </c>
      <c r="J84" s="292"/>
      <c r="K84" s="300">
        <v>1.768</v>
      </c>
      <c r="L84" s="300">
        <f t="shared" si="16"/>
        <v>1.9978399999999998</v>
      </c>
      <c r="M84" s="300">
        <f t="shared" si="17"/>
        <v>2.2375807999999999</v>
      </c>
      <c r="N84" s="300">
        <v>2.1</v>
      </c>
      <c r="O84" s="300"/>
      <c r="P84" s="300">
        <f t="shared" si="18"/>
        <v>1.8584070796460179</v>
      </c>
      <c r="Q84" s="300">
        <f t="shared" si="19"/>
        <v>9.0407079646017907E-2</v>
      </c>
      <c r="R84" s="298">
        <f t="shared" si="14"/>
        <v>2.1</v>
      </c>
      <c r="S84" s="293"/>
      <c r="T84" s="294"/>
      <c r="U84" s="295"/>
      <c r="V84" s="148">
        <f t="shared" si="12"/>
        <v>240.89676</v>
      </c>
      <c r="W84" s="296">
        <f t="shared" si="13"/>
        <v>185.84070796460179</v>
      </c>
      <c r="X84" s="355">
        <f>'25年版cogs'!F19</f>
        <v>0.47353963688029582</v>
      </c>
      <c r="Y84" s="365">
        <f>'25年版cogs'!G19</f>
        <v>2.5423333707320025E-2</v>
      </c>
      <c r="Z84" s="296">
        <f t="shared" si="20"/>
        <v>65.642144990069838</v>
      </c>
      <c r="AA84" s="143">
        <f t="shared" si="21"/>
        <v>0.35321725637513768</v>
      </c>
      <c r="AB84" s="3">
        <f t="shared" si="22"/>
        <v>0.35321725637513768</v>
      </c>
      <c r="AC84" s="143">
        <v>7.98664345898904E-2</v>
      </c>
      <c r="AD84" s="3">
        <v>0.02</v>
      </c>
    </row>
    <row r="85" spans="2:30">
      <c r="B85" s="305" t="s">
        <v>642</v>
      </c>
      <c r="C85" s="284" t="s">
        <v>164</v>
      </c>
      <c r="D85" s="306" t="str">
        <f>VLOOKUP($C85,[1]Assortment!$F:$BA,5,0)</f>
        <v>216805舒洁®北海道牛乳系列乳霜纸面巾80抽5包装</v>
      </c>
      <c r="E85" s="1">
        <f>VLOOKUP($C85,[1]Assortment!$F:$AM,7,0)</f>
        <v>3</v>
      </c>
      <c r="F85" s="1">
        <f>VLOOKUP($C85,[1]Assortment!$F:$AM,31,0)</f>
        <v>15</v>
      </c>
      <c r="G85" s="291">
        <f>VLOOKUP($C85,[1]Assortment!$F:$AM,14,0)</f>
        <v>215.56800000000001</v>
      </c>
      <c r="H85" s="287">
        <f t="shared" si="15"/>
        <v>71.856000000000009</v>
      </c>
      <c r="I85" s="150">
        <v>1</v>
      </c>
      <c r="J85" s="292"/>
      <c r="K85" s="300">
        <v>7.0024923185840722</v>
      </c>
      <c r="L85" s="300">
        <f t="shared" si="16"/>
        <v>7.912816320000001</v>
      </c>
      <c r="M85" s="300">
        <f t="shared" si="17"/>
        <v>8.8623542784000016</v>
      </c>
      <c r="N85" s="300">
        <v>8.4499999999999993</v>
      </c>
      <c r="O85" s="300"/>
      <c r="P85" s="300">
        <f t="shared" si="18"/>
        <v>7.4778761061946906</v>
      </c>
      <c r="Q85" s="300">
        <f t="shared" si="19"/>
        <v>0.47538378761061839</v>
      </c>
      <c r="R85" s="298">
        <f t="shared" si="14"/>
        <v>8.4499999999999993</v>
      </c>
      <c r="S85" s="293"/>
      <c r="T85" s="294"/>
      <c r="U85" s="295"/>
      <c r="V85" s="148">
        <f t="shared" si="12"/>
        <v>215.56800000000001</v>
      </c>
      <c r="W85" s="296">
        <f t="shared" si="13"/>
        <v>112.16814159292035</v>
      </c>
      <c r="X85" s="355">
        <f>'25年版cogs'!F20</f>
        <v>0.26496938359231037</v>
      </c>
      <c r="Y85" s="365">
        <f>'25年版cogs'!G20</f>
        <v>2.5333386569427189E-2</v>
      </c>
      <c r="Z85" s="296">
        <f t="shared" si="20"/>
        <v>49.588154034694902</v>
      </c>
      <c r="AA85" s="143">
        <f t="shared" si="21"/>
        <v>0.44208768488524847</v>
      </c>
      <c r="AB85" s="3">
        <f t="shared" si="22"/>
        <v>0.44208768488524847</v>
      </c>
      <c r="AC85" s="143">
        <v>2.3216315772113902E-2</v>
      </c>
      <c r="AD85" s="3">
        <v>0.02</v>
      </c>
    </row>
    <row r="86" spans="2:30">
      <c r="B86" s="305" t="s">
        <v>642</v>
      </c>
      <c r="C86" s="284" t="s">
        <v>157</v>
      </c>
      <c r="D86" s="306" t="str">
        <f>VLOOKUP($C86,[1]Assortment!$F:$BA,5,0)</f>
        <v>216710舒洁®牛乳系列乳霜纸面巾口袋包7抽10包装</v>
      </c>
      <c r="E86" s="1">
        <f>VLOOKUP($C86,[1]Assortment!$F:$AM,7,0)</f>
        <v>12</v>
      </c>
      <c r="F86" s="1">
        <f>VLOOKUP($C86,[1]Assortment!$F:$AM,31,0)</f>
        <v>120</v>
      </c>
      <c r="G86" s="291">
        <f>VLOOKUP($C86,[1]Assortment!$F:$AM,14,0)</f>
        <v>202.8</v>
      </c>
      <c r="H86" s="287">
        <f t="shared" si="15"/>
        <v>16.900000000000002</v>
      </c>
      <c r="I86" s="150">
        <v>1</v>
      </c>
      <c r="J86" s="292"/>
      <c r="K86" s="300">
        <v>0.80416725663716826</v>
      </c>
      <c r="L86" s="300">
        <f t="shared" si="16"/>
        <v>0.9087090000000001</v>
      </c>
      <c r="M86" s="300">
        <f t="shared" si="17"/>
        <v>1.0177540800000002</v>
      </c>
      <c r="N86" s="300">
        <f>M86</f>
        <v>1.0177540800000002</v>
      </c>
      <c r="O86" s="300"/>
      <c r="P86" s="300">
        <f>N86/1.13</f>
        <v>0.90066732743362865</v>
      </c>
      <c r="Q86" s="300">
        <f t="shared" si="19"/>
        <v>9.6500070796460391E-2</v>
      </c>
      <c r="R86" s="298">
        <f t="shared" si="14"/>
        <v>1.0177540800000002</v>
      </c>
      <c r="S86" s="293"/>
      <c r="T86" s="294"/>
      <c r="U86" s="295"/>
      <c r="V86" s="148">
        <f t="shared" si="12"/>
        <v>202.8</v>
      </c>
      <c r="W86" s="296">
        <f t="shared" si="13"/>
        <v>108.08007929203544</v>
      </c>
      <c r="X86" s="355">
        <f>'25年版cogs'!F21</f>
        <v>0.2909103021060831</v>
      </c>
      <c r="Y86" s="365">
        <f>'25年版cogs'!G21</f>
        <v>2.5403037476649477E-2</v>
      </c>
      <c r="Z86" s="296">
        <f t="shared" si="20"/>
        <v>43.931734024657274</v>
      </c>
      <c r="AA86" s="143">
        <f t="shared" si="21"/>
        <v>0.40647392481969302</v>
      </c>
      <c r="AB86" s="3">
        <f t="shared" si="22"/>
        <v>0.40647392481969302</v>
      </c>
      <c r="AC86" s="143">
        <v>5.6779478175666325E-3</v>
      </c>
      <c r="AD86" s="3">
        <v>0.01</v>
      </c>
    </row>
    <row r="87" spans="2:30">
      <c r="B87" s="305" t="s">
        <v>642</v>
      </c>
      <c r="C87" s="284" t="s">
        <v>150</v>
      </c>
      <c r="D87" s="306" t="str">
        <f>VLOOKUP($C87,[1]Assortment!$F:$BA,5,0)</f>
        <v>216208舒洁®北海道牛乳系列乳霜纸面巾20抽8包装</v>
      </c>
      <c r="E87" s="1">
        <f>VLOOKUP($C87,[1]Assortment!$F:$AM,7,0)</f>
        <v>4</v>
      </c>
      <c r="F87" s="1">
        <f>VLOOKUP($C87,[1]Assortment!$F:$AM,31,0)</f>
        <v>32</v>
      </c>
      <c r="G87" s="291">
        <f>VLOOKUP($C87,[1]Assortment!$F:$AM,14,0)</f>
        <v>100.4986</v>
      </c>
      <c r="H87" s="287">
        <f t="shared" si="15"/>
        <v>25.124649999999999</v>
      </c>
      <c r="I87" s="150">
        <v>1</v>
      </c>
      <c r="J87" s="292"/>
      <c r="K87" s="300">
        <v>1.601579022676991</v>
      </c>
      <c r="L87" s="300">
        <f t="shared" si="16"/>
        <v>1.8097842956249997</v>
      </c>
      <c r="M87" s="300">
        <f t="shared" si="17"/>
        <v>2.0269584110999999</v>
      </c>
      <c r="N87" s="300">
        <f t="shared" si="23"/>
        <v>2.0269584110999999</v>
      </c>
      <c r="O87" s="300"/>
      <c r="P87" s="300">
        <f t="shared" si="18"/>
        <v>1.7937685053982302</v>
      </c>
      <c r="Q87" s="300">
        <f t="shared" si="19"/>
        <v>0.19218948272123915</v>
      </c>
      <c r="R87" s="298">
        <f t="shared" si="14"/>
        <v>2.0269584110999999</v>
      </c>
      <c r="S87" s="293"/>
      <c r="T87" s="294"/>
      <c r="U87" s="295"/>
      <c r="V87" s="148">
        <f t="shared" si="12"/>
        <v>100.4986</v>
      </c>
      <c r="W87" s="296">
        <f t="shared" si="13"/>
        <v>57.400592172743366</v>
      </c>
      <c r="X87" s="355">
        <f>'25年版cogs'!F22</f>
        <v>0.29650668428487109</v>
      </c>
      <c r="Y87" s="365">
        <f>'25年版cogs'!G22</f>
        <v>2.5358570544791955E-2</v>
      </c>
      <c r="Z87" s="296">
        <f t="shared" si="20"/>
        <v>25.053584673718994</v>
      </c>
      <c r="AA87" s="143">
        <f t="shared" si="21"/>
        <v>0.43646909771108028</v>
      </c>
      <c r="AB87" s="3">
        <f t="shared" si="22"/>
        <v>0.43646909771108028</v>
      </c>
      <c r="AC87" s="143">
        <v>5.8378523563716155E-3</v>
      </c>
      <c r="AD87" s="3">
        <v>5.8378523563716155E-3</v>
      </c>
    </row>
    <row r="88" spans="2:30">
      <c r="B88" s="305" t="s">
        <v>642</v>
      </c>
      <c r="C88" s="284" t="s">
        <v>143</v>
      </c>
      <c r="D88" s="306" t="str">
        <f>VLOOKUP($C88,[1]Assortment!$F:$BA,5,0)</f>
        <v>215610舒洁®北海道轻牛乳系列乳霜纸面巾100抽3包装</v>
      </c>
      <c r="E88" s="1">
        <f>VLOOKUP($C88,[1]Assortment!$F:$AM,7,0)</f>
        <v>6</v>
      </c>
      <c r="F88" s="1">
        <f>VLOOKUP($C88,[1]Assortment!$F:$AM,31,0)</f>
        <v>18</v>
      </c>
      <c r="G88" s="291">
        <f>VLOOKUP($C88,[1]Assortment!$F:$AM,14,0)</f>
        <v>215.4</v>
      </c>
      <c r="H88" s="287">
        <f t="shared" si="15"/>
        <v>35.9</v>
      </c>
      <c r="I88" s="150">
        <v>1</v>
      </c>
      <c r="J88" s="292"/>
      <c r="K88" s="300">
        <v>4.5967522123893803</v>
      </c>
      <c r="L88" s="300">
        <f t="shared" si="16"/>
        <v>5.194329999999999</v>
      </c>
      <c r="M88" s="300">
        <f t="shared" si="17"/>
        <v>5.8176495999999993</v>
      </c>
      <c r="N88" s="300">
        <v>6.2</v>
      </c>
      <c r="O88" s="300"/>
      <c r="P88" s="300">
        <f t="shared" si="18"/>
        <v>5.4867256637168147</v>
      </c>
      <c r="Q88" s="300">
        <f t="shared" si="19"/>
        <v>0.88997345132743444</v>
      </c>
      <c r="R88" s="298">
        <f t="shared" si="14"/>
        <v>6.2</v>
      </c>
      <c r="S88" s="293"/>
      <c r="T88" s="294"/>
      <c r="U88" s="295"/>
      <c r="V88" s="148">
        <f t="shared" si="12"/>
        <v>215.4</v>
      </c>
      <c r="W88" s="296">
        <f t="shared" si="13"/>
        <v>98.761061946902672</v>
      </c>
      <c r="X88" s="355">
        <f>'25年版cogs'!F23</f>
        <v>0.22394372927331715</v>
      </c>
      <c r="Y88" s="365">
        <f>'25年版cogs'!G23</f>
        <v>2.5367320298030818E-2</v>
      </c>
      <c r="Z88" s="296">
        <f t="shared" si="20"/>
        <v>45.059461869234319</v>
      </c>
      <c r="AA88" s="143">
        <f t="shared" si="21"/>
        <v>0.45624723935694239</v>
      </c>
      <c r="AB88" s="3">
        <f t="shared" si="22"/>
        <v>0.45624723935694239</v>
      </c>
      <c r="AC88" s="143">
        <v>6.2721701845398648E-3</v>
      </c>
      <c r="AD88" s="3">
        <v>0.01</v>
      </c>
    </row>
    <row r="89" spans="2:30">
      <c r="B89" s="305" t="s">
        <v>642</v>
      </c>
      <c r="C89" s="284" t="s">
        <v>136</v>
      </c>
      <c r="D89" s="306" t="str">
        <f>VLOOKUP($C89,[1]Assortment!$F:$BA,5,0)</f>
        <v>215503舒洁®北海道轻牛乳系列乳霜纸面巾40抽3包装</v>
      </c>
      <c r="E89" s="1">
        <f>VLOOKUP($C89,[1]Assortment!$F:$AM,7,0)</f>
        <v>16</v>
      </c>
      <c r="F89" s="1">
        <f>VLOOKUP($C89,[1]Assortment!$F:$AM,31,0)</f>
        <v>48</v>
      </c>
      <c r="G89" s="291">
        <f>VLOOKUP($C89,[1]Assortment!$F:$AM,14,0)</f>
        <v>222.4</v>
      </c>
      <c r="H89" s="287">
        <f t="shared" si="15"/>
        <v>13.9</v>
      </c>
      <c r="I89" s="150">
        <v>1</v>
      </c>
      <c r="J89" s="292"/>
      <c r="K89" s="300">
        <v>1.9258967551622426</v>
      </c>
      <c r="L89" s="300">
        <f t="shared" si="16"/>
        <v>2.1762633333333339</v>
      </c>
      <c r="M89" s="300">
        <f t="shared" si="17"/>
        <v>2.4374149333333341</v>
      </c>
      <c r="N89" s="300">
        <f t="shared" si="23"/>
        <v>2.4374149333333341</v>
      </c>
      <c r="O89" s="300"/>
      <c r="P89" s="300">
        <f t="shared" si="18"/>
        <v>2.1570043657817117</v>
      </c>
      <c r="Q89" s="300">
        <f t="shared" si="19"/>
        <v>0.23110761061946916</v>
      </c>
      <c r="R89" s="298">
        <f t="shared" si="14"/>
        <v>2.4374149333333341</v>
      </c>
      <c r="S89" s="293"/>
      <c r="T89" s="294"/>
      <c r="U89" s="295"/>
      <c r="V89" s="148">
        <f t="shared" si="12"/>
        <v>222.4</v>
      </c>
      <c r="W89" s="296">
        <f t="shared" si="13"/>
        <v>103.53620955752216</v>
      </c>
      <c r="X89" s="355">
        <f>'25年版cogs'!F24</f>
        <v>0.22149679389880211</v>
      </c>
      <c r="Y89" s="365">
        <f>'25年版cogs'!G24</f>
        <v>2.5475022958540674E-2</v>
      </c>
      <c r="Z89" s="296">
        <f t="shared" si="20"/>
        <v>48.609677488449115</v>
      </c>
      <c r="AA89" s="143">
        <f t="shared" si="21"/>
        <v>0.46949446668165673</v>
      </c>
      <c r="AB89" s="3">
        <f t="shared" si="22"/>
        <v>0.46949446668165673</v>
      </c>
      <c r="AC89" s="143">
        <v>1.7386836643602317E-3</v>
      </c>
      <c r="AD89" s="3">
        <v>0.01</v>
      </c>
    </row>
    <row r="90" spans="2:30">
      <c r="B90" s="305" t="s">
        <v>642</v>
      </c>
      <c r="C90" s="284" t="s">
        <v>127</v>
      </c>
      <c r="D90" s="306" t="str">
        <f>VLOOKUP($C90,[1]Assortment!$F:$BA,5,0)</f>
        <v>215204舒洁鎏金系列乳霜纸巾40抽8包</v>
      </c>
      <c r="E90" s="1">
        <f>VLOOKUP($C90,[1]Assortment!$F:$AM,7,0)</f>
        <v>4</v>
      </c>
      <c r="F90" s="1">
        <f>VLOOKUP($C90,[1]Assortment!$F:$AM,31,0)</f>
        <v>32</v>
      </c>
      <c r="G90" s="291">
        <f>VLOOKUP($C90,[1]Assortment!$F:$AM,14,0)</f>
        <v>105.788</v>
      </c>
      <c r="H90" s="287">
        <f t="shared" si="15"/>
        <v>26.446999999999999</v>
      </c>
      <c r="I90" s="150">
        <v>1</v>
      </c>
      <c r="J90" s="292"/>
      <c r="K90" s="300">
        <v>1.4882131305309736</v>
      </c>
      <c r="L90" s="300">
        <f t="shared" si="16"/>
        <v>1.6816808375000001</v>
      </c>
      <c r="M90" s="300">
        <f t="shared" si="17"/>
        <v>1.8834825380000002</v>
      </c>
      <c r="N90" s="300">
        <f t="shared" si="23"/>
        <v>1.8834825380000002</v>
      </c>
      <c r="O90" s="300"/>
      <c r="P90" s="300">
        <f t="shared" si="18"/>
        <v>1.6667987061946905</v>
      </c>
      <c r="Q90" s="300">
        <f t="shared" si="19"/>
        <v>0.17858557566371691</v>
      </c>
      <c r="R90" s="298">
        <f t="shared" si="14"/>
        <v>1.8834825380000002</v>
      </c>
      <c r="S90" s="293"/>
      <c r="T90" s="294"/>
      <c r="U90" s="295"/>
      <c r="V90" s="148">
        <f t="shared" si="12"/>
        <v>105.788</v>
      </c>
      <c r="W90" s="296">
        <f t="shared" si="13"/>
        <v>53.337558598230096</v>
      </c>
      <c r="X90" s="355">
        <f>'25年版cogs'!F25</f>
        <v>0.25536402616000919</v>
      </c>
      <c r="Y90" s="365">
        <f>'25年版cogs'!G25</f>
        <v>2.5361359742858736E-2</v>
      </c>
      <c r="Z90" s="296">
        <f t="shared" si="20"/>
        <v>23.640181474337503</v>
      </c>
      <c r="AA90" s="143">
        <f t="shared" si="21"/>
        <v>0.44321828924359424</v>
      </c>
      <c r="AB90" s="3">
        <f t="shared" si="22"/>
        <v>0.44321828924359424</v>
      </c>
      <c r="AC90" s="143">
        <v>2.2587735612832867E-3</v>
      </c>
      <c r="AD90" s="3">
        <v>2.2587735612832867E-3</v>
      </c>
    </row>
    <row r="91" spans="2:30">
      <c r="B91" s="305" t="s">
        <v>642</v>
      </c>
      <c r="C91" s="284" t="s">
        <v>187</v>
      </c>
      <c r="D91" s="306" t="str">
        <f>VLOOKUP($C91,[1]Assortment!$F:$BA,5,0)</f>
        <v>210761舒洁卡通系列抽纸200抽3包 FSC mix70%</v>
      </c>
      <c r="E91" s="1">
        <f>VLOOKUP($C91,[1]Assortment!$F:$AM,7,0)</f>
        <v>20</v>
      </c>
      <c r="F91" s="1">
        <f>VLOOKUP($C91,[1]Assortment!$F:$AM,31,0)</f>
        <v>60</v>
      </c>
      <c r="G91" s="291">
        <f>VLOOKUP($C91,[1]Assortment!$F:$AM,14,0)</f>
        <v>338.18198999999998</v>
      </c>
      <c r="H91" s="287">
        <f t="shared" si="15"/>
        <v>16.9090995</v>
      </c>
      <c r="I91" s="150">
        <v>1</v>
      </c>
      <c r="J91" s="292"/>
      <c r="K91" s="300">
        <v>3.9400535477728611</v>
      </c>
      <c r="L91" s="300">
        <f t="shared" si="16"/>
        <v>4.4522605089833327</v>
      </c>
      <c r="M91" s="300">
        <f t="shared" si="17"/>
        <v>4.9865317700613332</v>
      </c>
      <c r="N91" s="300">
        <f t="shared" si="23"/>
        <v>4.9865317700613332</v>
      </c>
      <c r="O91" s="300"/>
      <c r="P91" s="300">
        <f t="shared" si="18"/>
        <v>4.4128599735056051</v>
      </c>
      <c r="Q91" s="300">
        <f t="shared" si="19"/>
        <v>0.47280642573274401</v>
      </c>
      <c r="R91" s="298">
        <f t="shared" si="14"/>
        <v>4.9865317700613332</v>
      </c>
      <c r="S91" s="293"/>
      <c r="T91" s="294"/>
      <c r="U91" s="295"/>
      <c r="V91" s="148">
        <f t="shared" si="12"/>
        <v>338.18198999999998</v>
      </c>
      <c r="W91" s="296">
        <f t="shared" si="13"/>
        <v>264.77159841033631</v>
      </c>
      <c r="X91" s="355">
        <f>'25年版cogs'!F26</f>
        <v>0.42805769036569208</v>
      </c>
      <c r="Y91" s="365">
        <f>'25年版cogs'!G26</f>
        <v>2.5434117717440075E-2</v>
      </c>
      <c r="Z91" s="296">
        <f t="shared" si="20"/>
        <v>111.40883630408459</v>
      </c>
      <c r="AA91" s="143">
        <f t="shared" si="21"/>
        <v>0.42077336456392123</v>
      </c>
      <c r="AB91" s="3">
        <f t="shared" si="22"/>
        <v>0.42077336456392123</v>
      </c>
      <c r="AC91" s="143">
        <v>0.13403528524478422</v>
      </c>
      <c r="AD91" s="344">
        <v>0.13403528524478422</v>
      </c>
    </row>
    <row r="92" spans="2:30">
      <c r="B92" s="305" t="s">
        <v>642</v>
      </c>
      <c r="C92" s="284" t="s">
        <v>172</v>
      </c>
      <c r="D92" s="306" t="str">
        <f>VLOOKUP($C92,[1]Assortment!$F:$BA,5,0)</f>
        <v>210390舒洁小熊印花抽纸3层80抽4包FSC mix70%</v>
      </c>
      <c r="E92" s="1">
        <f>VLOOKUP($C92,[1]Assortment!$F:$AM,7,0)</f>
        <v>24</v>
      </c>
      <c r="F92" s="1">
        <f>VLOOKUP($C92,[1]Assortment!$F:$AM,31,0)</f>
        <v>96</v>
      </c>
      <c r="G92" s="291">
        <f>VLOOKUP($C92,[1]Assortment!$F:$AM,14,0)</f>
        <v>287.22305</v>
      </c>
      <c r="H92" s="287">
        <f t="shared" si="15"/>
        <v>11.967627083333333</v>
      </c>
      <c r="I92" s="150">
        <v>1</v>
      </c>
      <c r="J92" s="292"/>
      <c r="K92" s="300">
        <v>2.1945357853982301</v>
      </c>
      <c r="L92" s="300">
        <f t="shared" si="16"/>
        <v>2.4798254374999997</v>
      </c>
      <c r="M92" s="300">
        <f t="shared" si="17"/>
        <v>2.7774044899999999</v>
      </c>
      <c r="N92" s="300">
        <v>2.48</v>
      </c>
      <c r="O92" s="300"/>
      <c r="P92" s="300">
        <f t="shared" si="18"/>
        <v>2.194690265486726</v>
      </c>
      <c r="Q92" s="300">
        <f t="shared" si="19"/>
        <v>1.5448008849583417E-4</v>
      </c>
      <c r="R92" s="298">
        <f t="shared" si="14"/>
        <v>2.48</v>
      </c>
      <c r="S92" s="293"/>
      <c r="T92" s="294"/>
      <c r="U92" s="295"/>
      <c r="V92" s="148">
        <f t="shared" si="12"/>
        <v>287.22305</v>
      </c>
      <c r="W92" s="296">
        <f t="shared" si="13"/>
        <v>210.69026548672568</v>
      </c>
      <c r="X92" s="355">
        <f>'25年版cogs'!F27</f>
        <v>0.46342069628326699</v>
      </c>
      <c r="Y92" s="365">
        <f>'25年版cogs'!G27</f>
        <v>2.5450892425433764E-2</v>
      </c>
      <c r="Z92" s="296">
        <f t="shared" si="20"/>
        <v>70.27507671946708</v>
      </c>
      <c r="AA92" s="143">
        <f t="shared" si="21"/>
        <v>0.33354686110970178</v>
      </c>
      <c r="AB92" s="3">
        <f t="shared" si="22"/>
        <v>0.33354686110970178</v>
      </c>
      <c r="AC92" s="143">
        <v>0.1268698985792468</v>
      </c>
      <c r="AD92" s="344">
        <v>0.15</v>
      </c>
    </row>
    <row r="93" spans="2:30">
      <c r="B93" s="487" t="s">
        <v>676</v>
      </c>
      <c r="C93" s="488"/>
      <c r="D93" s="488"/>
      <c r="E93" s="488"/>
      <c r="F93" s="488"/>
      <c r="G93" s="488"/>
      <c r="H93" s="488"/>
      <c r="I93" s="488"/>
      <c r="J93" s="488"/>
      <c r="K93" s="488"/>
      <c r="L93" s="488"/>
      <c r="M93" s="488"/>
      <c r="N93" s="488"/>
      <c r="O93" s="488"/>
      <c r="P93" s="488"/>
      <c r="Q93" s="488"/>
      <c r="R93" s="488"/>
      <c r="S93" s="488"/>
      <c r="T93" s="488"/>
      <c r="U93" s="488"/>
      <c r="AD93" s="131">
        <f>SUMPRODUCT(AB69:AB92,AD69:AD92)</f>
        <v>0.35085032809740924</v>
      </c>
    </row>
    <row r="94" spans="2:30">
      <c r="B94" s="489"/>
      <c r="C94" s="489"/>
      <c r="D94" s="489"/>
      <c r="E94" s="489"/>
      <c r="F94" s="489"/>
      <c r="G94" s="489"/>
      <c r="H94" s="489"/>
      <c r="I94" s="489"/>
      <c r="J94" s="489"/>
      <c r="K94" s="489"/>
      <c r="L94" s="489"/>
      <c r="M94" s="489"/>
      <c r="N94" s="489"/>
      <c r="O94" s="489"/>
      <c r="P94" s="489"/>
      <c r="Q94" s="489"/>
      <c r="R94" s="489"/>
      <c r="S94" s="489"/>
      <c r="T94" s="489"/>
      <c r="U94" s="489"/>
    </row>
    <row r="95" spans="2:30">
      <c r="B95" s="489"/>
      <c r="C95" s="489"/>
      <c r="D95" s="489"/>
      <c r="E95" s="489"/>
      <c r="F95" s="489"/>
      <c r="G95" s="489"/>
      <c r="H95" s="489"/>
      <c r="I95" s="489"/>
      <c r="J95" s="489"/>
      <c r="K95" s="489"/>
      <c r="L95" s="489"/>
      <c r="M95" s="489"/>
      <c r="N95" s="489"/>
      <c r="O95" s="489"/>
      <c r="P95" s="489"/>
      <c r="Q95" s="489"/>
      <c r="R95" s="489"/>
      <c r="S95" s="489"/>
      <c r="T95" s="489"/>
      <c r="U95" s="489"/>
    </row>
    <row r="96" spans="2:30">
      <c r="B96" s="489"/>
      <c r="C96" s="489"/>
      <c r="D96" s="489"/>
      <c r="E96" s="489"/>
      <c r="F96" s="489"/>
      <c r="G96" s="489"/>
      <c r="H96" s="489"/>
      <c r="I96" s="489"/>
      <c r="J96" s="489"/>
      <c r="K96" s="489"/>
      <c r="L96" s="489"/>
      <c r="M96" s="489"/>
      <c r="N96" s="489"/>
      <c r="O96" s="489"/>
      <c r="P96" s="489"/>
      <c r="Q96" s="489"/>
      <c r="R96" s="489"/>
      <c r="S96" s="489"/>
      <c r="T96" s="489"/>
      <c r="U96" s="489"/>
    </row>
    <row r="97" spans="2:21">
      <c r="B97" s="489"/>
      <c r="C97" s="489"/>
      <c r="D97" s="489"/>
      <c r="E97" s="489"/>
      <c r="F97" s="489"/>
      <c r="G97" s="489"/>
      <c r="H97" s="489"/>
      <c r="I97" s="489"/>
      <c r="J97" s="489"/>
      <c r="K97" s="489"/>
      <c r="L97" s="489"/>
      <c r="M97" s="489"/>
      <c r="N97" s="489"/>
      <c r="O97" s="489"/>
      <c r="P97" s="489"/>
      <c r="Q97" s="489"/>
      <c r="R97" s="489"/>
      <c r="S97" s="489"/>
      <c r="T97" s="489"/>
      <c r="U97" s="489"/>
    </row>
    <row r="98" spans="2:21">
      <c r="B98" s="489"/>
      <c r="C98" s="489"/>
      <c r="D98" s="489"/>
      <c r="E98" s="489"/>
      <c r="F98" s="489"/>
      <c r="G98" s="489"/>
      <c r="H98" s="489"/>
      <c r="I98" s="489"/>
      <c r="J98" s="489"/>
      <c r="K98" s="489"/>
      <c r="L98" s="489"/>
      <c r="M98" s="489"/>
      <c r="N98" s="489"/>
      <c r="O98" s="489"/>
      <c r="P98" s="489"/>
      <c r="Q98" s="489"/>
      <c r="R98" s="489"/>
      <c r="S98" s="489"/>
      <c r="T98" s="489"/>
      <c r="U98" s="489"/>
    </row>
    <row r="99" spans="2:21">
      <c r="B99" s="489"/>
      <c r="C99" s="489"/>
      <c r="D99" s="489"/>
      <c r="E99" s="489"/>
      <c r="F99" s="489"/>
      <c r="G99" s="489"/>
      <c r="H99" s="489"/>
      <c r="I99" s="489"/>
      <c r="J99" s="489"/>
      <c r="K99" s="489"/>
      <c r="L99" s="489"/>
      <c r="M99" s="489"/>
      <c r="N99" s="489"/>
      <c r="O99" s="489"/>
      <c r="P99" s="489"/>
      <c r="Q99" s="489"/>
      <c r="R99" s="489"/>
      <c r="S99" s="489"/>
      <c r="T99" s="489"/>
      <c r="U99" s="489"/>
    </row>
    <row r="100" spans="2:21">
      <c r="B100" s="489"/>
      <c r="C100" s="489"/>
      <c r="D100" s="489"/>
      <c r="E100" s="489"/>
      <c r="F100" s="489"/>
      <c r="G100" s="489"/>
      <c r="H100" s="489"/>
      <c r="I100" s="489"/>
      <c r="J100" s="489"/>
      <c r="K100" s="489"/>
      <c r="L100" s="489"/>
      <c r="M100" s="489"/>
      <c r="N100" s="489"/>
      <c r="O100" s="489"/>
      <c r="P100" s="489"/>
      <c r="Q100" s="489"/>
      <c r="R100" s="489"/>
      <c r="S100" s="489"/>
      <c r="T100" s="489"/>
      <c r="U100" s="489"/>
    </row>
    <row r="101" spans="2:21">
      <c r="B101" s="489"/>
      <c r="C101" s="489"/>
      <c r="D101" s="489"/>
      <c r="E101" s="489"/>
      <c r="F101" s="489"/>
      <c r="G101" s="489"/>
      <c r="H101" s="489"/>
      <c r="I101" s="489"/>
      <c r="J101" s="489"/>
      <c r="K101" s="489"/>
      <c r="L101" s="489"/>
      <c r="M101" s="489"/>
      <c r="N101" s="489"/>
      <c r="O101" s="489"/>
      <c r="P101" s="489"/>
      <c r="Q101" s="489"/>
      <c r="R101" s="489"/>
      <c r="S101" s="489"/>
      <c r="T101" s="489"/>
      <c r="U101" s="489"/>
    </row>
    <row r="102" spans="2:21">
      <c r="B102" s="489"/>
      <c r="C102" s="489"/>
      <c r="D102" s="489"/>
      <c r="E102" s="489"/>
      <c r="F102" s="489"/>
      <c r="G102" s="489"/>
      <c r="H102" s="489"/>
      <c r="I102" s="489"/>
      <c r="J102" s="489"/>
      <c r="K102" s="489"/>
      <c r="L102" s="489"/>
      <c r="M102" s="489"/>
      <c r="N102" s="489"/>
      <c r="O102" s="489"/>
      <c r="P102" s="489"/>
      <c r="Q102" s="489"/>
      <c r="R102" s="489"/>
      <c r="S102" s="489"/>
      <c r="T102" s="489"/>
      <c r="U102" s="489"/>
    </row>
    <row r="103" spans="2:21">
      <c r="B103" s="489"/>
      <c r="C103" s="489"/>
      <c r="D103" s="489"/>
      <c r="E103" s="489"/>
      <c r="F103" s="489"/>
      <c r="G103" s="489"/>
      <c r="H103" s="489"/>
      <c r="I103" s="489"/>
      <c r="J103" s="489"/>
      <c r="K103" s="489"/>
      <c r="L103" s="489"/>
      <c r="M103" s="489"/>
      <c r="N103" s="489"/>
      <c r="O103" s="489"/>
      <c r="P103" s="489"/>
      <c r="Q103" s="489"/>
      <c r="R103" s="489"/>
      <c r="S103" s="489"/>
      <c r="T103" s="489"/>
      <c r="U103" s="489"/>
    </row>
    <row r="104" spans="2:21">
      <c r="B104" s="489"/>
      <c r="C104" s="489"/>
      <c r="D104" s="489"/>
      <c r="E104" s="489"/>
      <c r="F104" s="489"/>
      <c r="G104" s="489"/>
      <c r="H104" s="489"/>
      <c r="I104" s="489"/>
      <c r="J104" s="489"/>
      <c r="K104" s="489"/>
      <c r="L104" s="489"/>
      <c r="M104" s="489"/>
      <c r="N104" s="489"/>
      <c r="O104" s="489"/>
      <c r="P104" s="489"/>
      <c r="Q104" s="489"/>
      <c r="R104" s="489"/>
      <c r="S104" s="489"/>
      <c r="T104" s="489"/>
      <c r="U104" s="489"/>
    </row>
    <row r="105" spans="2:21">
      <c r="B105" s="489"/>
      <c r="C105" s="489"/>
      <c r="D105" s="489"/>
      <c r="E105" s="489"/>
      <c r="F105" s="489"/>
      <c r="G105" s="489"/>
      <c r="H105" s="489"/>
      <c r="I105" s="489"/>
      <c r="J105" s="489"/>
      <c r="K105" s="489"/>
      <c r="L105" s="489"/>
      <c r="M105" s="489"/>
      <c r="N105" s="489"/>
      <c r="O105" s="489"/>
      <c r="P105" s="489"/>
      <c r="Q105" s="489"/>
      <c r="R105" s="489"/>
      <c r="S105" s="489"/>
      <c r="T105" s="489"/>
      <c r="U105" s="489"/>
    </row>
    <row r="106" spans="2:21">
      <c r="B106" s="489"/>
      <c r="C106" s="489"/>
      <c r="D106" s="489"/>
      <c r="E106" s="489"/>
      <c r="F106" s="489"/>
      <c r="G106" s="489"/>
      <c r="H106" s="489"/>
      <c r="I106" s="489"/>
      <c r="J106" s="489"/>
      <c r="K106" s="489"/>
      <c r="L106" s="489"/>
      <c r="M106" s="489"/>
      <c r="N106" s="489"/>
      <c r="O106" s="489"/>
      <c r="P106" s="489"/>
      <c r="Q106" s="489"/>
      <c r="R106" s="489"/>
      <c r="S106" s="489"/>
      <c r="T106" s="489"/>
      <c r="U106" s="489"/>
    </row>
    <row r="107" spans="2:21">
      <c r="B107" s="489"/>
      <c r="C107" s="489"/>
      <c r="D107" s="489"/>
      <c r="E107" s="489"/>
      <c r="F107" s="489"/>
      <c r="G107" s="489"/>
      <c r="H107" s="489"/>
      <c r="I107" s="489"/>
      <c r="J107" s="489"/>
      <c r="K107" s="489"/>
      <c r="L107" s="489"/>
      <c r="M107" s="489"/>
      <c r="N107" s="489"/>
      <c r="O107" s="489"/>
      <c r="P107" s="489"/>
      <c r="Q107" s="489"/>
      <c r="R107" s="489"/>
      <c r="S107" s="489"/>
      <c r="T107" s="489"/>
      <c r="U107" s="489"/>
    </row>
    <row r="108" spans="2:21">
      <c r="B108" s="489"/>
      <c r="C108" s="489"/>
      <c r="D108" s="489"/>
      <c r="E108" s="489"/>
      <c r="F108" s="489"/>
      <c r="G108" s="489"/>
      <c r="H108" s="489"/>
      <c r="I108" s="489"/>
      <c r="J108" s="489"/>
      <c r="K108" s="489"/>
      <c r="L108" s="489"/>
      <c r="M108" s="489"/>
      <c r="N108" s="489"/>
      <c r="O108" s="489"/>
      <c r="P108" s="489"/>
      <c r="Q108" s="489"/>
      <c r="R108" s="489"/>
      <c r="S108" s="489"/>
      <c r="T108" s="489"/>
      <c r="U108" s="489"/>
    </row>
    <row r="109" spans="2:21">
      <c r="B109" s="489"/>
      <c r="C109" s="489"/>
      <c r="D109" s="489"/>
      <c r="E109" s="489"/>
      <c r="F109" s="489"/>
      <c r="G109" s="489"/>
      <c r="H109" s="489"/>
      <c r="I109" s="489"/>
      <c r="J109" s="489"/>
      <c r="K109" s="489"/>
      <c r="L109" s="489"/>
      <c r="M109" s="489"/>
      <c r="N109" s="489"/>
      <c r="O109" s="489"/>
      <c r="P109" s="489"/>
      <c r="Q109" s="489"/>
      <c r="R109" s="489"/>
      <c r="S109" s="489"/>
      <c r="T109" s="489"/>
      <c r="U109" s="489"/>
    </row>
    <row r="110" spans="2:21">
      <c r="B110" s="489"/>
      <c r="C110" s="489"/>
      <c r="D110" s="489"/>
      <c r="E110" s="489"/>
      <c r="F110" s="489"/>
      <c r="G110" s="489"/>
      <c r="H110" s="489"/>
      <c r="I110" s="489"/>
      <c r="J110" s="489"/>
      <c r="K110" s="489"/>
      <c r="L110" s="489"/>
      <c r="M110" s="489"/>
      <c r="N110" s="489"/>
      <c r="O110" s="489"/>
      <c r="P110" s="489"/>
      <c r="Q110" s="489"/>
      <c r="R110" s="489"/>
      <c r="S110" s="489"/>
      <c r="T110" s="489"/>
      <c r="U110" s="489"/>
    </row>
    <row r="111" spans="2:21">
      <c r="B111" s="489"/>
      <c r="C111" s="489"/>
      <c r="D111" s="489"/>
      <c r="E111" s="489"/>
      <c r="F111" s="489"/>
      <c r="G111" s="489"/>
      <c r="H111" s="489"/>
      <c r="I111" s="489"/>
      <c r="J111" s="489"/>
      <c r="K111" s="489"/>
      <c r="L111" s="489"/>
      <c r="M111" s="489"/>
      <c r="N111" s="489"/>
      <c r="O111" s="489"/>
      <c r="P111" s="489"/>
      <c r="Q111" s="489"/>
      <c r="R111" s="489"/>
      <c r="S111" s="489"/>
      <c r="T111" s="489"/>
      <c r="U111" s="489"/>
    </row>
    <row r="112" spans="2:21">
      <c r="B112" s="489"/>
      <c r="C112" s="489"/>
      <c r="D112" s="489"/>
      <c r="E112" s="489"/>
      <c r="F112" s="489"/>
      <c r="G112" s="489"/>
      <c r="H112" s="489"/>
      <c r="I112" s="489"/>
      <c r="J112" s="489"/>
      <c r="K112" s="489"/>
      <c r="L112" s="489"/>
      <c r="M112" s="489"/>
      <c r="N112" s="489"/>
      <c r="O112" s="489"/>
      <c r="P112" s="489"/>
      <c r="Q112" s="489"/>
      <c r="R112" s="489"/>
      <c r="S112" s="489"/>
      <c r="T112" s="489"/>
      <c r="U112" s="489"/>
    </row>
    <row r="113" spans="2:21">
      <c r="B113" s="489"/>
      <c r="C113" s="489"/>
      <c r="D113" s="489"/>
      <c r="E113" s="489"/>
      <c r="F113" s="489"/>
      <c r="G113" s="489"/>
      <c r="H113" s="489"/>
      <c r="I113" s="489"/>
      <c r="J113" s="489"/>
      <c r="K113" s="489"/>
      <c r="L113" s="489"/>
      <c r="M113" s="489"/>
      <c r="N113" s="489"/>
      <c r="O113" s="489"/>
      <c r="P113" s="489"/>
      <c r="Q113" s="489"/>
      <c r="R113" s="489"/>
      <c r="S113" s="489"/>
      <c r="T113" s="489"/>
      <c r="U113" s="489"/>
    </row>
    <row r="114" spans="2:21">
      <c r="B114" s="489"/>
      <c r="C114" s="489"/>
      <c r="D114" s="489"/>
      <c r="E114" s="489"/>
      <c r="F114" s="489"/>
      <c r="G114" s="489"/>
      <c r="H114" s="489"/>
      <c r="I114" s="489"/>
      <c r="J114" s="489"/>
      <c r="K114" s="489"/>
      <c r="L114" s="489"/>
      <c r="M114" s="489"/>
      <c r="N114" s="489"/>
      <c r="O114" s="489"/>
      <c r="P114" s="489"/>
      <c r="Q114" s="489"/>
      <c r="R114" s="489"/>
      <c r="S114" s="489"/>
      <c r="T114" s="489"/>
      <c r="U114" s="489"/>
    </row>
    <row r="115" spans="2:21">
      <c r="B115" s="489"/>
      <c r="C115" s="489"/>
      <c r="D115" s="489"/>
      <c r="E115" s="489"/>
      <c r="F115" s="489"/>
      <c r="G115" s="489"/>
      <c r="H115" s="489"/>
      <c r="I115" s="489"/>
      <c r="J115" s="489"/>
      <c r="K115" s="489"/>
      <c r="L115" s="489"/>
      <c r="M115" s="489"/>
      <c r="N115" s="489"/>
      <c r="O115" s="489"/>
      <c r="P115" s="489"/>
      <c r="Q115" s="489"/>
      <c r="R115" s="489"/>
      <c r="S115" s="489"/>
      <c r="T115" s="489"/>
      <c r="U115" s="489"/>
    </row>
    <row r="116" spans="2:21">
      <c r="B116" s="489"/>
      <c r="C116" s="489"/>
      <c r="D116" s="489"/>
      <c r="E116" s="489"/>
      <c r="F116" s="489"/>
      <c r="G116" s="489"/>
      <c r="H116" s="489"/>
      <c r="I116" s="489"/>
      <c r="J116" s="489"/>
      <c r="K116" s="489"/>
      <c r="L116" s="489"/>
      <c r="M116" s="489"/>
      <c r="N116" s="489"/>
      <c r="O116" s="489"/>
      <c r="P116" s="489"/>
      <c r="Q116" s="489"/>
      <c r="R116" s="489"/>
      <c r="S116" s="489"/>
      <c r="T116" s="489"/>
      <c r="U116" s="489"/>
    </row>
    <row r="117" spans="2:21">
      <c r="B117" s="489"/>
      <c r="C117" s="489"/>
      <c r="D117" s="489"/>
      <c r="E117" s="489"/>
      <c r="F117" s="489"/>
      <c r="G117" s="489"/>
      <c r="H117" s="489"/>
      <c r="I117" s="489"/>
      <c r="J117" s="489"/>
      <c r="K117" s="489"/>
      <c r="L117" s="489"/>
      <c r="M117" s="489"/>
      <c r="N117" s="489"/>
      <c r="O117" s="489"/>
      <c r="P117" s="489"/>
      <c r="Q117" s="489"/>
      <c r="R117" s="489"/>
      <c r="S117" s="489"/>
      <c r="T117" s="489"/>
      <c r="U117" s="489"/>
    </row>
    <row r="118" spans="2:21">
      <c r="B118" s="489"/>
      <c r="C118" s="489"/>
      <c r="D118" s="489"/>
      <c r="E118" s="489"/>
      <c r="F118" s="489"/>
      <c r="G118" s="489"/>
      <c r="H118" s="489"/>
      <c r="I118" s="489"/>
      <c r="J118" s="489"/>
      <c r="K118" s="489"/>
      <c r="L118" s="489"/>
      <c r="M118" s="489"/>
      <c r="N118" s="489"/>
      <c r="O118" s="489"/>
      <c r="P118" s="489"/>
      <c r="Q118" s="489"/>
      <c r="R118" s="489"/>
      <c r="S118" s="489"/>
      <c r="T118" s="489"/>
      <c r="U118" s="489"/>
    </row>
    <row r="119" spans="2:21">
      <c r="B119" s="489"/>
      <c r="C119" s="489"/>
      <c r="D119" s="489"/>
      <c r="E119" s="489"/>
      <c r="F119" s="489"/>
      <c r="G119" s="489"/>
      <c r="H119" s="489"/>
      <c r="I119" s="489"/>
      <c r="J119" s="489"/>
      <c r="K119" s="489"/>
      <c r="L119" s="489"/>
      <c r="M119" s="489"/>
      <c r="N119" s="489"/>
      <c r="O119" s="489"/>
      <c r="P119" s="489"/>
      <c r="Q119" s="489"/>
      <c r="R119" s="489"/>
      <c r="S119" s="489"/>
      <c r="T119" s="489"/>
      <c r="U119" s="489"/>
    </row>
    <row r="120" spans="2:21">
      <c r="B120" s="489"/>
      <c r="C120" s="489"/>
      <c r="D120" s="489"/>
      <c r="E120" s="489"/>
      <c r="F120" s="489"/>
      <c r="G120" s="489"/>
      <c r="H120" s="489"/>
      <c r="I120" s="489"/>
      <c r="J120" s="489"/>
      <c r="K120" s="489"/>
      <c r="L120" s="489"/>
      <c r="M120" s="489"/>
      <c r="N120" s="489"/>
      <c r="O120" s="489"/>
      <c r="P120" s="489"/>
      <c r="Q120" s="489"/>
      <c r="R120" s="489"/>
      <c r="S120" s="489"/>
      <c r="T120" s="489"/>
      <c r="U120" s="489"/>
    </row>
    <row r="121" spans="2:21">
      <c r="B121" s="489"/>
      <c r="C121" s="489"/>
      <c r="D121" s="489"/>
      <c r="E121" s="489"/>
      <c r="F121" s="489"/>
      <c r="G121" s="489"/>
      <c r="H121" s="489"/>
      <c r="I121" s="489"/>
      <c r="J121" s="489"/>
      <c r="K121" s="489"/>
      <c r="L121" s="489"/>
      <c r="M121" s="489"/>
      <c r="N121" s="489"/>
      <c r="O121" s="489"/>
      <c r="P121" s="489"/>
      <c r="Q121" s="489"/>
      <c r="R121" s="489"/>
      <c r="S121" s="489"/>
      <c r="T121" s="489"/>
      <c r="U121" s="489"/>
    </row>
    <row r="122" spans="2:21">
      <c r="B122" s="489"/>
      <c r="C122" s="489"/>
      <c r="D122" s="489"/>
      <c r="E122" s="489"/>
      <c r="F122" s="489"/>
      <c r="G122" s="489"/>
      <c r="H122" s="489"/>
      <c r="I122" s="489"/>
      <c r="J122" s="489"/>
      <c r="K122" s="489"/>
      <c r="L122" s="489"/>
      <c r="M122" s="489"/>
      <c r="N122" s="489"/>
      <c r="O122" s="489"/>
      <c r="P122" s="489"/>
      <c r="Q122" s="489"/>
      <c r="R122" s="489"/>
      <c r="S122" s="489"/>
      <c r="T122" s="489"/>
      <c r="U122" s="489"/>
    </row>
    <row r="123" spans="2:21">
      <c r="B123" s="489"/>
      <c r="C123" s="489"/>
      <c r="D123" s="489"/>
      <c r="E123" s="489"/>
      <c r="F123" s="489"/>
      <c r="G123" s="489"/>
      <c r="H123" s="489"/>
      <c r="I123" s="489"/>
      <c r="J123" s="489"/>
      <c r="K123" s="489"/>
      <c r="L123" s="489"/>
      <c r="M123" s="489"/>
      <c r="N123" s="489"/>
      <c r="O123" s="489"/>
      <c r="P123" s="489"/>
      <c r="Q123" s="489"/>
      <c r="R123" s="489"/>
      <c r="S123" s="489"/>
      <c r="T123" s="489"/>
      <c r="U123" s="489"/>
    </row>
    <row r="124" spans="2:21">
      <c r="B124" s="489"/>
      <c r="C124" s="489"/>
      <c r="D124" s="489"/>
      <c r="E124" s="489"/>
      <c r="F124" s="489"/>
      <c r="G124" s="489"/>
      <c r="H124" s="489"/>
      <c r="I124" s="489"/>
      <c r="J124" s="489"/>
      <c r="K124" s="489"/>
      <c r="L124" s="489"/>
      <c r="M124" s="489"/>
      <c r="N124" s="489"/>
      <c r="O124" s="489"/>
      <c r="P124" s="489"/>
      <c r="Q124" s="489"/>
      <c r="R124" s="489"/>
      <c r="S124" s="489"/>
      <c r="T124" s="489"/>
      <c r="U124" s="489"/>
    </row>
    <row r="125" spans="2:21">
      <c r="B125" s="489"/>
      <c r="C125" s="489"/>
      <c r="D125" s="489"/>
      <c r="E125" s="489"/>
      <c r="F125" s="489"/>
      <c r="G125" s="489"/>
      <c r="H125" s="489"/>
      <c r="I125" s="489"/>
      <c r="J125" s="489"/>
      <c r="K125" s="489"/>
      <c r="L125" s="489"/>
      <c r="M125" s="489"/>
      <c r="N125" s="489"/>
      <c r="O125" s="489"/>
      <c r="P125" s="489"/>
      <c r="Q125" s="489"/>
      <c r="R125" s="489"/>
      <c r="S125" s="489"/>
      <c r="T125" s="489"/>
      <c r="U125" s="489"/>
    </row>
    <row r="126" spans="2:21">
      <c r="B126" s="489"/>
      <c r="C126" s="489"/>
      <c r="D126" s="489"/>
      <c r="E126" s="489"/>
      <c r="F126" s="489"/>
      <c r="G126" s="489"/>
      <c r="H126" s="489"/>
      <c r="I126" s="489"/>
      <c r="J126" s="489"/>
      <c r="K126" s="489"/>
      <c r="L126" s="489"/>
      <c r="M126" s="489"/>
      <c r="N126" s="489"/>
      <c r="O126" s="489"/>
      <c r="P126" s="489"/>
      <c r="Q126" s="489"/>
      <c r="R126" s="489"/>
      <c r="S126" s="489"/>
      <c r="T126" s="489"/>
      <c r="U126" s="489"/>
    </row>
  </sheetData>
  <mergeCells count="1">
    <mergeCell ref="B93:U126"/>
  </mergeCells>
  <phoneticPr fontId="2" type="noConversion"/>
  <conditionalFormatting sqref="C1:C2">
    <cfRule type="duplicateValues" dxfId="43" priority="13"/>
  </conditionalFormatting>
  <conditionalFormatting sqref="C3:C28">
    <cfRule type="duplicateValues" dxfId="42" priority="7"/>
    <cfRule type="duplicateValues" dxfId="41" priority="8"/>
  </conditionalFormatting>
  <conditionalFormatting sqref="C29:C35">
    <cfRule type="duplicateValues" dxfId="40" priority="9"/>
    <cfRule type="duplicateValues" dxfId="39" priority="10"/>
  </conditionalFormatting>
  <conditionalFormatting sqref="C36:C61">
    <cfRule type="duplicateValues" dxfId="38" priority="3"/>
    <cfRule type="duplicateValues" dxfId="37" priority="4"/>
  </conditionalFormatting>
  <conditionalFormatting sqref="C62:C68">
    <cfRule type="duplicateValues" dxfId="36" priority="5"/>
    <cfRule type="duplicateValues" dxfId="35" priority="6"/>
  </conditionalFormatting>
  <conditionalFormatting sqref="C69:C92">
    <cfRule type="duplicateValues" dxfId="34" priority="28"/>
    <cfRule type="duplicateValues" dxfId="33" priority="29"/>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66D659-C880-4637-9EA3-2A2505213609}">
  <dimension ref="D1:R176"/>
  <sheetViews>
    <sheetView topLeftCell="F1" workbookViewId="0">
      <selection activeCell="P4" sqref="P4"/>
    </sheetView>
  </sheetViews>
  <sheetFormatPr defaultRowHeight="14"/>
  <cols>
    <col min="6" max="7" width="19.6328125" style="3" customWidth="1"/>
    <col min="8" max="8" width="3.453125" style="3" customWidth="1"/>
    <col min="13" max="13" width="13.36328125" style="361" customWidth="1"/>
    <col min="14" max="14" width="20.26953125" style="363" bestFit="1" customWidth="1"/>
    <col min="15" max="15" width="9.26953125" style="363" customWidth="1"/>
    <col min="16" max="18" width="13.36328125" style="361" bestFit="1" customWidth="1"/>
  </cols>
  <sheetData>
    <row r="1" spans="4:18">
      <c r="M1" s="361" t="s">
        <v>747</v>
      </c>
      <c r="P1" s="361" t="s">
        <v>748</v>
      </c>
    </row>
    <row r="3" spans="4:18">
      <c r="E3" t="s">
        <v>678</v>
      </c>
      <c r="F3" s="395" t="s">
        <v>679</v>
      </c>
      <c r="G3" s="395" t="s">
        <v>746</v>
      </c>
      <c r="M3" s="361" t="s">
        <v>749</v>
      </c>
      <c r="N3" s="3" t="s">
        <v>679</v>
      </c>
      <c r="O3" s="3" t="s">
        <v>746</v>
      </c>
      <c r="P3" s="361" t="s">
        <v>750</v>
      </c>
      <c r="Q3" s="361" t="s">
        <v>751</v>
      </c>
      <c r="R3" s="361" t="s">
        <v>752</v>
      </c>
    </row>
    <row r="4" spans="4:18">
      <c r="D4" s="284" t="s">
        <v>227</v>
      </c>
      <c r="E4" s="284" t="s">
        <v>493</v>
      </c>
      <c r="F4" s="3">
        <f>VLOOKUP(E4,M:O,2,0)</f>
        <v>0.42397103094004412</v>
      </c>
      <c r="G4" s="3">
        <f>VLOOKUP(E4,M:O,3,0)</f>
        <v>2.5426166846564392E-2</v>
      </c>
      <c r="M4" s="362">
        <v>5310</v>
      </c>
      <c r="N4" s="364">
        <f>Q4/P4</f>
        <v>0.64344709349678653</v>
      </c>
      <c r="O4" s="364">
        <f>R4/P4</f>
        <v>3.7471400287227723E-2</v>
      </c>
      <c r="P4" s="361">
        <v>72.709360000000004</v>
      </c>
      <c r="Q4" s="361">
        <v>46.784626362011515</v>
      </c>
      <c r="R4" s="361">
        <v>2.7245215331881441</v>
      </c>
    </row>
    <row r="5" spans="4:18">
      <c r="D5" s="284" t="s">
        <v>8</v>
      </c>
      <c r="E5" s="284" t="s">
        <v>8</v>
      </c>
      <c r="F5" s="3">
        <f>J5/4+J6*0.75</f>
        <v>0.26981473567782382</v>
      </c>
      <c r="G5" s="3">
        <v>2.5386208677685956E-2</v>
      </c>
      <c r="I5" s="362" t="s">
        <v>567</v>
      </c>
      <c r="J5" s="364">
        <v>0.27411408238373741</v>
      </c>
      <c r="K5" s="364">
        <v>2.5386208677685956E-2</v>
      </c>
      <c r="L5" s="364"/>
      <c r="M5" s="362">
        <v>5701</v>
      </c>
      <c r="N5" s="364">
        <f>Q5/P5</f>
        <v>0.41704248537545557</v>
      </c>
      <c r="O5" s="364">
        <f t="shared" ref="O5:O68" si="0">R5/P5</f>
        <v>3.1337763874709317E-2</v>
      </c>
      <c r="P5" s="361">
        <v>7797.6323056888486</v>
      </c>
      <c r="Q5" s="361">
        <v>3251.9439568084217</v>
      </c>
      <c r="R5" s="361">
        <v>244.36035997748229</v>
      </c>
    </row>
    <row r="6" spans="4:18">
      <c r="D6" s="284" t="s">
        <v>19</v>
      </c>
      <c r="E6" s="284" t="s">
        <v>19</v>
      </c>
      <c r="F6" s="3">
        <f>F5</f>
        <v>0.26981473567782382</v>
      </c>
      <c r="G6" s="3">
        <v>2.5386208677685956E-2</v>
      </c>
      <c r="I6" s="362" t="s">
        <v>690</v>
      </c>
      <c r="J6" s="364">
        <v>0.26838162010918598</v>
      </c>
      <c r="K6" s="364">
        <v>2.540888486302181E-2</v>
      </c>
      <c r="L6" s="364"/>
      <c r="M6" s="362">
        <v>6001</v>
      </c>
      <c r="N6" s="364">
        <f t="shared" ref="N6:N68" si="1">Q6/P6</f>
        <v>0.20493075135067632</v>
      </c>
      <c r="O6" s="364">
        <f t="shared" si="0"/>
        <v>6.4315813031650239E-3</v>
      </c>
      <c r="P6" s="361">
        <v>33.329999999999991</v>
      </c>
      <c r="Q6" s="361">
        <v>6.8303419425180394</v>
      </c>
      <c r="R6" s="361">
        <v>0.21436460483449019</v>
      </c>
    </row>
    <row r="7" spans="4:18">
      <c r="D7" s="284" t="s">
        <v>118</v>
      </c>
      <c r="E7" s="284" t="s">
        <v>118</v>
      </c>
      <c r="F7" s="3">
        <f>VLOOKUP(E7,M:O,2,0)</f>
        <v>0.22151093990062315</v>
      </c>
      <c r="G7" s="3">
        <f>VLOOKUP(E7,M:O,3,0)</f>
        <v>2.5347831289972513E-2</v>
      </c>
      <c r="M7" s="362">
        <v>6151</v>
      </c>
      <c r="N7" s="364">
        <f t="shared" si="1"/>
        <v>0.55065460285772483</v>
      </c>
      <c r="O7" s="364">
        <f t="shared" si="0"/>
        <v>8.129382522965448E-3</v>
      </c>
      <c r="P7" s="361">
        <v>833</v>
      </c>
      <c r="Q7" s="361">
        <v>458.69528418048475</v>
      </c>
      <c r="R7" s="361">
        <v>6.7717756416302182</v>
      </c>
    </row>
    <row r="8" spans="4:18">
      <c r="D8" s="284" t="s">
        <v>112</v>
      </c>
      <c r="E8" s="284" t="s">
        <v>112</v>
      </c>
      <c r="F8" s="3">
        <f>VLOOKUP(E8,M:O,2,0)</f>
        <v>0.3593912401292928</v>
      </c>
      <c r="G8" s="3">
        <f>VLOOKUP(E8,M:O,3,0)</f>
        <v>2.5333520292894686E-2</v>
      </c>
      <c r="I8" t="s">
        <v>551</v>
      </c>
      <c r="J8" s="364">
        <v>0.18081217975967295</v>
      </c>
      <c r="K8" s="364">
        <v>2.53701174215193E-2</v>
      </c>
      <c r="L8" s="364"/>
      <c r="M8" s="362">
        <v>6179</v>
      </c>
      <c r="N8" s="364">
        <f t="shared" si="1"/>
        <v>0.70050213195933897</v>
      </c>
      <c r="O8" s="364">
        <f t="shared" si="0"/>
        <v>2.1383595843263492E-2</v>
      </c>
      <c r="P8" s="361">
        <v>1657.26</v>
      </c>
      <c r="Q8" s="361">
        <v>1160.914163210934</v>
      </c>
      <c r="R8" s="361">
        <v>35.438178047206854</v>
      </c>
    </row>
    <row r="9" spans="4:18">
      <c r="D9" s="284" t="s">
        <v>104</v>
      </c>
      <c r="E9" s="284" t="s">
        <v>104</v>
      </c>
      <c r="F9" s="3">
        <f>VLOOKUP(E9,M:O,2,0)</f>
        <v>0.35822651469680938</v>
      </c>
      <c r="G9" s="3">
        <f>VLOOKUP(E9,M:O,3,0)</f>
        <v>2.5367759294612966E-2</v>
      </c>
      <c r="I9" t="s">
        <v>689</v>
      </c>
      <c r="J9" s="364">
        <v>0.18319947550387938</v>
      </c>
      <c r="K9" s="364">
        <v>2.5345967282383738E-2</v>
      </c>
      <c r="L9" s="364"/>
      <c r="M9" s="362">
        <v>6188</v>
      </c>
      <c r="N9" s="364">
        <f t="shared" si="1"/>
        <v>0.29095667260450764</v>
      </c>
      <c r="O9" s="364">
        <f t="shared" si="0"/>
        <v>7.3469782094165914E-3</v>
      </c>
      <c r="P9" s="361">
        <v>5.9644493065693425</v>
      </c>
      <c r="Q9" s="361">
        <v>1.7353963241576789</v>
      </c>
      <c r="R9" s="361">
        <v>4.3820679086534857E-2</v>
      </c>
    </row>
    <row r="10" spans="4:18">
      <c r="D10" s="284" t="s">
        <v>77</v>
      </c>
      <c r="E10" s="284" t="s">
        <v>77</v>
      </c>
      <c r="F10" s="3">
        <f>J8/4+J9*0.75</f>
        <v>0.18260265156782779</v>
      </c>
      <c r="G10" s="3">
        <v>2.53701174215193E-2</v>
      </c>
      <c r="I10" t="s">
        <v>563</v>
      </c>
      <c r="J10" s="364">
        <v>0.30801591485871921</v>
      </c>
      <c r="K10" s="364">
        <v>2.5238484018626956E-2</v>
      </c>
      <c r="M10" s="362">
        <v>6190</v>
      </c>
      <c r="N10" s="364">
        <f t="shared" si="1"/>
        <v>0.26390261982401059</v>
      </c>
      <c r="O10" s="364">
        <f t="shared" si="0"/>
        <v>1.8218063368158781E-2</v>
      </c>
      <c r="P10" s="361">
        <v>1882.6360645383411</v>
      </c>
      <c r="Q10" s="361">
        <v>496.83258960683332</v>
      </c>
      <c r="R10" s="361">
        <v>34.297983122940565</v>
      </c>
    </row>
    <row r="11" spans="4:18">
      <c r="D11" s="284" t="s">
        <v>70</v>
      </c>
      <c r="E11" s="284" t="s">
        <v>70</v>
      </c>
      <c r="F11" s="3">
        <f>VLOOKUP(E11,M:O,2,0)</f>
        <v>0.32309187890232577</v>
      </c>
      <c r="G11" s="3">
        <f>VLOOKUP(E11,M:O,3,0)</f>
        <v>2.5336010167948227E-2</v>
      </c>
      <c r="I11" t="s">
        <v>685</v>
      </c>
      <c r="J11" s="364">
        <v>0.35089639512030257</v>
      </c>
      <c r="K11" s="364">
        <v>2.5356108665434567E-2</v>
      </c>
      <c r="M11" s="362">
        <v>6374</v>
      </c>
      <c r="N11" s="364">
        <f t="shared" si="1"/>
        <v>0.25016070794305362</v>
      </c>
      <c r="O11" s="364">
        <f t="shared" si="0"/>
        <v>1.3549876122457134E-2</v>
      </c>
      <c r="P11" s="361">
        <v>9135.6528753068578</v>
      </c>
      <c r="Q11" s="361">
        <v>2285.3813908087568</v>
      </c>
      <c r="R11" s="361">
        <v>123.78696475817725</v>
      </c>
    </row>
    <row r="12" spans="4:18">
      <c r="D12" s="284" t="s">
        <v>2</v>
      </c>
      <c r="E12" s="284" t="s">
        <v>2</v>
      </c>
      <c r="F12" s="3">
        <f>J10/4+J11*0.75</f>
        <v>0.34017627505490672</v>
      </c>
      <c r="G12" s="3">
        <v>2.5238484018626956E-2</v>
      </c>
      <c r="I12" t="s">
        <v>571</v>
      </c>
      <c r="J12" s="364">
        <v>0.28368676916600316</v>
      </c>
      <c r="K12" s="364">
        <v>2.5424501922404755E-2</v>
      </c>
      <c r="M12" s="362">
        <v>6994</v>
      </c>
      <c r="N12" s="364">
        <f t="shared" si="1"/>
        <v>0.46162289621168967</v>
      </c>
      <c r="O12" s="364">
        <f t="shared" si="0"/>
        <v>3.3085024684031107E-2</v>
      </c>
      <c r="P12" s="361">
        <v>750.52225915416091</v>
      </c>
      <c r="Q12" s="361">
        <v>346.45825894208406</v>
      </c>
      <c r="R12" s="361">
        <v>24.831047470030203</v>
      </c>
    </row>
    <row r="13" spans="4:18">
      <c r="D13" s="284" t="s">
        <v>57</v>
      </c>
      <c r="E13" s="284" t="s">
        <v>57</v>
      </c>
      <c r="F13" s="3">
        <f>J12/4+J13*0.75</f>
        <v>0.30486433058202039</v>
      </c>
      <c r="G13" s="3">
        <v>2.5424501922404755E-2</v>
      </c>
      <c r="I13" t="s">
        <v>684</v>
      </c>
      <c r="J13" s="364">
        <v>0.31192351772069277</v>
      </c>
      <c r="K13" s="364">
        <v>2.5340170368505922E-2</v>
      </c>
      <c r="M13" s="362">
        <v>7186</v>
      </c>
      <c r="N13" s="364">
        <f t="shared" si="1"/>
        <v>0.25135173477293082</v>
      </c>
      <c r="O13" s="364">
        <f t="shared" si="0"/>
        <v>7.7605764410307691E-3</v>
      </c>
      <c r="P13" s="361">
        <v>154.05861999999999</v>
      </c>
      <c r="Q13" s="361">
        <v>38.722901393723731</v>
      </c>
      <c r="R13" s="361">
        <v>1.1955836969097116</v>
      </c>
    </row>
    <row r="14" spans="4:18">
      <c r="D14" s="284" t="s">
        <v>96</v>
      </c>
      <c r="E14" s="284" t="s">
        <v>96</v>
      </c>
      <c r="F14" s="3">
        <f>J14/4+J15*0.75</f>
        <v>0.27365302206594172</v>
      </c>
      <c r="G14" s="3">
        <v>2.5424501922404755E-2</v>
      </c>
      <c r="I14" t="s">
        <v>681</v>
      </c>
      <c r="J14" s="364">
        <v>0.26236461084597185</v>
      </c>
      <c r="K14" s="364">
        <v>2.5410211267605634E-2</v>
      </c>
      <c r="M14" s="362">
        <v>7969</v>
      </c>
      <c r="N14" s="364">
        <f t="shared" si="1"/>
        <v>0.68563862348248705</v>
      </c>
      <c r="O14" s="364">
        <f t="shared" si="0"/>
        <v>5.2307384930848572E-3</v>
      </c>
      <c r="P14" s="361">
        <v>46.02</v>
      </c>
      <c r="Q14" s="361">
        <v>31.553089452664057</v>
      </c>
      <c r="R14" s="361">
        <v>0.24071858545176514</v>
      </c>
    </row>
    <row r="15" spans="4:18">
      <c r="D15" s="284" t="s">
        <v>244</v>
      </c>
      <c r="E15" s="284" t="s">
        <v>244</v>
      </c>
      <c r="F15" s="3">
        <f t="shared" ref="F15:F27" si="2">VLOOKUP(E15,M:O,2,0)</f>
        <v>0.33593910703599916</v>
      </c>
      <c r="G15" s="3">
        <f t="shared" ref="G15:G27" si="3">VLOOKUP(E15,M:O,3,0)</f>
        <v>2.5420064922445213E-2</v>
      </c>
      <c r="I15" t="s">
        <v>682</v>
      </c>
      <c r="J15" s="364">
        <v>0.27741582580593166</v>
      </c>
      <c r="K15" s="364">
        <v>2.5370642995157212E-2</v>
      </c>
      <c r="M15" s="362">
        <v>8668</v>
      </c>
      <c r="N15" s="364">
        <f t="shared" si="1"/>
        <v>0.43150886771682928</v>
      </c>
      <c r="O15" s="364">
        <f t="shared" si="0"/>
        <v>4.0798653919935784E-2</v>
      </c>
      <c r="P15" s="361">
        <v>15607.931780000006</v>
      </c>
      <c r="Q15" s="361">
        <v>6734.9609697893184</v>
      </c>
      <c r="R15" s="361">
        <v>636.78260709818755</v>
      </c>
    </row>
    <row r="16" spans="4:18">
      <c r="D16" s="284" t="s">
        <v>236</v>
      </c>
      <c r="E16" s="284" t="s">
        <v>236</v>
      </c>
      <c r="F16" s="3">
        <f t="shared" si="2"/>
        <v>0.2414926131963808</v>
      </c>
      <c r="G16" s="3">
        <f t="shared" si="3"/>
        <v>2.531385367853289E-2</v>
      </c>
      <c r="M16" s="362">
        <v>9337</v>
      </c>
      <c r="N16" s="364">
        <f t="shared" si="1"/>
        <v>1.5085615505624241</v>
      </c>
      <c r="O16" s="364">
        <f t="shared" si="0"/>
        <v>2.142681326005173E-2</v>
      </c>
      <c r="P16" s="361">
        <v>25.62778999999999</v>
      </c>
      <c r="Q16" s="361">
        <v>38.661098619888172</v>
      </c>
      <c r="R16" s="361">
        <v>0.54912187059782092</v>
      </c>
    </row>
    <row r="17" spans="4:18">
      <c r="D17" s="284" t="s">
        <v>195</v>
      </c>
      <c r="E17" s="284" t="s">
        <v>195</v>
      </c>
      <c r="F17" s="3">
        <f t="shared" si="2"/>
        <v>0.38128924028564587</v>
      </c>
      <c r="G17" s="3">
        <f t="shared" si="3"/>
        <v>2.5408134744837801E-2</v>
      </c>
      <c r="M17" s="362">
        <v>28610</v>
      </c>
      <c r="N17" s="364">
        <f t="shared" si="1"/>
        <v>0.48407180429737923</v>
      </c>
      <c r="O17" s="364">
        <f t="shared" si="0"/>
        <v>2.4173256149800537E-2</v>
      </c>
      <c r="P17" s="361">
        <v>4186.1430175590613</v>
      </c>
      <c r="Q17" s="361">
        <v>2026.3938035566905</v>
      </c>
      <c r="R17" s="361">
        <v>101.19270744315415</v>
      </c>
    </row>
    <row r="18" spans="4:18">
      <c r="D18" s="284" t="s">
        <v>219</v>
      </c>
      <c r="E18" s="284" t="s">
        <v>219</v>
      </c>
      <c r="F18" s="3">
        <f t="shared" si="2"/>
        <v>0.49468306728938327</v>
      </c>
      <c r="G18" s="3">
        <f t="shared" si="3"/>
        <v>2.5366739620046732E-2</v>
      </c>
      <c r="M18" s="362">
        <v>28644</v>
      </c>
      <c r="N18" s="364">
        <f t="shared" si="1"/>
        <v>0.3552951047577535</v>
      </c>
      <c r="O18" s="364">
        <f t="shared" si="0"/>
        <v>1.2798344406691965E-2</v>
      </c>
      <c r="P18" s="361">
        <v>1863.0589134853747</v>
      </c>
      <c r="Q18" s="361">
        <v>661.93571183665256</v>
      </c>
      <c r="R18" s="361">
        <v>23.844069624743153</v>
      </c>
    </row>
    <row r="19" spans="4:18">
      <c r="D19" s="284" t="s">
        <v>211</v>
      </c>
      <c r="E19" s="284" t="s">
        <v>211</v>
      </c>
      <c r="F19" s="3">
        <f t="shared" si="2"/>
        <v>0.47353963688029582</v>
      </c>
      <c r="G19" s="3">
        <f t="shared" si="3"/>
        <v>2.5423333707320025E-2</v>
      </c>
      <c r="M19" s="362">
        <v>28660</v>
      </c>
      <c r="N19" s="364">
        <f t="shared" si="1"/>
        <v>0.37233514875411849</v>
      </c>
      <c r="O19" s="364">
        <f t="shared" si="0"/>
        <v>2.1549449679419946E-2</v>
      </c>
      <c r="P19" s="361">
        <v>306.86671450565314</v>
      </c>
      <c r="Q19" s="361">
        <v>114.25726379314997</v>
      </c>
      <c r="R19" s="361">
        <v>6.6128088225284989</v>
      </c>
    </row>
    <row r="20" spans="4:18">
      <c r="D20" s="284" t="s">
        <v>164</v>
      </c>
      <c r="E20" s="284" t="s">
        <v>164</v>
      </c>
      <c r="F20" s="3">
        <f t="shared" si="2"/>
        <v>0.26496938359231037</v>
      </c>
      <c r="G20" s="3">
        <f t="shared" si="3"/>
        <v>2.5333386569427189E-2</v>
      </c>
      <c r="M20" s="362">
        <v>28680</v>
      </c>
      <c r="N20" s="364">
        <f t="shared" si="1"/>
        <v>0.47365073042545247</v>
      </c>
      <c r="O20" s="364">
        <f t="shared" si="0"/>
        <v>6.9186072752907807E-2</v>
      </c>
      <c r="P20" s="361">
        <v>5992.8459066666665</v>
      </c>
      <c r="Q20" s="361">
        <v>2838.5158410198496</v>
      </c>
      <c r="R20" s="361">
        <v>414.62147289560573</v>
      </c>
    </row>
    <row r="21" spans="4:18">
      <c r="D21" s="284" t="s">
        <v>157</v>
      </c>
      <c r="E21" s="284" t="s">
        <v>157</v>
      </c>
      <c r="F21" s="3">
        <f t="shared" si="2"/>
        <v>0.2909103021060831</v>
      </c>
      <c r="G21" s="3">
        <f t="shared" si="3"/>
        <v>2.5403037476649477E-2</v>
      </c>
      <c r="M21" s="362">
        <v>29999</v>
      </c>
      <c r="N21" s="364">
        <f t="shared" si="1"/>
        <v>0.52796299775585409</v>
      </c>
      <c r="O21" s="364">
        <f t="shared" si="0"/>
        <v>2.8360577519135882E-2</v>
      </c>
      <c r="P21" s="361">
        <v>1894.3871201627667</v>
      </c>
      <c r="Q21" s="361">
        <v>1000.1663028712137</v>
      </c>
      <c r="R21" s="361">
        <v>53.725912772628725</v>
      </c>
    </row>
    <row r="22" spans="4:18">
      <c r="D22" s="284" t="s">
        <v>150</v>
      </c>
      <c r="E22" s="284" t="s">
        <v>150</v>
      </c>
      <c r="F22" s="3">
        <f t="shared" si="2"/>
        <v>0.29650668428487109</v>
      </c>
      <c r="G22" s="3">
        <f t="shared" si="3"/>
        <v>2.5358570544791955E-2</v>
      </c>
      <c r="M22" s="362">
        <v>33330</v>
      </c>
      <c r="N22" s="364">
        <f t="shared" si="1"/>
        <v>0.65398816969938978</v>
      </c>
      <c r="O22" s="364">
        <f t="shared" si="0"/>
        <v>1.220227664414388E-2</v>
      </c>
      <c r="P22" s="361">
        <v>3046.8270000000002</v>
      </c>
      <c r="Q22" s="361">
        <v>1992.5888131206827</v>
      </c>
      <c r="R22" s="361">
        <v>37.178225940846971</v>
      </c>
    </row>
    <row r="23" spans="4:18">
      <c r="D23" s="284" t="s">
        <v>143</v>
      </c>
      <c r="E23" s="284" t="s">
        <v>143</v>
      </c>
      <c r="F23" s="3">
        <f t="shared" si="2"/>
        <v>0.22394372927331715</v>
      </c>
      <c r="G23" s="3">
        <f t="shared" si="3"/>
        <v>2.5367320298030818E-2</v>
      </c>
      <c r="M23" s="362">
        <v>33390</v>
      </c>
      <c r="N23" s="364">
        <f t="shared" si="1"/>
        <v>0.7754768368259245</v>
      </c>
      <c r="O23" s="364">
        <f t="shared" si="0"/>
        <v>5.5432442420646115E-3</v>
      </c>
      <c r="P23" s="361">
        <v>109.27800000000001</v>
      </c>
      <c r="Q23" s="361">
        <v>84.742557774663382</v>
      </c>
      <c r="R23" s="361">
        <v>0.60575464428433667</v>
      </c>
    </row>
    <row r="24" spans="4:18">
      <c r="D24" s="284" t="s">
        <v>136</v>
      </c>
      <c r="E24" s="284" t="s">
        <v>136</v>
      </c>
      <c r="F24" s="3">
        <f t="shared" si="2"/>
        <v>0.22149679389880211</v>
      </c>
      <c r="G24" s="3">
        <f t="shared" si="3"/>
        <v>2.5475022958540674E-2</v>
      </c>
      <c r="M24" s="362">
        <v>34155</v>
      </c>
      <c r="N24" s="364">
        <f t="shared" si="1"/>
        <v>0.22801767872902332</v>
      </c>
      <c r="O24" s="364">
        <f t="shared" si="0"/>
        <v>2.8534257389183155E-2</v>
      </c>
      <c r="P24" s="361">
        <v>34027.484040145457</v>
      </c>
      <c r="Q24" s="361">
        <v>7758.8679238228551</v>
      </c>
      <c r="R24" s="361">
        <v>970.94898790783236</v>
      </c>
    </row>
    <row r="25" spans="4:18">
      <c r="D25" s="284" t="s">
        <v>127</v>
      </c>
      <c r="E25" s="284" t="s">
        <v>127</v>
      </c>
      <c r="F25" s="3">
        <f t="shared" si="2"/>
        <v>0.25536402616000919</v>
      </c>
      <c r="G25" s="3">
        <f t="shared" si="3"/>
        <v>2.5361359742858736E-2</v>
      </c>
      <c r="M25" s="362">
        <v>34256</v>
      </c>
      <c r="N25" s="364">
        <f t="shared" si="1"/>
        <v>0.44007785850336018</v>
      </c>
      <c r="O25" s="364">
        <f t="shared" si="0"/>
        <v>3.2695915684930542E-2</v>
      </c>
      <c r="P25" s="361">
        <v>895.59977998080547</v>
      </c>
      <c r="Q25" s="361">
        <v>394.13363325003343</v>
      </c>
      <c r="R25" s="361">
        <v>29.282454893694762</v>
      </c>
    </row>
    <row r="26" spans="4:18">
      <c r="D26" s="284" t="s">
        <v>187</v>
      </c>
      <c r="E26" s="284" t="s">
        <v>187</v>
      </c>
      <c r="F26" s="3">
        <f t="shared" si="2"/>
        <v>0.42805769036569208</v>
      </c>
      <c r="G26" s="3">
        <f t="shared" si="3"/>
        <v>2.5434117717440075E-2</v>
      </c>
      <c r="M26" s="362">
        <v>34349</v>
      </c>
      <c r="N26" s="364">
        <f t="shared" si="1"/>
        <v>0.18959050864278024</v>
      </c>
      <c r="O26" s="364">
        <f t="shared" si="0"/>
        <v>2.7000033127072666E-3</v>
      </c>
      <c r="P26" s="361">
        <v>373.89261000000005</v>
      </c>
      <c r="Q26" s="361">
        <v>70.886490107676664</v>
      </c>
      <c r="R26" s="361">
        <v>1.0095112855967663</v>
      </c>
    </row>
    <row r="27" spans="4:18">
      <c r="D27" s="284" t="s">
        <v>172</v>
      </c>
      <c r="E27" s="284" t="s">
        <v>172</v>
      </c>
      <c r="F27" s="3">
        <f t="shared" si="2"/>
        <v>0.46342069628326699</v>
      </c>
      <c r="G27" s="3">
        <f t="shared" si="3"/>
        <v>2.5450892425433764E-2</v>
      </c>
      <c r="M27" s="362">
        <v>34705</v>
      </c>
      <c r="N27" s="364">
        <f t="shared" si="1"/>
        <v>0.52493394685385886</v>
      </c>
      <c r="O27" s="364">
        <f t="shared" si="0"/>
        <v>2.5975228196299542E-2</v>
      </c>
      <c r="P27" s="361">
        <v>463.80224999999996</v>
      </c>
      <c r="Q27" s="361">
        <v>243.46554565220015</v>
      </c>
      <c r="R27" s="361">
        <v>12.047369281707168</v>
      </c>
    </row>
    <row r="28" spans="4:18">
      <c r="M28" s="362">
        <v>37680</v>
      </c>
      <c r="N28" s="364">
        <f t="shared" si="1"/>
        <v>0.4317005004855029</v>
      </c>
      <c r="O28" s="364">
        <f t="shared" si="0"/>
        <v>3.1811540863609607E-2</v>
      </c>
      <c r="P28" s="361">
        <v>33698.204830201423</v>
      </c>
      <c r="Q28" s="361">
        <v>14547.531890660946</v>
      </c>
      <c r="R28" s="361">
        <v>1071.9918199862391</v>
      </c>
    </row>
    <row r="29" spans="4:18">
      <c r="M29" s="362">
        <v>38714</v>
      </c>
      <c r="N29" s="364">
        <f t="shared" si="1"/>
        <v>0.41548136794194157</v>
      </c>
      <c r="O29" s="364">
        <f t="shared" si="0"/>
        <v>1.0522482793209649E-2</v>
      </c>
      <c r="P29" s="361">
        <v>782.81104000000005</v>
      </c>
      <c r="Q29" s="361">
        <v>325.24340173925395</v>
      </c>
      <c r="R29" s="361">
        <v>8.2371156987345504</v>
      </c>
    </row>
    <row r="30" spans="4:18">
      <c r="M30" s="362">
        <v>38715</v>
      </c>
      <c r="N30" s="364">
        <f t="shared" si="1"/>
        <v>0.28131878213354422</v>
      </c>
      <c r="O30" s="364">
        <f t="shared" si="0"/>
        <v>3.141045450527135E-2</v>
      </c>
      <c r="P30" s="361">
        <v>171.26382000000001</v>
      </c>
      <c r="Q30" s="361">
        <v>48.179729265938541</v>
      </c>
      <c r="R30" s="361">
        <v>5.379474426508982</v>
      </c>
    </row>
    <row r="31" spans="4:18">
      <c r="M31" s="362">
        <v>39000</v>
      </c>
      <c r="N31" s="364">
        <f t="shared" si="1"/>
        <v>0.57038158258206195</v>
      </c>
      <c r="O31" s="364">
        <f t="shared" si="0"/>
        <v>2.9242667755624802E-2</v>
      </c>
      <c r="P31" s="361">
        <v>1670.7418499999999</v>
      </c>
      <c r="Q31" s="361">
        <v>952.9603804890819</v>
      </c>
      <c r="R31" s="361">
        <v>48.85694882496793</v>
      </c>
    </row>
    <row r="32" spans="4:18">
      <c r="M32" s="362">
        <v>41412</v>
      </c>
      <c r="N32" s="364">
        <f t="shared" si="1"/>
        <v>0.41158478901202139</v>
      </c>
      <c r="O32" s="364">
        <f t="shared" si="0"/>
        <v>1.318223528899906E-2</v>
      </c>
      <c r="P32" s="361">
        <v>272.78480000000019</v>
      </c>
      <c r="Q32" s="361">
        <v>112.27407435368653</v>
      </c>
      <c r="R32" s="361">
        <v>3.5959134168625533</v>
      </c>
    </row>
    <row r="33" spans="13:18">
      <c r="M33" s="362">
        <v>42031</v>
      </c>
      <c r="N33" s="364">
        <f t="shared" si="1"/>
        <v>0.80973349375027104</v>
      </c>
      <c r="O33" s="364">
        <f t="shared" si="0"/>
        <v>2.0012103331989974E-2</v>
      </c>
      <c r="P33" s="361">
        <v>495.73831999999993</v>
      </c>
      <c r="Q33" s="361">
        <v>401.41592183948978</v>
      </c>
      <c r="R33" s="361">
        <v>9.9207664854671105</v>
      </c>
    </row>
    <row r="34" spans="13:18">
      <c r="M34" s="362">
        <v>42877</v>
      </c>
      <c r="N34" s="364">
        <f t="shared" si="1"/>
        <v>0.26683505447040301</v>
      </c>
      <c r="O34" s="364">
        <f t="shared" si="0"/>
        <v>3.8178478738915805E-2</v>
      </c>
      <c r="P34" s="361">
        <v>69.654719999999998</v>
      </c>
      <c r="Q34" s="361">
        <v>18.58632100532067</v>
      </c>
      <c r="R34" s="361">
        <v>2.6593112465851334</v>
      </c>
    </row>
    <row r="35" spans="13:18">
      <c r="M35" s="362">
        <v>42921</v>
      </c>
      <c r="N35" s="364">
        <f t="shared" si="1"/>
        <v>0.39449357022040243</v>
      </c>
      <c r="O35" s="364">
        <f t="shared" si="0"/>
        <v>2.962612792240725E-2</v>
      </c>
      <c r="P35" s="361">
        <v>1346.165741401682</v>
      </c>
      <c r="Q35" s="361">
        <v>531.05372943394457</v>
      </c>
      <c r="R35" s="361">
        <v>39.88167845952843</v>
      </c>
    </row>
    <row r="36" spans="13:18">
      <c r="M36" s="362">
        <v>48568</v>
      </c>
      <c r="N36" s="364">
        <f t="shared" si="1"/>
        <v>0.22202883331372436</v>
      </c>
      <c r="O36" s="364">
        <f t="shared" si="0"/>
        <v>2.6194907839631156E-2</v>
      </c>
      <c r="P36" s="361">
        <v>5537.7329499999996</v>
      </c>
      <c r="Q36" s="361">
        <v>1229.536386091469</v>
      </c>
      <c r="R36" s="361">
        <v>145.06040426573875</v>
      </c>
    </row>
    <row r="37" spans="13:18">
      <c r="M37" s="362">
        <v>52788</v>
      </c>
      <c r="N37" s="364">
        <f t="shared" si="1"/>
        <v>0.46557129351062593</v>
      </c>
      <c r="O37" s="364">
        <f t="shared" si="0"/>
        <v>2.0880752417749972E-2</v>
      </c>
      <c r="P37" s="361">
        <v>283.06071903073286</v>
      </c>
      <c r="Q37" s="361">
        <v>131.78494510118614</v>
      </c>
      <c r="R37" s="361">
        <v>5.9105207932710204</v>
      </c>
    </row>
    <row r="38" spans="13:18">
      <c r="M38" s="362">
        <v>53940</v>
      </c>
      <c r="N38" s="364">
        <f t="shared" si="1"/>
        <v>0.20874272762577634</v>
      </c>
      <c r="O38" s="364">
        <f t="shared" si="0"/>
        <v>1.0847105897866692E-2</v>
      </c>
      <c r="P38" s="361">
        <v>3729.1047000000008</v>
      </c>
      <c r="Q38" s="361">
        <v>778.42348668010254</v>
      </c>
      <c r="R38" s="361">
        <v>40.449993585132411</v>
      </c>
    </row>
    <row r="39" spans="13:18">
      <c r="M39" s="362">
        <v>53944</v>
      </c>
      <c r="N39" s="364">
        <f t="shared" si="1"/>
        <v>0.42904978690610823</v>
      </c>
      <c r="O39" s="364">
        <f t="shared" si="0"/>
        <v>1.618150048580631E-2</v>
      </c>
      <c r="P39" s="361">
        <v>306.10453999999999</v>
      </c>
      <c r="Q39" s="361">
        <v>131.33408765799228</v>
      </c>
      <c r="R39" s="361">
        <v>4.9532307627175163</v>
      </c>
    </row>
    <row r="40" spans="13:18">
      <c r="M40" s="362">
        <v>54592</v>
      </c>
      <c r="N40" s="364">
        <f t="shared" si="1"/>
        <v>0.3702350229452821</v>
      </c>
      <c r="O40" s="364">
        <f t="shared" si="0"/>
        <v>5.2263971842330149E-2</v>
      </c>
      <c r="P40" s="361">
        <v>543.23931795005194</v>
      </c>
      <c r="Q40" s="361">
        <v>201.12622134601688</v>
      </c>
      <c r="R40" s="361">
        <v>28.39184441698815</v>
      </c>
    </row>
    <row r="41" spans="13:18">
      <c r="M41" s="362">
        <v>69460</v>
      </c>
      <c r="N41" s="364">
        <f t="shared" si="1"/>
        <v>0.52384216193158772</v>
      </c>
      <c r="O41" s="364">
        <f t="shared" si="0"/>
        <v>2.0465928985091111E-2</v>
      </c>
      <c r="P41" s="361">
        <v>328.93695999999994</v>
      </c>
      <c r="Q41" s="361">
        <v>172.31104826560417</v>
      </c>
      <c r="R41" s="361">
        <v>6.7320004639317537</v>
      </c>
    </row>
    <row r="42" spans="13:18">
      <c r="M42" s="362">
        <v>69480</v>
      </c>
      <c r="N42" s="364">
        <f t="shared" si="1"/>
        <v>0.52054563053018887</v>
      </c>
      <c r="O42" s="364">
        <f t="shared" si="0"/>
        <v>1.1938294647878194E-2</v>
      </c>
      <c r="P42" s="361">
        <v>624.49105087631449</v>
      </c>
      <c r="Q42" s="361">
        <v>325.07608783887139</v>
      </c>
      <c r="R42" s="361">
        <v>7.4553581703245344</v>
      </c>
    </row>
    <row r="43" spans="13:18">
      <c r="M43" s="362">
        <v>69570</v>
      </c>
      <c r="N43" s="364">
        <f t="shared" si="1"/>
        <v>0.56433102846241068</v>
      </c>
      <c r="O43" s="364">
        <f t="shared" si="0"/>
        <v>1.3088396380805604E-2</v>
      </c>
      <c r="P43" s="361">
        <v>1599.9719758224544</v>
      </c>
      <c r="Q43" s="361">
        <v>902.91383062692103</v>
      </c>
      <c r="R43" s="361">
        <v>20.941067417745003</v>
      </c>
    </row>
    <row r="44" spans="13:18">
      <c r="M44" s="362">
        <v>70210</v>
      </c>
      <c r="N44" s="364">
        <f t="shared" si="1"/>
        <v>0.34999938558265781</v>
      </c>
      <c r="O44" s="364">
        <f t="shared" si="0"/>
        <v>1.6645469612612748E-2</v>
      </c>
      <c r="P44" s="361">
        <v>2821.8933131435488</v>
      </c>
      <c r="Q44" s="361">
        <v>987.66092578005271</v>
      </c>
      <c r="R44" s="361">
        <v>46.971739393966047</v>
      </c>
    </row>
    <row r="45" spans="13:18">
      <c r="M45" s="362">
        <v>70220</v>
      </c>
      <c r="N45" s="364">
        <f t="shared" si="1"/>
        <v>0.38097644101677963</v>
      </c>
      <c r="O45" s="364">
        <f t="shared" si="0"/>
        <v>1.3883617795711468E-2</v>
      </c>
      <c r="P45" s="361">
        <v>1117.1035141935488</v>
      </c>
      <c r="Q45" s="361">
        <v>425.59012108479578</v>
      </c>
      <c r="R45" s="361">
        <v>15.509438229309373</v>
      </c>
    </row>
    <row r="46" spans="13:18">
      <c r="M46" s="362">
        <v>70230</v>
      </c>
      <c r="N46" s="364">
        <f t="shared" si="1"/>
        <v>0.44203412082473237</v>
      </c>
      <c r="O46" s="364">
        <f t="shared" si="0"/>
        <v>3.4036357268238712E-2</v>
      </c>
      <c r="P46" s="361">
        <v>6.5551260251046042</v>
      </c>
      <c r="Q46" s="361">
        <v>2.8975893694024362</v>
      </c>
      <c r="R46" s="361">
        <v>0.22311261132878984</v>
      </c>
    </row>
    <row r="47" spans="13:18">
      <c r="M47" s="362">
        <v>70260</v>
      </c>
      <c r="N47" s="364">
        <f t="shared" si="1"/>
        <v>0.32049830222166042</v>
      </c>
      <c r="O47" s="364">
        <f t="shared" si="0"/>
        <v>2.3655543028573967E-2</v>
      </c>
      <c r="P47" s="361">
        <v>1250.9088152867832</v>
      </c>
      <c r="Q47" s="361">
        <v>400.91415153352267</v>
      </c>
      <c r="R47" s="361">
        <v>29.590927304838985</v>
      </c>
    </row>
    <row r="48" spans="13:18">
      <c r="M48" s="362">
        <v>75690</v>
      </c>
      <c r="N48" s="364">
        <f t="shared" si="1"/>
        <v>0.26786532679556957</v>
      </c>
      <c r="O48" s="364">
        <f t="shared" si="0"/>
        <v>1.5333547798904999E-2</v>
      </c>
      <c r="P48" s="361">
        <v>319.40025000000003</v>
      </c>
      <c r="Q48" s="361">
        <v>85.556252344836622</v>
      </c>
      <c r="R48" s="361">
        <v>4.8975390003572068</v>
      </c>
    </row>
    <row r="49" spans="13:18">
      <c r="M49" s="362">
        <v>75800</v>
      </c>
      <c r="N49" s="364">
        <f t="shared" si="1"/>
        <v>0.43704754565123571</v>
      </c>
      <c r="O49" s="364">
        <f t="shared" si="0"/>
        <v>1.2294627972776797E-2</v>
      </c>
      <c r="P49" s="361">
        <v>386.97806152173911</v>
      </c>
      <c r="Q49" s="361">
        <v>169.12781200894898</v>
      </c>
      <c r="R49" s="361">
        <v>4.757751300036114</v>
      </c>
    </row>
    <row r="50" spans="13:18">
      <c r="M50" s="362">
        <v>75890</v>
      </c>
      <c r="N50" s="364">
        <f t="shared" si="1"/>
        <v>0.25130771352449904</v>
      </c>
      <c r="O50" s="364">
        <f t="shared" si="0"/>
        <v>1.898381684877963E-2</v>
      </c>
      <c r="P50" s="361">
        <v>1604.1299099999994</v>
      </c>
      <c r="Q50" s="361">
        <v>403.13021987836032</v>
      </c>
      <c r="R50" s="361">
        <v>30.452508413089344</v>
      </c>
    </row>
    <row r="51" spans="13:18">
      <c r="M51" s="362">
        <v>76421</v>
      </c>
      <c r="N51" s="364">
        <f t="shared" si="1"/>
        <v>0.41350775445505283</v>
      </c>
      <c r="O51" s="364">
        <f t="shared" si="0"/>
        <v>3.6823790039687158E-2</v>
      </c>
      <c r="P51" s="361">
        <v>1190.6856800000003</v>
      </c>
      <c r="Q51" s="361">
        <v>492.35776179858772</v>
      </c>
      <c r="R51" s="361">
        <v>43.845559483582143</v>
      </c>
    </row>
    <row r="52" spans="13:18">
      <c r="M52" s="362">
        <v>76426</v>
      </c>
      <c r="N52" s="364">
        <f t="shared" si="1"/>
        <v>0.46369175255159611</v>
      </c>
      <c r="O52" s="364">
        <f t="shared" si="0"/>
        <v>1.3905615102390301E-2</v>
      </c>
      <c r="P52" s="361">
        <v>160.90795</v>
      </c>
      <c r="Q52" s="361">
        <v>74.611689334984604</v>
      </c>
      <c r="R52" s="361">
        <v>2.2375240196146633</v>
      </c>
    </row>
    <row r="53" spans="13:18">
      <c r="M53" s="362">
        <v>76490</v>
      </c>
      <c r="N53" s="364">
        <f t="shared" si="1"/>
        <v>0.34938924141487865</v>
      </c>
      <c r="O53" s="364">
        <f t="shared" si="0"/>
        <v>3.7129184302758272E-2</v>
      </c>
      <c r="P53" s="361">
        <v>1752.3666599999995</v>
      </c>
      <c r="Q53" s="361">
        <v>612.25805801812442</v>
      </c>
      <c r="R53" s="361">
        <v>65.063944685148925</v>
      </c>
    </row>
    <row r="54" spans="13:18">
      <c r="M54" s="362">
        <v>82020</v>
      </c>
      <c r="N54" s="364">
        <f t="shared" si="1"/>
        <v>0.27457804132314489</v>
      </c>
      <c r="O54" s="364">
        <f t="shared" si="0"/>
        <v>3.7164644390101392E-2</v>
      </c>
      <c r="P54" s="361">
        <v>1020.74672</v>
      </c>
      <c r="Q54" s="361">
        <v>280.27463506462459</v>
      </c>
      <c r="R54" s="361">
        <v>37.935688861162397</v>
      </c>
    </row>
    <row r="55" spans="13:18">
      <c r="M55" s="362">
        <v>82022</v>
      </c>
      <c r="N55" s="364">
        <f t="shared" si="1"/>
        <v>0.35669833175319776</v>
      </c>
      <c r="O55" s="364">
        <f t="shared" si="0"/>
        <v>4.4502854687038129E-2</v>
      </c>
      <c r="P55" s="361">
        <v>538.66278586278588</v>
      </c>
      <c r="Q55" s="361">
        <v>192.14011709478572</v>
      </c>
      <c r="R55" s="361">
        <v>23.972031684566698</v>
      </c>
    </row>
    <row r="56" spans="13:18">
      <c r="M56" s="362">
        <v>82280</v>
      </c>
      <c r="N56" s="364">
        <f t="shared" si="1"/>
        <v>0.42937649413121309</v>
      </c>
      <c r="O56" s="364">
        <f t="shared" si="0"/>
        <v>2.5064630160418575E-2</v>
      </c>
      <c r="P56" s="361">
        <v>17893.881038958738</v>
      </c>
      <c r="Q56" s="361">
        <v>7683.2119069090913</v>
      </c>
      <c r="R56" s="361">
        <v>448.50351037602724</v>
      </c>
    </row>
    <row r="57" spans="13:18">
      <c r="M57" s="362">
        <v>83030</v>
      </c>
      <c r="N57" s="364">
        <f t="shared" si="1"/>
        <v>0.26512686199290014</v>
      </c>
      <c r="O57" s="364">
        <f t="shared" si="0"/>
        <v>3.7988396154905055E-2</v>
      </c>
      <c r="P57" s="361">
        <v>4634.2759602207143</v>
      </c>
      <c r="Q57" s="361">
        <v>1228.6710429424522</v>
      </c>
      <c r="R57" s="361">
        <v>176.04871106801752</v>
      </c>
    </row>
    <row r="58" spans="13:18">
      <c r="M58" s="362">
        <v>83032</v>
      </c>
      <c r="N58" s="364">
        <f t="shared" si="1"/>
        <v>0.33504954100596263</v>
      </c>
      <c r="O58" s="364">
        <f t="shared" si="0"/>
        <v>3.6830146440348897E-2</v>
      </c>
      <c r="P58" s="361">
        <v>1212.9326074577907</v>
      </c>
      <c r="Q58" s="361">
        <v>406.39251339989823</v>
      </c>
      <c r="R58" s="361">
        <v>44.672485554944657</v>
      </c>
    </row>
    <row r="59" spans="13:18">
      <c r="M59" s="362">
        <v>83610</v>
      </c>
      <c r="N59" s="364">
        <f t="shared" si="1"/>
        <v>0.24082522355994171</v>
      </c>
      <c r="O59" s="364">
        <f t="shared" si="0"/>
        <v>7.7128562635335419E-3</v>
      </c>
      <c r="P59" s="361">
        <v>20.099309999999996</v>
      </c>
      <c r="Q59" s="361">
        <v>4.8404208241505708</v>
      </c>
      <c r="R59" s="361">
        <v>0.15502308902620232</v>
      </c>
    </row>
    <row r="60" spans="13:18">
      <c r="M60" s="362">
        <v>83620</v>
      </c>
      <c r="N60" s="364">
        <f t="shared" si="1"/>
        <v>0.19726830140853011</v>
      </c>
      <c r="O60" s="364">
        <f t="shared" si="0"/>
        <v>6.6089858155185775E-3</v>
      </c>
      <c r="P60" s="361">
        <v>518.15968949019612</v>
      </c>
      <c r="Q60" s="361">
        <v>102.21648180410237</v>
      </c>
      <c r="R60" s="361">
        <v>3.4245100380142168</v>
      </c>
    </row>
    <row r="61" spans="13:18">
      <c r="M61" s="362">
        <v>83630</v>
      </c>
      <c r="N61" s="364">
        <f t="shared" si="1"/>
        <v>0.22997988349495121</v>
      </c>
      <c r="O61" s="364">
        <f t="shared" si="0"/>
        <v>4.8135862432313846E-3</v>
      </c>
      <c r="P61" s="361">
        <v>148.61793882352944</v>
      </c>
      <c r="Q61" s="361">
        <v>34.179136255895088</v>
      </c>
      <c r="R61" s="361">
        <v>0.71538526581834483</v>
      </c>
    </row>
    <row r="62" spans="13:18">
      <c r="M62" s="362">
        <v>83980</v>
      </c>
      <c r="N62" s="364">
        <f t="shared" si="1"/>
        <v>0.25930225214977676</v>
      </c>
      <c r="O62" s="364">
        <f t="shared" si="0"/>
        <v>9.0311657743641569E-3</v>
      </c>
      <c r="P62" s="361">
        <v>103.29968999999996</v>
      </c>
      <c r="Q62" s="361">
        <v>26.785842263373763</v>
      </c>
      <c r="R62" s="361">
        <v>0.93291662483042703</v>
      </c>
    </row>
    <row r="63" spans="13:18">
      <c r="M63" s="362">
        <v>86220</v>
      </c>
      <c r="N63" s="364">
        <f t="shared" si="1"/>
        <v>0.46121977095264327</v>
      </c>
      <c r="O63" s="364">
        <f t="shared" si="0"/>
        <v>3.0885279743034108E-2</v>
      </c>
      <c r="P63" s="361">
        <v>5461.1733994976148</v>
      </c>
      <c r="Q63" s="361">
        <v>2518.801144448958</v>
      </c>
      <c r="R63" s="361">
        <v>168.66986816870039</v>
      </c>
    </row>
    <row r="64" spans="13:18">
      <c r="M64" s="362">
        <v>86621</v>
      </c>
      <c r="N64" s="364">
        <f t="shared" si="1"/>
        <v>0.42670947234740531</v>
      </c>
      <c r="O64" s="364">
        <f t="shared" si="0"/>
        <v>2.2707757216010559E-2</v>
      </c>
      <c r="P64" s="361">
        <v>6129.0434800000003</v>
      </c>
      <c r="Q64" s="361">
        <v>2615.3209093451051</v>
      </c>
      <c r="R64" s="361">
        <v>139.17683131021246</v>
      </c>
    </row>
    <row r="65" spans="13:18">
      <c r="M65" s="362">
        <v>91565</v>
      </c>
      <c r="N65" s="364">
        <f t="shared" si="1"/>
        <v>0.47889876307996593</v>
      </c>
      <c r="O65" s="364">
        <f t="shared" si="0"/>
        <v>1.7066031895364667E-2</v>
      </c>
      <c r="P65" s="361">
        <v>3816.4351313391176</v>
      </c>
      <c r="Q65" s="361">
        <v>1827.6860637732307</v>
      </c>
      <c r="R65" s="361">
        <v>65.131403678023617</v>
      </c>
    </row>
    <row r="66" spans="13:18">
      <c r="M66" s="362">
        <v>92147</v>
      </c>
      <c r="N66" s="364">
        <f t="shared" si="1"/>
        <v>0.40205976323731563</v>
      </c>
      <c r="O66" s="364">
        <f t="shared" si="0"/>
        <v>5.9288024299540172E-3</v>
      </c>
      <c r="P66" s="361">
        <v>1029.0474962536023</v>
      </c>
      <c r="Q66" s="361">
        <v>413.73859270367575</v>
      </c>
      <c r="R66" s="361">
        <v>6.1010192963264549</v>
      </c>
    </row>
    <row r="67" spans="13:18">
      <c r="M67" s="362">
        <v>94143</v>
      </c>
      <c r="N67" s="364">
        <f t="shared" si="1"/>
        <v>0.36129410021610897</v>
      </c>
      <c r="O67" s="364">
        <f t="shared" si="0"/>
        <v>2.19190019827754E-2</v>
      </c>
      <c r="P67" s="361">
        <v>62.410859999999985</v>
      </c>
      <c r="Q67" s="361">
        <v>22.548675507413542</v>
      </c>
      <c r="R67" s="361">
        <v>1.3679837640867176</v>
      </c>
    </row>
    <row r="68" spans="13:18">
      <c r="M68" s="362">
        <v>94144</v>
      </c>
      <c r="N68" s="364">
        <f t="shared" si="1"/>
        <v>0.3759485487904885</v>
      </c>
      <c r="O68" s="364">
        <f t="shared" si="0"/>
        <v>2.2654549538048567E-2</v>
      </c>
      <c r="P68" s="361">
        <v>736.84173000000021</v>
      </c>
      <c r="Q68" s="361">
        <v>277.01457908177304</v>
      </c>
      <c r="R68" s="361">
        <v>16.692817473986413</v>
      </c>
    </row>
    <row r="69" spans="13:18">
      <c r="M69" s="362">
        <v>94147</v>
      </c>
      <c r="N69" s="364">
        <f t="shared" ref="N69:N132" si="4">Q69/P69</f>
        <v>0.43131382628254605</v>
      </c>
      <c r="O69" s="364">
        <f t="shared" ref="O69:O132" si="5">R69/P69</f>
        <v>1.0998425269902372E-2</v>
      </c>
      <c r="P69" s="361">
        <v>45.543060000000004</v>
      </c>
      <c r="Q69" s="361">
        <v>19.643351469215574</v>
      </c>
      <c r="R69" s="361">
        <v>0.50090194197268001</v>
      </c>
    </row>
    <row r="70" spans="13:18">
      <c r="M70" s="362">
        <v>94151</v>
      </c>
      <c r="N70" s="364">
        <f t="shared" si="4"/>
        <v>0.36543379132418874</v>
      </c>
      <c r="O70" s="364">
        <f t="shared" si="5"/>
        <v>2.2561097932737261E-2</v>
      </c>
      <c r="P70" s="361">
        <v>175.8599426821192</v>
      </c>
      <c r="Q70" s="361">
        <v>64.265165596381337</v>
      </c>
      <c r="R70" s="361">
        <v>3.9675933892968525</v>
      </c>
    </row>
    <row r="71" spans="13:18">
      <c r="M71" s="362">
        <v>94213</v>
      </c>
      <c r="N71" s="364">
        <f t="shared" si="4"/>
        <v>0.29590265390670406</v>
      </c>
      <c r="O71" s="364">
        <f t="shared" si="5"/>
        <v>4.3847813835617214E-2</v>
      </c>
      <c r="P71" s="361">
        <v>876.67755999999986</v>
      </c>
      <c r="Q71" s="361">
        <v>259.41121662445374</v>
      </c>
      <c r="R71" s="361">
        <v>38.440394444743134</v>
      </c>
    </row>
    <row r="72" spans="13:18">
      <c r="M72" s="362">
        <v>94216</v>
      </c>
      <c r="N72" s="364">
        <f t="shared" si="4"/>
        <v>0.35612138386316783</v>
      </c>
      <c r="O72" s="364">
        <f t="shared" si="5"/>
        <v>2.4782394483467637E-2</v>
      </c>
      <c r="P72" s="361">
        <v>636.75711373961246</v>
      </c>
      <c r="Q72" s="361">
        <v>226.76282452966734</v>
      </c>
      <c r="R72" s="361">
        <v>15.780365982849347</v>
      </c>
    </row>
    <row r="73" spans="13:18">
      <c r="M73" s="362">
        <v>94217</v>
      </c>
      <c r="N73" s="364">
        <f t="shared" si="4"/>
        <v>0.34820933511690866</v>
      </c>
      <c r="O73" s="364">
        <f t="shared" si="5"/>
        <v>2.7358380915684079E-2</v>
      </c>
      <c r="P73" s="361">
        <v>1823.5738400000005</v>
      </c>
      <c r="Q73" s="361">
        <v>634.98543436298814</v>
      </c>
      <c r="R73" s="361">
        <v>49.890027742596743</v>
      </c>
    </row>
    <row r="74" spans="13:18">
      <c r="M74" s="362">
        <v>94268</v>
      </c>
      <c r="N74" s="364">
        <f t="shared" si="4"/>
        <v>0.27267624988730327</v>
      </c>
      <c r="O74" s="364">
        <f t="shared" si="5"/>
        <v>1.3146664316436761E-2</v>
      </c>
      <c r="P74" s="361">
        <v>53.548020000000001</v>
      </c>
      <c r="Q74" s="361">
        <v>14.601273282490315</v>
      </c>
      <c r="R74" s="361">
        <v>0.70397784374984207</v>
      </c>
    </row>
    <row r="75" spans="13:18">
      <c r="M75" s="362">
        <v>94430</v>
      </c>
      <c r="N75" s="364">
        <f t="shared" si="4"/>
        <v>0.23094515937442539</v>
      </c>
      <c r="O75" s="364">
        <f t="shared" si="5"/>
        <v>2.0137995139838029E-2</v>
      </c>
      <c r="P75" s="361">
        <v>241.96406302417643</v>
      </c>
      <c r="Q75" s="361">
        <v>55.880429098001933</v>
      </c>
      <c r="R75" s="361">
        <v>4.8726711251963275</v>
      </c>
    </row>
    <row r="76" spans="13:18">
      <c r="M76" s="362">
        <v>94668</v>
      </c>
      <c r="N76" s="364">
        <f t="shared" si="4"/>
        <v>0.39968722013216879</v>
      </c>
      <c r="O76" s="364">
        <f t="shared" si="5"/>
        <v>4.2026222433274363E-2</v>
      </c>
      <c r="P76" s="361">
        <v>371.91293999999988</v>
      </c>
      <c r="Q76" s="361">
        <v>148.64884911978203</v>
      </c>
      <c r="R76" s="361">
        <v>15.630095942253018</v>
      </c>
    </row>
    <row r="77" spans="13:18">
      <c r="M77" s="362">
        <v>94669</v>
      </c>
      <c r="N77" s="364">
        <f t="shared" si="4"/>
        <v>0.40477938541217939</v>
      </c>
      <c r="O77" s="364">
        <f t="shared" si="5"/>
        <v>1.7708009321235865E-2</v>
      </c>
      <c r="P77" s="361">
        <v>53.706929411764698</v>
      </c>
      <c r="Q77" s="361">
        <v>21.739457879669416</v>
      </c>
      <c r="R77" s="361">
        <v>0.95104280663848584</v>
      </c>
    </row>
    <row r="78" spans="13:18">
      <c r="M78" s="362">
        <v>95217</v>
      </c>
      <c r="N78" s="364">
        <f t="shared" si="4"/>
        <v>0.33160916646149663</v>
      </c>
      <c r="O78" s="364">
        <f t="shared" si="5"/>
        <v>3.8679662191263856E-2</v>
      </c>
      <c r="P78" s="361">
        <v>231.42067000000009</v>
      </c>
      <c r="Q78" s="361">
        <v>76.741215480661111</v>
      </c>
      <c r="R78" s="361">
        <v>8.9512733396759536</v>
      </c>
    </row>
    <row r="79" spans="13:18">
      <c r="M79" s="362">
        <v>2373713</v>
      </c>
      <c r="N79" s="364">
        <f t="shared" si="4"/>
        <v>0.39747599031162051</v>
      </c>
      <c r="O79" s="364">
        <f t="shared" si="5"/>
        <v>3.87796690010919E-2</v>
      </c>
      <c r="P79" s="361">
        <v>17520.354859999999</v>
      </c>
      <c r="Q79" s="361">
        <v>6963.9203985895128</v>
      </c>
      <c r="R79" s="361">
        <v>679.4335622524718</v>
      </c>
    </row>
    <row r="80" spans="13:18">
      <c r="M80" s="362">
        <v>7775051</v>
      </c>
      <c r="N80" s="364">
        <f t="shared" si="4"/>
        <v>0.36953299431127767</v>
      </c>
      <c r="O80" s="364">
        <f t="shared" si="5"/>
        <v>1.7638117352050106E-2</v>
      </c>
      <c r="P80" s="361">
        <v>1280.9047199999998</v>
      </c>
      <c r="Q80" s="361">
        <v>473.33655660904861</v>
      </c>
      <c r="R80" s="361">
        <v>22.592747768154879</v>
      </c>
    </row>
    <row r="81" spans="13:18">
      <c r="M81" s="362" t="s">
        <v>753</v>
      </c>
      <c r="N81" s="364">
        <f t="shared" si="4"/>
        <v>0.26991422388628911</v>
      </c>
      <c r="O81" s="364">
        <f t="shared" si="5"/>
        <v>2.5361761512185013E-2</v>
      </c>
      <c r="P81" s="361">
        <v>7182.3360000000002</v>
      </c>
      <c r="Q81" s="361">
        <v>1938.6146471305542</v>
      </c>
      <c r="R81" s="361">
        <v>182.15669273238086</v>
      </c>
    </row>
    <row r="82" spans="13:18">
      <c r="M82" s="362" t="s">
        <v>691</v>
      </c>
      <c r="N82" s="364">
        <f t="shared" si="4"/>
        <v>0.51846862686744666</v>
      </c>
      <c r="O82" s="364">
        <f t="shared" si="5"/>
        <v>5.2344351470623204E-2</v>
      </c>
      <c r="P82" s="361">
        <v>10089.008660292529</v>
      </c>
      <c r="Q82" s="361">
        <v>5230.8344665556451</v>
      </c>
      <c r="R82" s="361">
        <v>528.10261530451351</v>
      </c>
    </row>
    <row r="83" spans="13:18">
      <c r="M83" s="362" t="s">
        <v>692</v>
      </c>
      <c r="N83" s="364">
        <f t="shared" si="4"/>
        <v>0.46342667970931578</v>
      </c>
      <c r="O83" s="364">
        <f t="shared" si="5"/>
        <v>6.0338959119324492E-2</v>
      </c>
      <c r="P83" s="361">
        <v>9012.9308096353216</v>
      </c>
      <c r="Q83" s="361">
        <v>4176.8325995590922</v>
      </c>
      <c r="R83" s="361">
        <v>543.83086366788586</v>
      </c>
    </row>
    <row r="84" spans="13:18">
      <c r="M84" s="362" t="s">
        <v>693</v>
      </c>
      <c r="N84" s="364">
        <f t="shared" si="4"/>
        <v>0.39766994293715696</v>
      </c>
      <c r="O84" s="364">
        <f t="shared" si="5"/>
        <v>4.4497727015270327E-2</v>
      </c>
      <c r="P84" s="361">
        <v>2482.5908318830034</v>
      </c>
      <c r="Q84" s="361">
        <v>987.25175445122295</v>
      </c>
      <c r="R84" s="361">
        <v>110.46964912774276</v>
      </c>
    </row>
    <row r="85" spans="13:18">
      <c r="M85" s="362" t="s">
        <v>694</v>
      </c>
      <c r="N85" s="364">
        <f t="shared" si="4"/>
        <v>0.45149019368593868</v>
      </c>
      <c r="O85" s="364">
        <f t="shared" si="5"/>
        <v>4.7683573030691109E-2</v>
      </c>
      <c r="P85" s="361">
        <v>3206.867760000001</v>
      </c>
      <c r="Q85" s="361">
        <v>1447.8693460875927</v>
      </c>
      <c r="R85" s="361">
        <v>152.91491303372885</v>
      </c>
    </row>
    <row r="86" spans="13:18">
      <c r="M86" s="362" t="s">
        <v>695</v>
      </c>
      <c r="N86" s="364">
        <f t="shared" si="4"/>
        <v>0.45897425419874449</v>
      </c>
      <c r="O86" s="364">
        <f t="shared" si="5"/>
        <v>6.0509559577951164E-2</v>
      </c>
      <c r="P86" s="361">
        <v>24840.13493279921</v>
      </c>
      <c r="Q86" s="361">
        <v>11400.982404977698</v>
      </c>
      <c r="R86" s="361">
        <v>1503.0656246405597</v>
      </c>
    </row>
    <row r="87" spans="13:18">
      <c r="M87" s="362" t="s">
        <v>696</v>
      </c>
      <c r="N87" s="364">
        <f t="shared" si="4"/>
        <v>0.44024779153107174</v>
      </c>
      <c r="O87" s="364">
        <f t="shared" si="5"/>
        <v>3.8841675356237733E-2</v>
      </c>
      <c r="P87" s="361">
        <v>51.073787421383649</v>
      </c>
      <c r="Q87" s="361">
        <v>22.485122117391583</v>
      </c>
      <c r="R87" s="361">
        <v>1.983791470234882</v>
      </c>
    </row>
    <row r="88" spans="13:18">
      <c r="M88" s="362" t="s">
        <v>697</v>
      </c>
      <c r="N88" s="364">
        <f t="shared" si="4"/>
        <v>0.42147910272240996</v>
      </c>
      <c r="O88" s="364">
        <f t="shared" si="5"/>
        <v>5.7852995911576124E-2</v>
      </c>
      <c r="P88" s="361">
        <v>16649.248250517991</v>
      </c>
      <c r="Q88" s="361">
        <v>7017.3102136309762</v>
      </c>
      <c r="R88" s="361">
        <v>963.2088909680333</v>
      </c>
    </row>
    <row r="89" spans="13:18">
      <c r="M89" s="362" t="s">
        <v>698</v>
      </c>
      <c r="N89" s="364">
        <f t="shared" si="4"/>
        <v>0.4380631844210634</v>
      </c>
      <c r="O89" s="364">
        <f t="shared" si="5"/>
        <v>7.2416169653191503E-2</v>
      </c>
      <c r="P89" s="361">
        <v>9353.6078074530142</v>
      </c>
      <c r="Q89" s="361">
        <v>4097.4712219585881</v>
      </c>
      <c r="R89" s="361">
        <v>677.3524498539341</v>
      </c>
    </row>
    <row r="90" spans="13:18">
      <c r="M90" s="362" t="s">
        <v>699</v>
      </c>
      <c r="N90" s="364">
        <f t="shared" si="4"/>
        <v>0.28895884075855327</v>
      </c>
      <c r="O90" s="364">
        <f t="shared" si="5"/>
        <v>2.7866139444188184E-2</v>
      </c>
      <c r="P90" s="361">
        <v>744.0477073796792</v>
      </c>
      <c r="Q90" s="361">
        <v>214.99916299349138</v>
      </c>
      <c r="R90" s="361">
        <v>20.733737166970666</v>
      </c>
    </row>
    <row r="91" spans="13:18">
      <c r="M91" s="362" t="s">
        <v>700</v>
      </c>
      <c r="N91" s="364">
        <f t="shared" si="4"/>
        <v>0.49068313714777589</v>
      </c>
      <c r="O91" s="364">
        <f t="shared" si="5"/>
        <v>4.2445751843047975E-2</v>
      </c>
      <c r="P91" s="361">
        <v>8790.5220954357828</v>
      </c>
      <c r="Q91" s="361">
        <v>4313.3609589552707</v>
      </c>
      <c r="R91" s="361">
        <v>373.12031943369732</v>
      </c>
    </row>
    <row r="92" spans="13:18">
      <c r="M92" s="362" t="s">
        <v>701</v>
      </c>
      <c r="N92" s="364">
        <f t="shared" si="4"/>
        <v>0.47025337826663766</v>
      </c>
      <c r="O92" s="364">
        <f t="shared" si="5"/>
        <v>2.9889089363116517E-2</v>
      </c>
      <c r="P92" s="361">
        <v>1292.5219210165901</v>
      </c>
      <c r="Q92" s="361">
        <v>607.81279984173568</v>
      </c>
      <c r="R92" s="361">
        <v>38.63230320105189</v>
      </c>
    </row>
    <row r="93" spans="13:18">
      <c r="M93" s="362" t="s">
        <v>702</v>
      </c>
      <c r="N93" s="364">
        <f t="shared" si="4"/>
        <v>0.38532208084914388</v>
      </c>
      <c r="O93" s="364">
        <f t="shared" si="5"/>
        <v>4.452305694855966E-2</v>
      </c>
      <c r="P93" s="361">
        <v>2021.6296799999998</v>
      </c>
      <c r="Q93" s="361">
        <v>778.97855500398873</v>
      </c>
      <c r="R93" s="361">
        <v>90.009133371538425</v>
      </c>
    </row>
    <row r="94" spans="13:18">
      <c r="M94" s="362" t="s">
        <v>703</v>
      </c>
      <c r="N94" s="364">
        <f t="shared" si="4"/>
        <v>0.51050083845311689</v>
      </c>
      <c r="O94" s="364">
        <f t="shared" si="5"/>
        <v>3.6761468425403891E-2</v>
      </c>
      <c r="P94" s="361">
        <v>6273.3007245073322</v>
      </c>
      <c r="Q94" s="361">
        <v>3202.5252797295389</v>
      </c>
      <c r="R94" s="361">
        <v>230.61574650703963</v>
      </c>
    </row>
    <row r="95" spans="13:18">
      <c r="M95" s="362" t="s">
        <v>704</v>
      </c>
      <c r="N95" s="364">
        <f t="shared" si="4"/>
        <v>0.40776787547639037</v>
      </c>
      <c r="O95" s="364">
        <f t="shared" si="5"/>
        <v>2.465157652032883E-2</v>
      </c>
      <c r="P95" s="361">
        <v>7409.2905400000009</v>
      </c>
      <c r="Q95" s="361">
        <v>3021.2706622831174</v>
      </c>
      <c r="R95" s="361">
        <v>182.65069270815854</v>
      </c>
    </row>
    <row r="96" spans="13:18">
      <c r="M96" s="362" t="s">
        <v>705</v>
      </c>
      <c r="N96" s="364">
        <f t="shared" si="4"/>
        <v>0.40753235931621051</v>
      </c>
      <c r="O96" s="364">
        <f t="shared" si="5"/>
        <v>4.288273968513949E-2</v>
      </c>
      <c r="P96" s="361">
        <v>14019.779762676149</v>
      </c>
      <c r="Q96" s="361">
        <v>5713.5139237770727</v>
      </c>
      <c r="R96" s="361">
        <v>601.20656600582799</v>
      </c>
    </row>
    <row r="97" spans="13:18">
      <c r="M97" s="362" t="s">
        <v>706</v>
      </c>
      <c r="N97" s="364">
        <f t="shared" si="4"/>
        <v>0.38870827121374152</v>
      </c>
      <c r="O97" s="364">
        <f t="shared" si="5"/>
        <v>3.2062070932775404E-2</v>
      </c>
      <c r="P97" s="361">
        <v>6791.1217628139748</v>
      </c>
      <c r="Q97" s="361">
        <v>2639.765200025437</v>
      </c>
      <c r="R97" s="361">
        <v>217.73742767245642</v>
      </c>
    </row>
    <row r="98" spans="13:18">
      <c r="M98" s="362" t="s">
        <v>707</v>
      </c>
      <c r="N98" s="364">
        <f t="shared" si="4"/>
        <v>0.39202941876253711</v>
      </c>
      <c r="O98" s="364">
        <f t="shared" si="5"/>
        <v>3.8426278530710956E-2</v>
      </c>
      <c r="P98" s="361">
        <v>103.82916000000002</v>
      </c>
      <c r="Q98" s="361">
        <v>40.704085245402474</v>
      </c>
      <c r="R98" s="361">
        <v>3.9897682217697534</v>
      </c>
    </row>
    <row r="99" spans="13:18">
      <c r="M99" s="362" t="s">
        <v>708</v>
      </c>
      <c r="N99" s="364">
        <f t="shared" si="4"/>
        <v>0.42635039591693236</v>
      </c>
      <c r="O99" s="364">
        <f t="shared" si="5"/>
        <v>4.7130969169855749E-2</v>
      </c>
      <c r="P99" s="361">
        <v>1802.9864409188801</v>
      </c>
      <c r="Q99" s="361">
        <v>768.70398291862534</v>
      </c>
      <c r="R99" s="361">
        <v>84.976498360615679</v>
      </c>
    </row>
    <row r="100" spans="13:18">
      <c r="M100" s="362" t="s">
        <v>709</v>
      </c>
      <c r="N100" s="364">
        <f t="shared" si="4"/>
        <v>0.42319561724246163</v>
      </c>
      <c r="O100" s="364">
        <f t="shared" si="5"/>
        <v>3.7848711312869245E-2</v>
      </c>
      <c r="P100" s="361">
        <v>6591.9275000000016</v>
      </c>
      <c r="Q100" s="361">
        <v>2789.6748271800575</v>
      </c>
      <c r="R100" s="361">
        <v>249.49596094286392</v>
      </c>
    </row>
    <row r="101" spans="13:18">
      <c r="M101" s="362" t="s">
        <v>710</v>
      </c>
      <c r="N101" s="364">
        <f t="shared" si="4"/>
        <v>0.33662700482693952</v>
      </c>
      <c r="O101" s="364">
        <f t="shared" si="5"/>
        <v>3.7246848035254361E-2</v>
      </c>
      <c r="P101" s="361">
        <v>10171.782864327517</v>
      </c>
      <c r="Q101" s="361">
        <v>3424.0967993685599</v>
      </c>
      <c r="R101" s="361">
        <v>378.86685059521136</v>
      </c>
    </row>
    <row r="102" spans="13:18">
      <c r="M102" s="362" t="s">
        <v>711</v>
      </c>
      <c r="N102" s="364">
        <f t="shared" si="4"/>
        <v>0.45676617526233554</v>
      </c>
      <c r="O102" s="364">
        <f t="shared" si="5"/>
        <v>5.6332891821267481E-2</v>
      </c>
      <c r="P102" s="361">
        <v>941.34897749426148</v>
      </c>
      <c r="Q102" s="361">
        <v>429.9763720371642</v>
      </c>
      <c r="R102" s="361">
        <v>53.02891011524499</v>
      </c>
    </row>
    <row r="103" spans="13:18">
      <c r="M103" s="362" t="s">
        <v>712</v>
      </c>
      <c r="N103" s="364">
        <f t="shared" si="4"/>
        <v>0.63012876263545969</v>
      </c>
      <c r="O103" s="364">
        <f t="shared" si="5"/>
        <v>3.7318955014300652E-2</v>
      </c>
      <c r="P103" s="361">
        <v>715.26483933259146</v>
      </c>
      <c r="Q103" s="361">
        <v>450.7089481652967</v>
      </c>
      <c r="R103" s="361">
        <v>26.692936362363966</v>
      </c>
    </row>
    <row r="104" spans="13:18">
      <c r="M104" s="362" t="s">
        <v>713</v>
      </c>
      <c r="N104" s="364">
        <f t="shared" si="4"/>
        <v>0.39244971875835211</v>
      </c>
      <c r="O104" s="364">
        <f t="shared" si="5"/>
        <v>2.7372406353528493E-2</v>
      </c>
      <c r="P104" s="361">
        <v>228.99824683937825</v>
      </c>
      <c r="Q104" s="361">
        <v>89.870297568269692</v>
      </c>
      <c r="R104" s="361">
        <v>6.2682330667330834</v>
      </c>
    </row>
    <row r="105" spans="13:18">
      <c r="M105" s="362" t="s">
        <v>714</v>
      </c>
      <c r="N105" s="364">
        <f t="shared" si="4"/>
        <v>0.32851547989785851</v>
      </c>
      <c r="O105" s="364">
        <f t="shared" si="5"/>
        <v>1.6802122856547013E-2</v>
      </c>
      <c r="P105" s="361">
        <v>1167.4138297563804</v>
      </c>
      <c r="Q105" s="361">
        <v>383.51351452181422</v>
      </c>
      <c r="R105" s="361">
        <v>19.615030591998764</v>
      </c>
    </row>
    <row r="106" spans="13:18">
      <c r="M106" s="362" t="s">
        <v>715</v>
      </c>
      <c r="N106" s="364">
        <f t="shared" si="4"/>
        <v>0.44221661125771178</v>
      </c>
      <c r="O106" s="364">
        <f t="shared" si="5"/>
        <v>3.4656502461763168E-2</v>
      </c>
      <c r="P106" s="361">
        <v>659.47834337837844</v>
      </c>
      <c r="Q106" s="361">
        <v>291.63227820663616</v>
      </c>
      <c r="R106" s="361">
        <v>22.85521283077227</v>
      </c>
    </row>
    <row r="107" spans="13:18">
      <c r="M107" s="362" t="s">
        <v>716</v>
      </c>
      <c r="N107" s="364">
        <f t="shared" si="4"/>
        <v>0.4273733725942499</v>
      </c>
      <c r="O107" s="364">
        <f t="shared" si="5"/>
        <v>3.8711113648913262E-2</v>
      </c>
      <c r="P107" s="361">
        <v>4966.107523568704</v>
      </c>
      <c r="Q107" s="361">
        <v>2122.3821210132355</v>
      </c>
      <c r="R107" s="361">
        <v>192.2435527375913</v>
      </c>
    </row>
    <row r="108" spans="13:18">
      <c r="M108" s="362" t="s">
        <v>743</v>
      </c>
      <c r="N108" s="364">
        <f t="shared" si="4"/>
        <v>0.57458970801911602</v>
      </c>
      <c r="O108" s="364">
        <f t="shared" si="5"/>
        <v>2.6900565445934579E-2</v>
      </c>
      <c r="P108" s="361">
        <v>3375.8033017916787</v>
      </c>
      <c r="Q108" s="361">
        <v>1939.7018335064483</v>
      </c>
      <c r="R108" s="361">
        <v>90.811017652449095</v>
      </c>
    </row>
    <row r="109" spans="13:18">
      <c r="M109" s="362" t="s">
        <v>172</v>
      </c>
      <c r="N109" s="364">
        <f t="shared" si="4"/>
        <v>0.46342069628326699</v>
      </c>
      <c r="O109" s="364">
        <f t="shared" si="5"/>
        <v>2.5450892425433764E-2</v>
      </c>
      <c r="P109" s="361">
        <v>4827.9322474500013</v>
      </c>
      <c r="Q109" s="361">
        <v>2237.3637237217176</v>
      </c>
      <c r="R109" s="361">
        <v>122.87518426713265</v>
      </c>
    </row>
    <row r="110" spans="13:18">
      <c r="M110" s="362" t="s">
        <v>187</v>
      </c>
      <c r="N110" s="364">
        <f t="shared" si="4"/>
        <v>0.42805769036569208</v>
      </c>
      <c r="O110" s="364">
        <f t="shared" si="5"/>
        <v>2.5434117717440075E-2</v>
      </c>
      <c r="P110" s="361">
        <v>4805.9042598899996</v>
      </c>
      <c r="Q110" s="361">
        <v>2057.2042776071539</v>
      </c>
      <c r="R110" s="361">
        <v>122.23393468478898</v>
      </c>
    </row>
    <row r="111" spans="13:18">
      <c r="M111" s="362" t="s">
        <v>180</v>
      </c>
      <c r="N111" s="364">
        <f t="shared" si="4"/>
        <v>0.46075636807198511</v>
      </c>
      <c r="O111" s="364">
        <f t="shared" si="5"/>
        <v>2.5363679839626313E-2</v>
      </c>
      <c r="P111" s="361">
        <v>2663.1907423199987</v>
      </c>
      <c r="Q111" s="361">
        <v>1227.0820939142966</v>
      </c>
      <c r="R111" s="361">
        <v>67.548317340061189</v>
      </c>
    </row>
    <row r="112" spans="13:18">
      <c r="M112" s="362" t="s">
        <v>127</v>
      </c>
      <c r="N112" s="364">
        <f t="shared" si="4"/>
        <v>0.25536402616000919</v>
      </c>
      <c r="O112" s="364">
        <f t="shared" si="5"/>
        <v>2.5361359742858736E-2</v>
      </c>
      <c r="P112" s="361">
        <v>799.22833999999966</v>
      </c>
      <c r="Q112" s="361">
        <v>204.09416672358066</v>
      </c>
      <c r="R112" s="361">
        <v>20.269517447427805</v>
      </c>
    </row>
    <row r="113" spans="13:18">
      <c r="M113" s="362" t="s">
        <v>136</v>
      </c>
      <c r="N113" s="364">
        <f t="shared" si="4"/>
        <v>0.22149679389880211</v>
      </c>
      <c r="O113" s="364">
        <f t="shared" si="5"/>
        <v>2.5475022958540674E-2</v>
      </c>
      <c r="P113" s="361">
        <v>7995.0575999999974</v>
      </c>
      <c r="Q113" s="361">
        <v>1770.879625436251</v>
      </c>
      <c r="R113" s="361">
        <v>203.67427591485503</v>
      </c>
    </row>
    <row r="114" spans="13:18">
      <c r="M114" s="362" t="s">
        <v>143</v>
      </c>
      <c r="N114" s="364">
        <f t="shared" si="4"/>
        <v>0.22394372927331715</v>
      </c>
      <c r="O114" s="364">
        <f t="shared" si="5"/>
        <v>2.5367320298030818E-2</v>
      </c>
      <c r="P114" s="361">
        <v>6887.1996000000026</v>
      </c>
      <c r="Q114" s="361">
        <v>1542.3451626736987</v>
      </c>
      <c r="R114" s="361">
        <v>174.7097982096698</v>
      </c>
    </row>
    <row r="115" spans="13:18">
      <c r="M115" s="362" t="s">
        <v>150</v>
      </c>
      <c r="N115" s="364">
        <f t="shared" si="4"/>
        <v>0.29650668428487109</v>
      </c>
      <c r="O115" s="364">
        <f t="shared" si="5"/>
        <v>2.5358570544791955E-2</v>
      </c>
      <c r="P115" s="361">
        <v>4153.6071379999976</v>
      </c>
      <c r="Q115" s="361">
        <v>1231.5722803103522</v>
      </c>
      <c r="R115" s="361">
        <v>105.32953962432435</v>
      </c>
    </row>
    <row r="116" spans="13:18">
      <c r="M116" s="362" t="s">
        <v>157</v>
      </c>
      <c r="N116" s="364">
        <f t="shared" si="4"/>
        <v>0.2909103021060831</v>
      </c>
      <c r="O116" s="364">
        <f t="shared" si="5"/>
        <v>2.5403037476649477E-2</v>
      </c>
      <c r="P116" s="361">
        <v>3672.5051999999969</v>
      </c>
      <c r="Q116" s="361">
        <v>1068.3695972181602</v>
      </c>
      <c r="R116" s="361">
        <v>93.292787228790004</v>
      </c>
    </row>
    <row r="117" spans="13:18">
      <c r="M117" s="362" t="s">
        <v>164</v>
      </c>
      <c r="N117" s="364">
        <f t="shared" si="4"/>
        <v>0.26496938359231037</v>
      </c>
      <c r="O117" s="364">
        <f t="shared" si="5"/>
        <v>2.5333386569427189E-2</v>
      </c>
      <c r="P117" s="361">
        <v>10971.117792000006</v>
      </c>
      <c r="Q117" s="361">
        <v>2907.0103186648707</v>
      </c>
      <c r="R117" s="361">
        <v>277.93556812345662</v>
      </c>
    </row>
    <row r="118" spans="13:18">
      <c r="M118" s="362" t="s">
        <v>680</v>
      </c>
      <c r="N118" s="364">
        <f t="shared" si="4"/>
        <v>0.3477896764582602</v>
      </c>
      <c r="O118" s="364">
        <f t="shared" si="5"/>
        <v>2.5439714036259456E-2</v>
      </c>
      <c r="P118" s="361">
        <v>49975.129440000012</v>
      </c>
      <c r="Q118" s="361">
        <v>17380.834098897278</v>
      </c>
      <c r="R118" s="361">
        <v>1271.3530018786514</v>
      </c>
    </row>
    <row r="119" spans="13:18">
      <c r="M119" s="362" t="s">
        <v>211</v>
      </c>
      <c r="N119" s="364">
        <f t="shared" si="4"/>
        <v>0.47353963688029582</v>
      </c>
      <c r="O119" s="364">
        <f t="shared" si="5"/>
        <v>2.5423333707320025E-2</v>
      </c>
      <c r="P119" s="361">
        <v>5697.2083739999998</v>
      </c>
      <c r="Q119" s="361">
        <v>2697.8539846553404</v>
      </c>
      <c r="R119" s="361">
        <v>144.84202969234011</v>
      </c>
    </row>
    <row r="120" spans="13:18">
      <c r="M120" s="362" t="s">
        <v>219</v>
      </c>
      <c r="N120" s="364">
        <f t="shared" si="4"/>
        <v>0.49468306728938327</v>
      </c>
      <c r="O120" s="364">
        <f t="shared" si="5"/>
        <v>2.5366739620046732E-2</v>
      </c>
      <c r="P120" s="361">
        <v>5117.4299303400003</v>
      </c>
      <c r="Q120" s="361">
        <v>2531.5059345790864</v>
      </c>
      <c r="R120" s="361">
        <v>129.81251256676867</v>
      </c>
    </row>
    <row r="121" spans="13:18">
      <c r="M121" s="362" t="s">
        <v>202</v>
      </c>
      <c r="N121" s="364">
        <f t="shared" si="4"/>
        <v>0.34968064213844202</v>
      </c>
      <c r="O121" s="364">
        <f t="shared" si="5"/>
        <v>2.5378437766140117E-2</v>
      </c>
      <c r="P121" s="361">
        <v>254.22660000000002</v>
      </c>
      <c r="Q121" s="361">
        <v>88.898120736672851</v>
      </c>
      <c r="R121" s="361">
        <v>6.4518739465973978</v>
      </c>
    </row>
    <row r="122" spans="13:18">
      <c r="M122" s="362" t="s">
        <v>195</v>
      </c>
      <c r="N122" s="364">
        <f t="shared" si="4"/>
        <v>0.38128924028564587</v>
      </c>
      <c r="O122" s="364">
        <f t="shared" si="5"/>
        <v>2.5408134744837801E-2</v>
      </c>
      <c r="P122" s="361">
        <v>4375.159916229999</v>
      </c>
      <c r="Q122" s="361">
        <v>1668.2014005875465</v>
      </c>
      <c r="R122" s="361">
        <v>111.16465268178509</v>
      </c>
    </row>
    <row r="123" spans="13:18">
      <c r="M123" s="362" t="s">
        <v>717</v>
      </c>
      <c r="N123" s="364">
        <f t="shared" si="4"/>
        <v>0.37869553314106019</v>
      </c>
      <c r="O123" s="364">
        <f t="shared" si="5"/>
        <v>3.4401730353332154E-2</v>
      </c>
      <c r="P123" s="361">
        <v>4659.8234560102001</v>
      </c>
      <c r="Q123" s="361">
        <v>1764.6543280170004</v>
      </c>
      <c r="R123" s="361">
        <v>160.30599002779525</v>
      </c>
    </row>
    <row r="124" spans="13:18">
      <c r="M124" s="362" t="s">
        <v>718</v>
      </c>
      <c r="N124" s="364">
        <f t="shared" si="4"/>
        <v>0.39696176617249285</v>
      </c>
      <c r="O124" s="364">
        <f t="shared" si="5"/>
        <v>2.3879859248652262E-2</v>
      </c>
      <c r="P124" s="361">
        <v>2382.6615728233974</v>
      </c>
      <c r="Q124" s="361">
        <v>945.82554613930552</v>
      </c>
      <c r="R124" s="361">
        <v>56.897622996195146</v>
      </c>
    </row>
    <row r="125" spans="13:18">
      <c r="M125" s="362" t="s">
        <v>236</v>
      </c>
      <c r="N125" s="364">
        <f t="shared" si="4"/>
        <v>0.2414926131963808</v>
      </c>
      <c r="O125" s="364">
        <f t="shared" si="5"/>
        <v>2.531385367853289E-2</v>
      </c>
      <c r="P125" s="361">
        <v>1077.8238000000003</v>
      </c>
      <c r="Q125" s="361">
        <v>260.28648602725337</v>
      </c>
      <c r="R125" s="361">
        <v>27.283873964440307</v>
      </c>
    </row>
    <row r="126" spans="13:18">
      <c r="M126" s="362" t="s">
        <v>719</v>
      </c>
      <c r="N126" s="364">
        <f t="shared" si="4"/>
        <v>0.37602858767177383</v>
      </c>
      <c r="O126" s="364">
        <f t="shared" si="5"/>
        <v>2.8068430799065843E-2</v>
      </c>
      <c r="P126" s="361">
        <v>3019.3817149151605</v>
      </c>
      <c r="Q126" s="361">
        <v>1135.3738419015262</v>
      </c>
      <c r="R126" s="361">
        <v>84.749306721060933</v>
      </c>
    </row>
    <row r="127" spans="13:18">
      <c r="M127" s="362" t="s">
        <v>720</v>
      </c>
      <c r="N127" s="364">
        <f t="shared" si="4"/>
        <v>0.46214603597815179</v>
      </c>
      <c r="O127" s="364">
        <f t="shared" si="5"/>
        <v>2.2273055756505282E-2</v>
      </c>
      <c r="P127" s="361">
        <v>22230.250522112867</v>
      </c>
      <c r="Q127" s="361">
        <v>10273.622157595701</v>
      </c>
      <c r="R127" s="361">
        <v>495.13560936010055</v>
      </c>
    </row>
    <row r="128" spans="13:18">
      <c r="M128" s="362" t="s">
        <v>244</v>
      </c>
      <c r="N128" s="364">
        <f t="shared" si="4"/>
        <v>0.33593910703599916</v>
      </c>
      <c r="O128" s="364">
        <f t="shared" si="5"/>
        <v>2.5420064922445213E-2</v>
      </c>
      <c r="P128" s="361">
        <v>3566.0739805599997</v>
      </c>
      <c r="Q128" s="361">
        <v>1197.9837086536372</v>
      </c>
      <c r="R128" s="361">
        <v>90.649832104077817</v>
      </c>
    </row>
    <row r="129" spans="13:18">
      <c r="M129" s="362" t="s">
        <v>681</v>
      </c>
      <c r="N129" s="364">
        <f t="shared" si="4"/>
        <v>0.26236461084597185</v>
      </c>
      <c r="O129" s="364">
        <f t="shared" si="5"/>
        <v>2.5410211267605634E-2</v>
      </c>
      <c r="P129" s="361">
        <v>458.03519999999997</v>
      </c>
      <c r="Q129" s="361">
        <v>120.17222700175688</v>
      </c>
      <c r="R129" s="361">
        <v>11.638771199999999</v>
      </c>
    </row>
    <row r="130" spans="13:18">
      <c r="M130" s="362" t="s">
        <v>682</v>
      </c>
      <c r="N130" s="364">
        <f t="shared" si="4"/>
        <v>0.27741582580593166</v>
      </c>
      <c r="O130" s="364">
        <f t="shared" si="5"/>
        <v>2.5370642995157212E-2</v>
      </c>
      <c r="P130" s="361">
        <v>1680.1792</v>
      </c>
      <c r="Q130" s="361">
        <v>466.10830026994961</v>
      </c>
      <c r="R130" s="361">
        <v>42.627226651088847</v>
      </c>
    </row>
    <row r="131" spans="13:18">
      <c r="M131" s="362" t="s">
        <v>555</v>
      </c>
      <c r="N131" s="364">
        <f t="shared" si="4"/>
        <v>0.2563735012147218</v>
      </c>
      <c r="O131" s="364">
        <f t="shared" si="5"/>
        <v>2.546642972536349E-2</v>
      </c>
      <c r="P131" s="361">
        <v>5058.4679999999998</v>
      </c>
      <c r="Q131" s="361">
        <v>1296.8571519426314</v>
      </c>
      <c r="R131" s="361">
        <v>128.82111983999999</v>
      </c>
    </row>
    <row r="132" spans="13:18">
      <c r="M132" s="362" t="s">
        <v>683</v>
      </c>
      <c r="N132" s="364">
        <f t="shared" si="4"/>
        <v>0.28228617520404353</v>
      </c>
      <c r="O132" s="364">
        <f t="shared" si="5"/>
        <v>2.5461060586551051E-2</v>
      </c>
      <c r="P132" s="361">
        <v>16037.713440000009</v>
      </c>
      <c r="Q132" s="361">
        <v>4527.2247859960862</v>
      </c>
      <c r="R132" s="361">
        <v>408.3371935655843</v>
      </c>
    </row>
    <row r="133" spans="13:18">
      <c r="M133" s="362" t="s">
        <v>571</v>
      </c>
      <c r="N133" s="364">
        <f t="shared" ref="N133:N176" si="6">Q133/P133</f>
        <v>0.28368676916600316</v>
      </c>
      <c r="O133" s="364">
        <f t="shared" ref="O133:O176" si="7">R133/P133</f>
        <v>2.5424501922404755E-2</v>
      </c>
      <c r="P133" s="361">
        <v>888.28327999999999</v>
      </c>
      <c r="Q133" s="361">
        <v>251.99421380738016</v>
      </c>
      <c r="R133" s="361">
        <v>22.584159960000001</v>
      </c>
    </row>
    <row r="134" spans="13:18">
      <c r="M134" s="362" t="s">
        <v>684</v>
      </c>
      <c r="N134" s="364">
        <f t="shared" si="6"/>
        <v>0.31192351772069277</v>
      </c>
      <c r="O134" s="364">
        <f t="shared" si="7"/>
        <v>2.5340170368505922E-2</v>
      </c>
      <c r="P134" s="361">
        <v>3277.4268799999968</v>
      </c>
      <c r="Q134" s="361">
        <v>1022.3065214819537</v>
      </c>
      <c r="R134" s="361">
        <v>83.050555509520734</v>
      </c>
    </row>
    <row r="135" spans="13:18">
      <c r="M135" s="362" t="s">
        <v>563</v>
      </c>
      <c r="N135" s="364">
        <f t="shared" si="6"/>
        <v>0.30801591485871921</v>
      </c>
      <c r="O135" s="364">
        <f t="shared" si="7"/>
        <v>2.5238484018626956E-2</v>
      </c>
      <c r="P135" s="361">
        <v>25634.192639999994</v>
      </c>
      <c r="Q135" s="361">
        <v>7895.7392976742449</v>
      </c>
      <c r="R135" s="361">
        <v>646.96816127504462</v>
      </c>
    </row>
    <row r="136" spans="13:18">
      <c r="M136" s="362" t="s">
        <v>685</v>
      </c>
      <c r="N136" s="364">
        <f t="shared" si="6"/>
        <v>0.35089639512030257</v>
      </c>
      <c r="O136" s="364">
        <f t="shared" si="7"/>
        <v>2.5356108665434567E-2</v>
      </c>
      <c r="P136" s="361">
        <v>49331.495360000015</v>
      </c>
      <c r="Q136" s="361">
        <v>17310.243887717937</v>
      </c>
      <c r="R136" s="361">
        <v>1250.8547569765415</v>
      </c>
    </row>
    <row r="137" spans="13:18">
      <c r="M137" s="362" t="s">
        <v>608</v>
      </c>
      <c r="N137" s="364">
        <f t="shared" si="6"/>
        <v>0.29972699587544377</v>
      </c>
      <c r="O137" s="364">
        <f t="shared" si="7"/>
        <v>2.5273769893165279E-2</v>
      </c>
      <c r="P137" s="361">
        <v>18684.920599999994</v>
      </c>
      <c r="Q137" s="361">
        <v>5600.3751196091926</v>
      </c>
      <c r="R137" s="361">
        <v>472.23838371646355</v>
      </c>
    </row>
    <row r="138" spans="13:18">
      <c r="M138" s="362" t="s">
        <v>686</v>
      </c>
      <c r="N138" s="364">
        <f t="shared" si="6"/>
        <v>0.33288506278150937</v>
      </c>
      <c r="O138" s="364">
        <f t="shared" si="7"/>
        <v>2.5319386363701402E-2</v>
      </c>
      <c r="P138" s="361">
        <v>33679.268199999999</v>
      </c>
      <c r="Q138" s="361">
        <v>11211.325309192291</v>
      </c>
      <c r="R138" s="361">
        <v>852.7384040025222</v>
      </c>
    </row>
    <row r="139" spans="13:18">
      <c r="M139" s="362" t="s">
        <v>687</v>
      </c>
      <c r="N139" s="364">
        <f t="shared" si="6"/>
        <v>0.30685717005816743</v>
      </c>
      <c r="O139" s="364">
        <f t="shared" si="7"/>
        <v>2.5408749841027596E-2</v>
      </c>
      <c r="P139" s="361">
        <v>6368.2437000000009</v>
      </c>
      <c r="Q139" s="361">
        <v>1954.1412400227537</v>
      </c>
      <c r="R139" s="361">
        <v>161.80911110000002</v>
      </c>
    </row>
    <row r="140" spans="13:18">
      <c r="M140" s="362" t="s">
        <v>688</v>
      </c>
      <c r="N140" s="364">
        <f t="shared" si="6"/>
        <v>0.33187233244089853</v>
      </c>
      <c r="O140" s="364">
        <f t="shared" si="7"/>
        <v>2.5370729135491304E-2</v>
      </c>
      <c r="P140" s="361">
        <v>26236.2477</v>
      </c>
      <c r="Q140" s="361">
        <v>8707.0847186961601</v>
      </c>
      <c r="R140" s="361">
        <v>665.63273392835674</v>
      </c>
    </row>
    <row r="141" spans="13:18">
      <c r="M141" s="362" t="s">
        <v>70</v>
      </c>
      <c r="N141" s="364">
        <f t="shared" si="6"/>
        <v>0.32309187890232577</v>
      </c>
      <c r="O141" s="364">
        <f t="shared" si="7"/>
        <v>2.5336010167948227E-2</v>
      </c>
      <c r="P141" s="361">
        <v>10831.945599999997</v>
      </c>
      <c r="Q141" s="361">
        <v>3499.7136560717795</v>
      </c>
      <c r="R141" s="361">
        <v>274.438283860262</v>
      </c>
    </row>
    <row r="142" spans="13:18">
      <c r="M142" s="362" t="s">
        <v>551</v>
      </c>
      <c r="N142" s="364">
        <f t="shared" si="6"/>
        <v>0.18081217975967295</v>
      </c>
      <c r="O142" s="364">
        <f t="shared" si="7"/>
        <v>2.53701174215193E-2</v>
      </c>
      <c r="P142" s="361">
        <v>1263.0216292199998</v>
      </c>
      <c r="Q142" s="361">
        <v>228.3696938628816</v>
      </c>
      <c r="R142" s="361">
        <v>32.043007039230005</v>
      </c>
    </row>
    <row r="143" spans="13:18">
      <c r="M143" s="362" t="s">
        <v>689</v>
      </c>
      <c r="N143" s="364">
        <f t="shared" si="6"/>
        <v>0.18319947550387938</v>
      </c>
      <c r="O143" s="364">
        <f t="shared" si="7"/>
        <v>2.5345967282383738E-2</v>
      </c>
      <c r="P143" s="361">
        <v>4908.1692428100005</v>
      </c>
      <c r="Q143" s="361">
        <v>899.17403096706494</v>
      </c>
      <c r="R143" s="361">
        <v>124.40229704466444</v>
      </c>
    </row>
    <row r="144" spans="13:18">
      <c r="M144" s="362" t="s">
        <v>104</v>
      </c>
      <c r="N144" s="364">
        <f t="shared" si="6"/>
        <v>0.35822651469680938</v>
      </c>
      <c r="O144" s="364">
        <f t="shared" si="7"/>
        <v>2.5367759294612966E-2</v>
      </c>
      <c r="P144" s="361">
        <v>935.38080000000036</v>
      </c>
      <c r="Q144" s="361">
        <v>335.07820389831346</v>
      </c>
      <c r="R144" s="361">
        <v>23.728514983202523</v>
      </c>
    </row>
    <row r="145" spans="13:18">
      <c r="M145" s="362" t="s">
        <v>112</v>
      </c>
      <c r="N145" s="364">
        <f t="shared" si="6"/>
        <v>0.3593912401292928</v>
      </c>
      <c r="O145" s="364">
        <f t="shared" si="7"/>
        <v>2.5333520292894686E-2</v>
      </c>
      <c r="P145" s="361">
        <v>3920.0802000000008</v>
      </c>
      <c r="Q145" s="361">
        <v>1408.8424844842864</v>
      </c>
      <c r="R145" s="361">
        <v>99.309431296474685</v>
      </c>
    </row>
    <row r="146" spans="13:18">
      <c r="M146" s="362" t="s">
        <v>118</v>
      </c>
      <c r="N146" s="364">
        <f t="shared" si="6"/>
        <v>0.22151093990062315</v>
      </c>
      <c r="O146" s="364">
        <f t="shared" si="7"/>
        <v>2.5347831289972513E-2</v>
      </c>
      <c r="P146" s="361">
        <v>2600.5368664200009</v>
      </c>
      <c r="Q146" s="361">
        <v>576.04736552691566</v>
      </c>
      <c r="R146" s="361">
        <v>65.91796975336797</v>
      </c>
    </row>
    <row r="147" spans="13:18">
      <c r="M147" s="362" t="s">
        <v>559</v>
      </c>
      <c r="N147" s="364">
        <f t="shared" si="6"/>
        <v>0.23362944845848135</v>
      </c>
      <c r="O147" s="364">
        <f t="shared" si="7"/>
        <v>2.5471923978773289E-2</v>
      </c>
      <c r="P147" s="361">
        <v>2978.0305229100004</v>
      </c>
      <c r="Q147" s="361">
        <v>695.75562855998623</v>
      </c>
      <c r="R147" s="361">
        <v>75.856167086029998</v>
      </c>
    </row>
    <row r="148" spans="13:18">
      <c r="M148" s="362" t="s">
        <v>567</v>
      </c>
      <c r="N148" s="364">
        <f t="shared" si="6"/>
        <v>0.27411408238373741</v>
      </c>
      <c r="O148" s="364">
        <f t="shared" si="7"/>
        <v>2.5386208677685956E-2</v>
      </c>
      <c r="P148" s="361">
        <v>3196.8234847999997</v>
      </c>
      <c r="Q148" s="361">
        <v>876.29433607873364</v>
      </c>
      <c r="R148" s="361">
        <v>81.155228090860007</v>
      </c>
    </row>
    <row r="149" spans="13:18">
      <c r="M149" s="362" t="s">
        <v>755</v>
      </c>
      <c r="N149" s="364">
        <f t="shared" si="6"/>
        <v>0.26838162010918598</v>
      </c>
      <c r="O149" s="364">
        <f t="shared" si="7"/>
        <v>2.540888486302181E-2</v>
      </c>
      <c r="P149" s="361">
        <v>23592.603331260012</v>
      </c>
      <c r="Q149" s="361">
        <v>6331.8211046369397</v>
      </c>
      <c r="R149" s="361">
        <v>599.46174166293042</v>
      </c>
    </row>
    <row r="150" spans="13:18">
      <c r="M150" s="362" t="s">
        <v>227</v>
      </c>
      <c r="N150" s="364">
        <f t="shared" si="6"/>
        <v>0.42397103094004412</v>
      </c>
      <c r="O150" s="364">
        <f t="shared" si="7"/>
        <v>2.5426166846564392E-2</v>
      </c>
      <c r="P150" s="361">
        <v>7874.6830751599873</v>
      </c>
      <c r="Q150" s="361">
        <v>3338.6375017016967</v>
      </c>
      <c r="R150" s="361">
        <v>200.22300573283459</v>
      </c>
    </row>
    <row r="151" spans="13:18">
      <c r="M151" s="362" t="s">
        <v>721</v>
      </c>
      <c r="N151" s="364">
        <f t="shared" si="6"/>
        <v>0.58246461202019728</v>
      </c>
      <c r="O151" s="364">
        <f t="shared" si="7"/>
        <v>3.5093969715722623E-2</v>
      </c>
      <c r="P151" s="361">
        <v>20436.410479745016</v>
      </c>
      <c r="Q151" s="361">
        <v>11903.485901170176</v>
      </c>
      <c r="R151" s="361">
        <v>717.194770474248</v>
      </c>
    </row>
    <row r="152" spans="13:18">
      <c r="M152" s="362" t="s">
        <v>742</v>
      </c>
      <c r="N152" s="364">
        <f t="shared" si="6"/>
        <v>0.31683557137116114</v>
      </c>
      <c r="O152" s="364">
        <f t="shared" si="7"/>
        <v>1.1967901427088128E-2</v>
      </c>
      <c r="P152" s="361">
        <v>1332.5523900000001</v>
      </c>
      <c r="Q152" s="361">
        <v>422.19999786765641</v>
      </c>
      <c r="R152" s="361">
        <v>15.947855649950696</v>
      </c>
    </row>
    <row r="153" spans="13:18">
      <c r="M153" s="362" t="s">
        <v>722</v>
      </c>
      <c r="N153" s="364">
        <f t="shared" si="6"/>
        <v>0.32395354855933572</v>
      </c>
      <c r="O153" s="364">
        <f t="shared" si="7"/>
        <v>2.4870737552803536E-2</v>
      </c>
      <c r="P153" s="361">
        <v>1998.39264</v>
      </c>
      <c r="Q153" s="361">
        <v>647.38638714285912</v>
      </c>
      <c r="R153" s="361">
        <v>49.701498876894199</v>
      </c>
    </row>
    <row r="154" spans="13:18">
      <c r="M154" s="362" t="s">
        <v>723</v>
      </c>
      <c r="N154" s="364">
        <f t="shared" si="6"/>
        <v>0.25685555227398627</v>
      </c>
      <c r="O154" s="364">
        <f t="shared" si="7"/>
        <v>1.1504957935380084E-2</v>
      </c>
      <c r="P154" s="361">
        <v>218.46755000000002</v>
      </c>
      <c r="Q154" s="361">
        <v>56.114603209194712</v>
      </c>
      <c r="R154" s="361">
        <v>2.5134599729955456</v>
      </c>
    </row>
    <row r="155" spans="13:18">
      <c r="M155" s="362" t="s">
        <v>724</v>
      </c>
      <c r="N155" s="364">
        <f t="shared" si="6"/>
        <v>0.54122127914237106</v>
      </c>
      <c r="O155" s="364">
        <f t="shared" si="7"/>
        <v>3.7098683508373267E-2</v>
      </c>
      <c r="P155" s="361">
        <v>5858.2164906107555</v>
      </c>
      <c r="Q155" s="361">
        <v>3170.5914225412853</v>
      </c>
      <c r="R155" s="361">
        <v>217.33211950870157</v>
      </c>
    </row>
    <row r="156" spans="13:18">
      <c r="M156" s="362" t="s">
        <v>725</v>
      </c>
      <c r="N156" s="364">
        <f t="shared" si="6"/>
        <v>0.34348212886023832</v>
      </c>
      <c r="O156" s="364">
        <f t="shared" si="7"/>
        <v>2.205852369625939E-2</v>
      </c>
      <c r="P156" s="361">
        <v>4586.8042600000008</v>
      </c>
      <c r="Q156" s="361">
        <v>1575.4852918900103</v>
      </c>
      <c r="R156" s="361">
        <v>101.17813045931354</v>
      </c>
    </row>
    <row r="157" spans="13:18">
      <c r="M157" s="362" t="s">
        <v>726</v>
      </c>
      <c r="N157" s="364">
        <f t="shared" si="6"/>
        <v>0.40274681989623867</v>
      </c>
      <c r="O157" s="364">
        <f t="shared" si="7"/>
        <v>1.7535738091032978E-2</v>
      </c>
      <c r="P157" s="361">
        <v>366.88185916167663</v>
      </c>
      <c r="Q157" s="361">
        <v>147.76050205498498</v>
      </c>
      <c r="R157" s="361">
        <v>6.4335441926104098</v>
      </c>
    </row>
    <row r="158" spans="13:18">
      <c r="M158" s="362" t="s">
        <v>727</v>
      </c>
      <c r="N158" s="364">
        <f t="shared" si="6"/>
        <v>0.23726516009569484</v>
      </c>
      <c r="O158" s="364">
        <f t="shared" si="7"/>
        <v>8.8116754853639744E-3</v>
      </c>
      <c r="P158" s="361">
        <v>144.56390000000002</v>
      </c>
      <c r="Q158" s="361">
        <v>34.299976877558024</v>
      </c>
      <c r="R158" s="361">
        <v>1.2738501736986092</v>
      </c>
    </row>
    <row r="159" spans="13:18">
      <c r="M159" s="362" t="s">
        <v>728</v>
      </c>
      <c r="N159" s="364">
        <f t="shared" si="6"/>
        <v>0.24698459021715055</v>
      </c>
      <c r="O159" s="364">
        <f t="shared" si="7"/>
        <v>1.3285572312151004E-2</v>
      </c>
      <c r="P159" s="361">
        <v>18189.046537481769</v>
      </c>
      <c r="Q159" s="361">
        <v>4492.4142055006159</v>
      </c>
      <c r="R159" s="361">
        <v>241.65189306279387</v>
      </c>
    </row>
    <row r="160" spans="13:18">
      <c r="M160" s="362" t="s">
        <v>745</v>
      </c>
      <c r="N160" s="364">
        <f t="shared" si="6"/>
        <v>0.29891241308444449</v>
      </c>
      <c r="O160" s="364">
        <f t="shared" si="7"/>
        <v>1.3599775999962514E-2</v>
      </c>
      <c r="P160" s="361">
        <v>674.1339999999999</v>
      </c>
      <c r="Q160" s="361">
        <v>201.50702068226889</v>
      </c>
      <c r="R160" s="361">
        <v>9.1680713939587282</v>
      </c>
    </row>
    <row r="161" spans="13:18">
      <c r="M161" s="362" t="s">
        <v>729</v>
      </c>
      <c r="N161" s="364">
        <f t="shared" si="6"/>
        <v>0.37692663690961925</v>
      </c>
      <c r="O161" s="364">
        <f t="shared" si="7"/>
        <v>2.7154187507167221E-2</v>
      </c>
      <c r="P161" s="361">
        <v>24.7788</v>
      </c>
      <c r="Q161" s="361">
        <v>9.3397897506560739</v>
      </c>
      <c r="R161" s="361">
        <v>0.67284818140259517</v>
      </c>
    </row>
    <row r="162" spans="13:18">
      <c r="M162" s="362" t="s">
        <v>730</v>
      </c>
      <c r="N162" s="364">
        <f t="shared" si="6"/>
        <v>0.45066901686300043</v>
      </c>
      <c r="O162" s="364">
        <f t="shared" si="7"/>
        <v>4.0192523893541339E-2</v>
      </c>
      <c r="P162" s="361">
        <v>7645.0716508461019</v>
      </c>
      <c r="Q162" s="361">
        <v>3445.3969247340083</v>
      </c>
      <c r="R162" s="361">
        <v>307.27472499446748</v>
      </c>
    </row>
    <row r="163" spans="13:18">
      <c r="M163" s="362" t="s">
        <v>731</v>
      </c>
      <c r="N163" s="364">
        <f t="shared" si="6"/>
        <v>0.27984494857799536</v>
      </c>
      <c r="O163" s="364">
        <f t="shared" si="7"/>
        <v>2.399251018171589E-2</v>
      </c>
      <c r="P163" s="361">
        <v>7213.5341599999992</v>
      </c>
      <c r="Q163" s="361">
        <v>2018.6710960708128</v>
      </c>
      <c r="R163" s="361">
        <v>173.07079177995536</v>
      </c>
    </row>
    <row r="164" spans="13:18">
      <c r="M164" s="362" t="s">
        <v>732</v>
      </c>
      <c r="N164" s="364">
        <f t="shared" si="6"/>
        <v>0.55259889903637915</v>
      </c>
      <c r="O164" s="364">
        <f t="shared" si="7"/>
        <v>1.2397918029669401E-2</v>
      </c>
      <c r="P164" s="361">
        <v>5762.6733802153822</v>
      </c>
      <c r="Q164" s="361">
        <v>3184.4469654132699</v>
      </c>
      <c r="R164" s="361">
        <v>71.4451521996682</v>
      </c>
    </row>
    <row r="165" spans="13:18">
      <c r="M165" s="362" t="s">
        <v>733</v>
      </c>
      <c r="N165" s="364">
        <f t="shared" si="6"/>
        <v>0.5415587799414453</v>
      </c>
      <c r="O165" s="364">
        <f t="shared" si="7"/>
        <v>1.8015373652595854E-2</v>
      </c>
      <c r="P165" s="361">
        <v>2004.1638474919616</v>
      </c>
      <c r="Q165" s="361">
        <v>1085.3725280504996</v>
      </c>
      <c r="R165" s="361">
        <v>36.105760573591823</v>
      </c>
    </row>
    <row r="166" spans="13:18">
      <c r="M166" s="362" t="s">
        <v>734</v>
      </c>
      <c r="N166" s="364">
        <f t="shared" si="6"/>
        <v>0.2224116229880416</v>
      </c>
      <c r="O166" s="364">
        <f t="shared" si="7"/>
        <v>2.4280870397088032E-2</v>
      </c>
      <c r="P166" s="361">
        <v>15866.634792985971</v>
      </c>
      <c r="Q166" s="361">
        <v>3528.9239956665392</v>
      </c>
      <c r="R166" s="361">
        <v>385.25570304642008</v>
      </c>
    </row>
    <row r="167" spans="13:18">
      <c r="M167" s="362" t="s">
        <v>735</v>
      </c>
      <c r="N167" s="364">
        <f t="shared" si="6"/>
        <v>0.32230226554251429</v>
      </c>
      <c r="O167" s="364">
        <f t="shared" si="7"/>
        <v>3.3586235770185102E-2</v>
      </c>
      <c r="P167" s="361">
        <v>4561.5481500000005</v>
      </c>
      <c r="Q167" s="361">
        <v>1470.1973031262651</v>
      </c>
      <c r="R167" s="361">
        <v>153.2052316429517</v>
      </c>
    </row>
    <row r="168" spans="13:18">
      <c r="M168" s="362" t="s">
        <v>736</v>
      </c>
      <c r="N168" s="364">
        <f t="shared" si="6"/>
        <v>0.32100198430275295</v>
      </c>
      <c r="O168" s="364">
        <f t="shared" si="7"/>
        <v>2.5334682729761887E-2</v>
      </c>
      <c r="P168" s="361">
        <v>11172.372846332883</v>
      </c>
      <c r="Q168" s="361">
        <v>3586.3538530430515</v>
      </c>
      <c r="R168" s="361">
        <v>283.04852140045034</v>
      </c>
    </row>
    <row r="169" spans="13:18">
      <c r="M169" s="362" t="s">
        <v>737</v>
      </c>
      <c r="N169" s="364">
        <f t="shared" si="6"/>
        <v>0.30268227608654102</v>
      </c>
      <c r="O169" s="364">
        <f t="shared" si="7"/>
        <v>1.6166239306376395E-2</v>
      </c>
      <c r="P169" s="361">
        <v>4268.5440000000008</v>
      </c>
      <c r="Q169" s="361">
        <v>1292.0126134955483</v>
      </c>
      <c r="R169" s="361">
        <v>69.00630379379713</v>
      </c>
    </row>
    <row r="170" spans="13:18">
      <c r="M170" s="362" t="s">
        <v>738</v>
      </c>
      <c r="N170" s="364">
        <f t="shared" si="6"/>
        <v>0.29661172639026245</v>
      </c>
      <c r="O170" s="364">
        <f t="shared" si="7"/>
        <v>2.7770954713498431E-2</v>
      </c>
      <c r="P170" s="361">
        <v>835.25323000000003</v>
      </c>
      <c r="Q170" s="361">
        <v>247.74590252334298</v>
      </c>
      <c r="R170" s="361">
        <v>23.195779624633289</v>
      </c>
    </row>
    <row r="171" spans="13:18">
      <c r="M171" s="362" t="s">
        <v>739</v>
      </c>
      <c r="N171" s="364">
        <f t="shared" si="6"/>
        <v>0.20026217207895622</v>
      </c>
      <c r="O171" s="364">
        <f t="shared" si="7"/>
        <v>1.1040811128782664E-2</v>
      </c>
      <c r="P171" s="361">
        <v>8121.526567536419</v>
      </c>
      <c r="Q171" s="361">
        <v>1626.434551011793</v>
      </c>
      <c r="R171" s="361">
        <v>89.668240909560168</v>
      </c>
    </row>
    <row r="172" spans="13:18">
      <c r="M172" s="362" t="s">
        <v>740</v>
      </c>
      <c r="N172" s="364">
        <f t="shared" si="6"/>
        <v>0.39555086901874947</v>
      </c>
      <c r="O172" s="364">
        <f t="shared" si="7"/>
        <v>2.8844346409691631E-2</v>
      </c>
      <c r="P172" s="361">
        <v>1457.4726559622195</v>
      </c>
      <c r="Q172" s="361">
        <v>576.50457563692078</v>
      </c>
      <c r="R172" s="361">
        <v>42.039846171227573</v>
      </c>
    </row>
    <row r="173" spans="13:18">
      <c r="M173" s="362" t="s">
        <v>741</v>
      </c>
      <c r="N173" s="364">
        <f t="shared" si="6"/>
        <v>0.584850926969264</v>
      </c>
      <c r="O173" s="364">
        <f t="shared" si="7"/>
        <v>5.7090876502000752E-2</v>
      </c>
      <c r="P173" s="361">
        <v>9273.7076724646067</v>
      </c>
      <c r="Q173" s="361">
        <v>5423.7365286829008</v>
      </c>
      <c r="R173" s="361">
        <v>529.44409944433369</v>
      </c>
    </row>
    <row r="174" spans="13:18">
      <c r="M174" s="362" t="s">
        <v>754</v>
      </c>
      <c r="N174" s="364">
        <f t="shared" si="6"/>
        <v>0.34783813913873257</v>
      </c>
      <c r="O174" s="364">
        <f t="shared" si="7"/>
        <v>3.1329052394623601E-2</v>
      </c>
      <c r="P174" s="361">
        <v>-14346.649775359556</v>
      </c>
      <c r="Q174" s="361">
        <v>-4990.3119607361832</v>
      </c>
      <c r="R174" s="361">
        <v>-449.46694249955448</v>
      </c>
    </row>
    <row r="175" spans="13:18">
      <c r="M175" s="362" t="s">
        <v>744</v>
      </c>
      <c r="N175" s="364">
        <f t="shared" si="6"/>
        <v>0.44338186619948422</v>
      </c>
      <c r="O175" s="364">
        <f t="shared" si="7"/>
        <v>3.5945810935388074E-2</v>
      </c>
      <c r="P175" s="361">
        <v>8726.008333333335</v>
      </c>
      <c r="Q175" s="361">
        <v>3868.953859305585</v>
      </c>
      <c r="R175" s="361">
        <v>313.66344577062085</v>
      </c>
    </row>
    <row r="176" spans="13:18">
      <c r="M176" s="362" t="s">
        <v>275</v>
      </c>
      <c r="N176" s="364">
        <f t="shared" si="6"/>
        <v>0.36925158364203192</v>
      </c>
      <c r="O176" s="364">
        <f t="shared" si="7"/>
        <v>3.0315257096225821E-2</v>
      </c>
      <c r="P176" s="361">
        <v>905765.04468799545</v>
      </c>
      <c r="Q176" s="361">
        <v>334455.17715863814</v>
      </c>
      <c r="R176" s="361">
        <v>27458.500198491052</v>
      </c>
    </row>
  </sheetData>
  <autoFilter ref="E3:R176" xr:uid="{3F66D659-C880-4637-9EA3-2A2505213609}"/>
  <phoneticPr fontId="2" type="noConversion"/>
  <conditionalFormatting sqref="D4:D27">
    <cfRule type="duplicateValues" dxfId="32" priority="1"/>
    <cfRule type="duplicateValues" dxfId="31" priority="2"/>
  </conditionalFormatting>
  <conditionalFormatting sqref="E4:E27">
    <cfRule type="duplicateValues" dxfId="30" priority="3"/>
    <cfRule type="duplicateValues" dxfId="29" priority="4"/>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EF59C-242A-43CF-9996-80BA8C6793D8}">
  <dimension ref="D3:P4"/>
  <sheetViews>
    <sheetView topLeftCell="C1" workbookViewId="0">
      <selection activeCell="F16" sqref="F16"/>
    </sheetView>
  </sheetViews>
  <sheetFormatPr defaultRowHeight="14"/>
  <cols>
    <col min="3" max="3" width="8" customWidth="1"/>
    <col min="4" max="4" width="14.7265625" customWidth="1"/>
    <col min="5" max="5" width="16.36328125" customWidth="1"/>
    <col min="7" max="7" width="15.453125" customWidth="1"/>
    <col min="8" max="8" width="11.90625" customWidth="1"/>
    <col min="9" max="11" width="17.453125" customWidth="1"/>
    <col min="12" max="12" width="21.08984375" customWidth="1"/>
    <col min="13" max="13" width="14.81640625" customWidth="1"/>
  </cols>
  <sheetData>
    <row r="3" spans="4:16" ht="14.5">
      <c r="D3" s="370" t="s">
        <v>794</v>
      </c>
      <c r="E3" s="370" t="s">
        <v>795</v>
      </c>
      <c r="F3" s="370" t="s">
        <v>796</v>
      </c>
      <c r="G3" s="371" t="s">
        <v>797</v>
      </c>
      <c r="H3" s="371" t="s">
        <v>798</v>
      </c>
      <c r="I3" s="370" t="s">
        <v>799</v>
      </c>
      <c r="J3" s="370" t="s">
        <v>805</v>
      </c>
      <c r="K3" s="370" t="s">
        <v>806</v>
      </c>
      <c r="L3" s="370" t="s">
        <v>801</v>
      </c>
      <c r="M3" s="370" t="s">
        <v>802</v>
      </c>
      <c r="N3" s="370" t="s">
        <v>804</v>
      </c>
      <c r="O3" s="370" t="s">
        <v>807</v>
      </c>
      <c r="P3" s="370" t="s">
        <v>808</v>
      </c>
    </row>
    <row r="4" spans="4:16">
      <c r="I4" s="372" t="s">
        <v>800</v>
      </c>
      <c r="J4" s="372"/>
      <c r="K4" s="372"/>
      <c r="L4" t="s">
        <v>803</v>
      </c>
      <c r="M4" t="s">
        <v>803</v>
      </c>
    </row>
  </sheetData>
  <phoneticPr fontId="2"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CF871D-C5C1-4FB9-9E79-F0541CA78514}">
  <sheetPr filterMode="1">
    <tabColor rgb="FFFF0000"/>
  </sheetPr>
  <dimension ref="A1:AI96"/>
  <sheetViews>
    <sheetView zoomScale="47" zoomScaleNormal="47" workbookViewId="0">
      <pane ySplit="4" topLeftCell="A5" activePane="bottomLeft" state="frozen"/>
      <selection activeCell="P11" sqref="P11"/>
      <selection pane="bottomLeft" activeCell="P11" sqref="P11"/>
    </sheetView>
  </sheetViews>
  <sheetFormatPr defaultRowHeight="14" outlineLevelCol="1"/>
  <cols>
    <col min="1" max="1" width="34.453125" customWidth="1"/>
    <col min="2" max="2" width="15.453125" style="2" customWidth="1"/>
    <col min="3" max="3" width="29.90625" customWidth="1"/>
    <col min="4" max="4" width="11.453125" customWidth="1"/>
    <col min="5" max="5" width="53" customWidth="1"/>
    <col min="6" max="7" width="8.6328125" customWidth="1" outlineLevel="1"/>
    <col min="8" max="8" width="7.6328125" customWidth="1" outlineLevel="1"/>
    <col min="9" max="9" width="8.90625" customWidth="1" outlineLevel="1"/>
    <col min="10" max="10" width="9.453125" style="47" customWidth="1" outlineLevel="1"/>
    <col min="11" max="11" width="13.1796875" customWidth="1" outlineLevel="1"/>
    <col min="12" max="13" width="8.6328125" customWidth="1" outlineLevel="1"/>
    <col min="14" max="14" width="9.453125" style="3" customWidth="1"/>
    <col min="15" max="16" width="10.26953125" customWidth="1"/>
    <col min="17" max="17" width="13.36328125" bestFit="1" customWidth="1"/>
    <col min="18" max="18" width="10.7265625" customWidth="1"/>
    <col min="19" max="19" width="10.1796875" style="101" customWidth="1"/>
    <col min="20" max="20" width="11.08984375" style="94" bestFit="1" customWidth="1"/>
    <col min="21" max="21" width="8.08984375" customWidth="1"/>
    <col min="22" max="22" width="25.08984375" customWidth="1" outlineLevel="1"/>
    <col min="23" max="23" width="8.453125" customWidth="1"/>
    <col min="24" max="24" width="9.453125" customWidth="1"/>
    <col min="25" max="25" width="10.453125" style="107" customWidth="1"/>
    <col min="26" max="26" width="11.1796875" customWidth="1"/>
    <col min="27" max="27" width="20.81640625" customWidth="1"/>
    <col min="28" max="28" width="18.453125" style="2" customWidth="1"/>
    <col min="30" max="30" width="13.90625" customWidth="1"/>
    <col min="31" max="31" width="10.6328125" style="101" bestFit="1" customWidth="1"/>
    <col min="32" max="32" width="13.08984375" style="157" bestFit="1" customWidth="1"/>
    <col min="33" max="33" width="12.6328125" style="157" bestFit="1" customWidth="1"/>
    <col min="34" max="34" width="11.90625" bestFit="1" customWidth="1"/>
  </cols>
  <sheetData>
    <row r="1" spans="1:34" ht="17" customHeight="1">
      <c r="A1" t="str">
        <f>A4</f>
        <v>V</v>
      </c>
      <c r="B1" t="s">
        <v>274</v>
      </c>
      <c r="C1" t="s">
        <v>369</v>
      </c>
      <c r="D1" t="s">
        <v>29</v>
      </c>
      <c r="E1" t="s">
        <v>290</v>
      </c>
      <c r="F1" t="s">
        <v>377</v>
      </c>
      <c r="G1" t="s">
        <v>253</v>
      </c>
      <c r="H1" t="s">
        <v>378</v>
      </c>
      <c r="I1" t="s">
        <v>379</v>
      </c>
      <c r="J1" s="47" t="s">
        <v>11</v>
      </c>
      <c r="K1" t="s">
        <v>12</v>
      </c>
      <c r="L1" t="s">
        <v>380</v>
      </c>
      <c r="M1" t="s">
        <v>381</v>
      </c>
      <c r="N1" t="s">
        <v>13</v>
      </c>
      <c r="O1" t="s">
        <v>16</v>
      </c>
      <c r="P1" t="s">
        <v>382</v>
      </c>
      <c r="Q1" t="s">
        <v>383</v>
      </c>
      <c r="R1" t="s">
        <v>384</v>
      </c>
      <c r="S1" t="s">
        <v>385</v>
      </c>
      <c r="T1" t="s">
        <v>386</v>
      </c>
      <c r="U1" t="s">
        <v>368</v>
      </c>
      <c r="V1" t="s">
        <v>346</v>
      </c>
      <c r="W1" t="s">
        <v>387</v>
      </c>
      <c r="X1" t="s">
        <v>348</v>
      </c>
      <c r="Y1" s="107" t="s">
        <v>349</v>
      </c>
      <c r="Z1" t="s">
        <v>350</v>
      </c>
      <c r="AA1" s="64" t="s">
        <v>337</v>
      </c>
      <c r="AB1" s="64" t="s">
        <v>581</v>
      </c>
      <c r="AC1" s="6" t="s">
        <v>352</v>
      </c>
      <c r="AD1" s="245" t="s">
        <v>580</v>
      </c>
      <c r="AE1" s="242" t="s">
        <v>579</v>
      </c>
      <c r="AF1" s="247" t="s">
        <v>583</v>
      </c>
      <c r="AG1" s="247" t="s">
        <v>582</v>
      </c>
      <c r="AH1" s="6" t="s">
        <v>594</v>
      </c>
    </row>
    <row r="2" spans="1:34">
      <c r="W2">
        <v>100</v>
      </c>
    </row>
    <row r="3" spans="1:34" s="2" customFormat="1">
      <c r="A3" s="2" t="s">
        <v>22</v>
      </c>
      <c r="B3" s="5" t="s">
        <v>255</v>
      </c>
      <c r="C3" s="5" t="s">
        <v>255</v>
      </c>
      <c r="D3" s="5" t="s">
        <v>255</v>
      </c>
      <c r="E3" s="2" t="s">
        <v>22</v>
      </c>
      <c r="F3" s="2" t="s">
        <v>22</v>
      </c>
      <c r="G3" s="2" t="s">
        <v>22</v>
      </c>
      <c r="H3" s="2" t="s">
        <v>22</v>
      </c>
      <c r="I3" s="2" t="s">
        <v>22</v>
      </c>
      <c r="J3" s="5" t="s">
        <v>22</v>
      </c>
      <c r="K3" s="2" t="s">
        <v>22</v>
      </c>
      <c r="L3" s="2" t="s">
        <v>22</v>
      </c>
      <c r="M3" s="2" t="s">
        <v>22</v>
      </c>
      <c r="N3" s="98" t="s">
        <v>255</v>
      </c>
      <c r="O3" s="2" t="s">
        <v>22</v>
      </c>
      <c r="P3" s="5" t="s">
        <v>255</v>
      </c>
      <c r="Q3" s="5" t="s">
        <v>255</v>
      </c>
      <c r="R3" s="32" t="s">
        <v>264</v>
      </c>
      <c r="S3" s="102" t="s">
        <v>22</v>
      </c>
      <c r="T3" s="95" t="s">
        <v>22</v>
      </c>
      <c r="Y3" s="108"/>
      <c r="AE3" s="241"/>
      <c r="AF3" s="246"/>
      <c r="AG3" s="246"/>
    </row>
    <row r="4" spans="1:34" s="6" customFormat="1" ht="68" customHeight="1">
      <c r="A4" s="93" t="s">
        <v>315</v>
      </c>
      <c r="B4" s="34" t="s">
        <v>259</v>
      </c>
      <c r="C4" s="42" t="s">
        <v>0</v>
      </c>
      <c r="D4" s="34" t="s">
        <v>5</v>
      </c>
      <c r="E4" s="35" t="s">
        <v>4</v>
      </c>
      <c r="F4" s="35" t="s">
        <v>6</v>
      </c>
      <c r="G4" s="35" t="s">
        <v>254</v>
      </c>
      <c r="H4" s="36" t="s">
        <v>252</v>
      </c>
      <c r="I4" s="41" t="s">
        <v>10</v>
      </c>
      <c r="J4" s="149" t="s">
        <v>11</v>
      </c>
      <c r="K4" s="36" t="s">
        <v>12</v>
      </c>
      <c r="L4" s="36" t="s">
        <v>14</v>
      </c>
      <c r="M4" s="36" t="s">
        <v>15</v>
      </c>
      <c r="N4" s="99" t="s">
        <v>267</v>
      </c>
      <c r="O4" s="38" t="s">
        <v>16</v>
      </c>
      <c r="P4" s="34" t="s">
        <v>258</v>
      </c>
      <c r="Q4" s="34" t="s">
        <v>257</v>
      </c>
      <c r="R4" s="37" t="s">
        <v>265</v>
      </c>
      <c r="S4" s="103" t="s">
        <v>262</v>
      </c>
      <c r="T4" s="37" t="s">
        <v>266</v>
      </c>
      <c r="U4" s="91" t="s">
        <v>322</v>
      </c>
      <c r="V4" s="91" t="s">
        <v>347</v>
      </c>
      <c r="W4" s="268" t="s">
        <v>364</v>
      </c>
      <c r="X4" s="90" t="s">
        <v>316</v>
      </c>
      <c r="Y4" s="127" t="s">
        <v>328</v>
      </c>
      <c r="Z4" s="64" t="s">
        <v>329</v>
      </c>
      <c r="AA4" s="64" t="s">
        <v>337</v>
      </c>
      <c r="AB4" s="64" t="s">
        <v>581</v>
      </c>
      <c r="AC4" s="6" t="s">
        <v>352</v>
      </c>
      <c r="AD4" s="245" t="s">
        <v>580</v>
      </c>
      <c r="AE4" s="242" t="s">
        <v>579</v>
      </c>
      <c r="AF4" s="247" t="s">
        <v>583</v>
      </c>
      <c r="AG4" s="247" t="s">
        <v>582</v>
      </c>
      <c r="AH4" s="6" t="s">
        <v>594</v>
      </c>
    </row>
    <row r="5" spans="1:34" s="73" customFormat="1" ht="15">
      <c r="A5" s="74" t="str">
        <f>C5&amp;D5</f>
        <v>上海文鑫网络科技有限公司2701-90</v>
      </c>
      <c r="B5" s="77" t="s">
        <v>261</v>
      </c>
      <c r="C5" s="72" t="s">
        <v>293</v>
      </c>
      <c r="D5" s="72" t="s">
        <v>227</v>
      </c>
      <c r="E5" s="80" t="str">
        <f>VLOOKUP($D5,mapping!$F:$X,5,0)</f>
        <v>270190舒洁小熊印花手帕纸3层10包FSC mix70%</v>
      </c>
      <c r="F5" s="80">
        <f>VLOOKUP($D5,mapping!$F:$X,6,0)</f>
        <v>36</v>
      </c>
      <c r="G5" s="80">
        <f>VLOOKUP($D5,mapping!$F:$X,7,0)</f>
        <v>360</v>
      </c>
      <c r="H5" s="80">
        <f>VLOOKUP($D5,mapping!$F:$X,14,0)</f>
        <v>208.46834000000001</v>
      </c>
      <c r="I5" s="81">
        <f t="shared" ref="I5:I17" si="0">H5/F5</f>
        <v>5.7907872222222228</v>
      </c>
      <c r="J5" s="82">
        <f>H5*0.935</f>
        <v>194.91789790000001</v>
      </c>
      <c r="K5" s="82">
        <f>J5*1.13*0.966</f>
        <v>212.768478989682</v>
      </c>
      <c r="L5" s="83">
        <f>J5*N5*1.13</f>
        <v>7.9292600865719987</v>
      </c>
      <c r="M5" s="82">
        <f t="shared" ref="M5:M17" si="1">K5-L5</f>
        <v>204.83921890311001</v>
      </c>
      <c r="N5" s="84">
        <v>3.5999999999999997E-2</v>
      </c>
      <c r="O5" s="85">
        <f>M5/G5</f>
        <v>0.56899783028641671</v>
      </c>
      <c r="P5" s="77">
        <v>45748</v>
      </c>
      <c r="Q5" s="77">
        <v>45777</v>
      </c>
      <c r="R5" s="121">
        <v>57537.26</v>
      </c>
      <c r="S5" s="86">
        <f t="shared" ref="S5:S11" si="2">R5*N5*0.935</f>
        <v>1936.7041716000001</v>
      </c>
      <c r="T5" s="96">
        <f>S5/R5</f>
        <v>3.3660000000000002E-2</v>
      </c>
      <c r="U5" s="92"/>
      <c r="V5" s="92" t="s">
        <v>326</v>
      </c>
      <c r="W5" s="269">
        <v>0.21299999999999999</v>
      </c>
      <c r="X5" s="89">
        <f>N5+W5</f>
        <v>0.249</v>
      </c>
      <c r="Y5" s="109">
        <v>0.48742108042456478</v>
      </c>
      <c r="Z5" s="73" t="s">
        <v>344</v>
      </c>
      <c r="AA5" s="122"/>
      <c r="AB5" s="122" t="s">
        <v>585</v>
      </c>
      <c r="AC5" s="73" t="s">
        <v>353</v>
      </c>
      <c r="AD5" s="239">
        <f>Y5*G5/1.13*AE5</f>
        <v>42858.547390252003</v>
      </c>
      <c r="AE5" s="243">
        <v>276</v>
      </c>
      <c r="AF5" s="243">
        <v>43354.770000000004</v>
      </c>
      <c r="AG5" s="243">
        <f>AF5-AD5</f>
        <v>496.22260974800156</v>
      </c>
      <c r="AH5" s="146">
        <f t="shared" ref="AH5:AH8" si="3">AG5*1.13</f>
        <v>560.73154901524174</v>
      </c>
    </row>
    <row r="6" spans="1:34" s="73" customFormat="1" ht="15">
      <c r="A6" s="74" t="str">
        <f t="shared" ref="A6:A56" si="4">C6&amp;D6</f>
        <v>上海文鑫网络科技有限公司2103-90</v>
      </c>
      <c r="B6" s="77" t="s">
        <v>261</v>
      </c>
      <c r="C6" s="72" t="s">
        <v>293</v>
      </c>
      <c r="D6" s="72" t="s">
        <v>172</v>
      </c>
      <c r="E6" s="80" t="str">
        <f>VLOOKUP($D6,mapping!$F:$X,5,0)</f>
        <v>210390舒洁小熊印花抽纸3层80抽4包FSC mix70%</v>
      </c>
      <c r="F6" s="80">
        <f>VLOOKUP($D6,mapping!$F:$X,6,0)</f>
        <v>24</v>
      </c>
      <c r="G6" s="80">
        <f>VLOOKUP($D6,mapping!$F:$X,7,0)</f>
        <v>96</v>
      </c>
      <c r="H6" s="80">
        <f>VLOOKUP($D6,mapping!$F:$X,14,0)</f>
        <v>287.22000000000003</v>
      </c>
      <c r="I6" s="81">
        <f t="shared" si="0"/>
        <v>11.967500000000001</v>
      </c>
      <c r="J6" s="82">
        <f t="shared" ref="J6:J17" si="5">H6*0.935</f>
        <v>268.55070000000006</v>
      </c>
      <c r="K6" s="82">
        <f t="shared" ref="K6:K17" si="6">J6*1.13*0.966</f>
        <v>293.14457310600005</v>
      </c>
      <c r="L6" s="83">
        <f t="shared" ref="L6:L17" si="7">J6*N6*1.13</f>
        <v>15.476576841000002</v>
      </c>
      <c r="M6" s="82">
        <f t="shared" si="1"/>
        <v>277.66799626500006</v>
      </c>
      <c r="N6" s="84">
        <v>5.0999999999999997E-2</v>
      </c>
      <c r="O6" s="85">
        <f t="shared" ref="O6:O70" si="8">M6/G6</f>
        <v>2.8923749610937506</v>
      </c>
      <c r="P6" s="77">
        <v>45748</v>
      </c>
      <c r="Q6" s="77">
        <v>45777</v>
      </c>
      <c r="R6" s="121">
        <v>108283.09</v>
      </c>
      <c r="S6" s="86">
        <f t="shared" si="2"/>
        <v>5163.4791466500001</v>
      </c>
      <c r="T6" s="96">
        <f>S6/R6</f>
        <v>4.7685000000000005E-2</v>
      </c>
      <c r="U6" s="92"/>
      <c r="V6" s="92" t="s">
        <v>324</v>
      </c>
      <c r="W6" s="269">
        <v>0.2</v>
      </c>
      <c r="X6" s="89">
        <f>N6+W6</f>
        <v>0.251</v>
      </c>
      <c r="Y6" s="109">
        <v>2.2601618548437501</v>
      </c>
      <c r="Z6" s="73" t="s">
        <v>344</v>
      </c>
      <c r="AA6" s="122"/>
      <c r="AB6" s="122" t="s">
        <v>585</v>
      </c>
      <c r="AC6" s="73" t="s">
        <v>353</v>
      </c>
      <c r="AD6" s="239">
        <f>Y6*G6/1.13*AE6</f>
        <v>72389.18393850002</v>
      </c>
      <c r="AE6" s="243">
        <v>377</v>
      </c>
      <c r="AF6" s="243">
        <v>77676.38</v>
      </c>
      <c r="AG6" s="243">
        <f t="shared" ref="AG6:AG8" si="9">AF6-AD6</f>
        <v>5287.1960614999844</v>
      </c>
      <c r="AH6" s="146">
        <f t="shared" si="3"/>
        <v>5974.5315494949818</v>
      </c>
    </row>
    <row r="7" spans="1:34" s="73" customFormat="1" ht="15">
      <c r="A7" s="74" t="str">
        <f t="shared" si="4"/>
        <v>上海文鑫网络科技有限公司2107-61</v>
      </c>
      <c r="B7" s="77" t="s">
        <v>261</v>
      </c>
      <c r="C7" s="72" t="s">
        <v>293</v>
      </c>
      <c r="D7" s="72" t="s">
        <v>187</v>
      </c>
      <c r="E7" s="80" t="str">
        <f>VLOOKUP($D7,mapping!$F:$X,5,0)</f>
        <v>210761舒洁卡通系列抽纸200抽3包 FSC mix70%</v>
      </c>
      <c r="F7" s="80">
        <f>VLOOKUP($D7,mapping!$F:$X,6,0)</f>
        <v>20</v>
      </c>
      <c r="G7" s="80">
        <f>VLOOKUP($D7,mapping!$F:$X,7,0)</f>
        <v>60</v>
      </c>
      <c r="H7" s="80">
        <f>VLOOKUP($D7,mapping!$F:$X,14,0)</f>
        <v>338.18198999999998</v>
      </c>
      <c r="I7" s="81">
        <f t="shared" si="0"/>
        <v>16.9090995</v>
      </c>
      <c r="J7" s="82">
        <f t="shared" si="5"/>
        <v>316.20016064999999</v>
      </c>
      <c r="K7" s="82">
        <f t="shared" si="6"/>
        <v>345.15777136232697</v>
      </c>
      <c r="L7" s="83">
        <f>J7*N7*1.13</f>
        <v>23.939514162811498</v>
      </c>
      <c r="M7" s="82">
        <f>K7-L7</f>
        <v>321.21825719951545</v>
      </c>
      <c r="N7" s="84">
        <v>6.7000000000000004E-2</v>
      </c>
      <c r="O7" s="85">
        <f>M7/G7</f>
        <v>5.3536376199919244</v>
      </c>
      <c r="P7" s="77">
        <v>45748</v>
      </c>
      <c r="Q7" s="77">
        <v>45777</v>
      </c>
      <c r="R7" s="121">
        <v>211701.93</v>
      </c>
      <c r="S7" s="86">
        <f>R7*N7*0.935</f>
        <v>13262.06740485</v>
      </c>
      <c r="T7" s="96">
        <f t="shared" ref="T7:T17" si="10">S7/R7</f>
        <v>6.2645000000000006E-2</v>
      </c>
      <c r="U7" s="92"/>
      <c r="V7" s="92" t="s">
        <v>324</v>
      </c>
      <c r="W7" s="269">
        <v>0.21299999999999999</v>
      </c>
      <c r="X7" s="89">
        <f>N7+W7</f>
        <v>0.28000000000000003</v>
      </c>
      <c r="Y7" s="109">
        <v>4.0852006755444501</v>
      </c>
      <c r="Z7" s="73" t="s">
        <v>344</v>
      </c>
      <c r="AA7" s="122"/>
      <c r="AB7" s="122" t="s">
        <v>585</v>
      </c>
      <c r="AC7" s="73" t="s">
        <v>353</v>
      </c>
      <c r="AD7" s="239">
        <f>Y7*G7/1.13*AE7</f>
        <v>135787.73218889342</v>
      </c>
      <c r="AE7" s="243">
        <v>626</v>
      </c>
      <c r="AF7" s="243">
        <v>149147.18</v>
      </c>
      <c r="AG7" s="243">
        <f>AF7-AD7</f>
        <v>13359.447811106569</v>
      </c>
      <c r="AH7" s="146">
        <f t="shared" si="3"/>
        <v>15096.176026550422</v>
      </c>
    </row>
    <row r="8" spans="1:34" s="73" customFormat="1" ht="15">
      <c r="A8" s="74" t="str">
        <f t="shared" si="4"/>
        <v>上海文鑫网络科技有限公司2291-60</v>
      </c>
      <c r="B8" s="77" t="s">
        <v>261</v>
      </c>
      <c r="C8" s="72" t="s">
        <v>293</v>
      </c>
      <c r="D8" s="72" t="s">
        <v>219</v>
      </c>
      <c r="E8" s="80" t="str">
        <f>VLOOKUP($D8,mapping!$F:$X,5,0)</f>
        <v>229160舒洁绿茶洋甘菊印花清香卷纸10粒</v>
      </c>
      <c r="F8" s="80">
        <f>VLOOKUP($D8,mapping!$F:$X,6,0)</f>
        <v>5</v>
      </c>
      <c r="G8" s="80">
        <f>VLOOKUP($D8,mapping!$F:$X,7,0)</f>
        <v>50</v>
      </c>
      <c r="H8" s="80">
        <f>VLOOKUP($D8,mapping!$F:$X,14,0)</f>
        <v>153.64888999999999</v>
      </c>
      <c r="I8" s="81">
        <f t="shared" si="0"/>
        <v>30.729778</v>
      </c>
      <c r="J8" s="82">
        <f t="shared" si="5"/>
        <v>143.66171215</v>
      </c>
      <c r="K8" s="82">
        <f t="shared" si="6"/>
        <v>156.81825174869698</v>
      </c>
      <c r="L8" s="83">
        <f t="shared" si="7"/>
        <v>16.720786677138499</v>
      </c>
      <c r="M8" s="82">
        <f t="shared" si="1"/>
        <v>140.09746507155847</v>
      </c>
      <c r="N8" s="84">
        <v>0.10299999999999999</v>
      </c>
      <c r="O8" s="85">
        <f t="shared" si="8"/>
        <v>2.8019493014311694</v>
      </c>
      <c r="P8" s="77">
        <v>45748</v>
      </c>
      <c r="Q8" s="77">
        <v>45777</v>
      </c>
      <c r="R8" s="121">
        <v>18437.87</v>
      </c>
      <c r="S8" s="86">
        <f t="shared" si="2"/>
        <v>1775.6590703499999</v>
      </c>
      <c r="T8" s="96">
        <f>S8/R8</f>
        <v>9.6305000000000002E-2</v>
      </c>
      <c r="U8" s="92"/>
      <c r="V8" s="92" t="s">
        <v>324</v>
      </c>
      <c r="W8" s="269">
        <v>0.192</v>
      </c>
      <c r="X8" s="89">
        <f>N8+W8</f>
        <v>0.29499999999999998</v>
      </c>
      <c r="Y8" s="109">
        <v>2.1785724000698901</v>
      </c>
      <c r="Z8" s="73" t="s">
        <v>344</v>
      </c>
      <c r="AA8" s="122"/>
      <c r="AB8" s="122" t="s">
        <v>585</v>
      </c>
      <c r="AC8" s="73" t="s">
        <v>353</v>
      </c>
      <c r="AD8" s="239">
        <f>Y8*G8/1.13*AE8</f>
        <v>11567.641062318</v>
      </c>
      <c r="AE8" s="243">
        <v>120</v>
      </c>
      <c r="AF8" s="243">
        <v>13351.39</v>
      </c>
      <c r="AG8" s="243">
        <f t="shared" si="9"/>
        <v>1783.7489376819995</v>
      </c>
      <c r="AH8" s="146">
        <f t="shared" si="3"/>
        <v>2015.6362995806592</v>
      </c>
    </row>
    <row r="9" spans="1:34" s="73" customFormat="1" ht="15" hidden="1">
      <c r="A9" s="74" t="str">
        <f t="shared" si="4"/>
        <v>上海薪满翊商贸有限公司2107-61</v>
      </c>
      <c r="B9" s="77" t="s">
        <v>261</v>
      </c>
      <c r="C9" s="72" t="s">
        <v>334</v>
      </c>
      <c r="D9" s="72" t="s">
        <v>300</v>
      </c>
      <c r="E9" s="80" t="str">
        <f>VLOOKUP($D9,mapping!$F:$X,5,0)</f>
        <v>210761舒洁卡通系列抽纸200抽3包 FSC mix70%</v>
      </c>
      <c r="F9" s="80">
        <f>VLOOKUP($D9,mapping!$F:$X,6,0)</f>
        <v>20</v>
      </c>
      <c r="G9" s="80">
        <f>VLOOKUP($D9,mapping!$F:$X,7,0)</f>
        <v>60</v>
      </c>
      <c r="H9" s="80">
        <f>VLOOKUP($D9,mapping!$F:$X,14,0)</f>
        <v>338.18198999999998</v>
      </c>
      <c r="I9" s="81">
        <f>H9/F9</f>
        <v>16.9090995</v>
      </c>
      <c r="J9" s="82">
        <f>H9*0.935</f>
        <v>316.20016064999999</v>
      </c>
      <c r="K9" s="82">
        <f t="shared" si="6"/>
        <v>345.15777136232697</v>
      </c>
      <c r="L9" s="83">
        <f>J9*N9*1.13</f>
        <v>55.739764319381997</v>
      </c>
      <c r="M9" s="82">
        <f>K9-L9</f>
        <v>289.41800704294496</v>
      </c>
      <c r="N9" s="84">
        <v>0.156</v>
      </c>
      <c r="O9" s="85">
        <f>M9/G9</f>
        <v>4.8236334507157492</v>
      </c>
      <c r="P9" s="77">
        <v>45748</v>
      </c>
      <c r="Q9" s="77">
        <v>45777</v>
      </c>
      <c r="R9" s="121">
        <v>10483.64</v>
      </c>
      <c r="S9" s="86">
        <f t="shared" si="2"/>
        <v>1529.1437303999999</v>
      </c>
      <c r="T9" s="96">
        <f>S9/R9</f>
        <v>0.14585999999999999</v>
      </c>
      <c r="U9" s="92"/>
      <c r="V9" s="92" t="s">
        <v>324</v>
      </c>
      <c r="W9" s="87"/>
      <c r="Y9" s="110">
        <f>O9</f>
        <v>4.8236334507157492</v>
      </c>
      <c r="Z9" s="73" t="s">
        <v>344</v>
      </c>
      <c r="AC9" s="73" t="s">
        <v>353</v>
      </c>
      <c r="AD9" s="239">
        <f>O9*G9/1.13*AE9</f>
        <v>7939.7860339215003</v>
      </c>
      <c r="AE9" s="73">
        <v>31</v>
      </c>
      <c r="AF9" s="73">
        <v>9469.57</v>
      </c>
      <c r="AG9" s="262">
        <f>AF9-AD9</f>
        <v>1529.7839660784994</v>
      </c>
      <c r="AH9" s="262">
        <f>AG9*1.13</f>
        <v>1728.6558816687041</v>
      </c>
    </row>
    <row r="10" spans="1:34" s="73" customFormat="1" ht="15" hidden="1">
      <c r="A10" s="74" t="str">
        <f t="shared" si="4"/>
        <v>上海薪满翊商贸有限公司2701-90</v>
      </c>
      <c r="B10" s="77" t="s">
        <v>261</v>
      </c>
      <c r="C10" s="72" t="s">
        <v>299</v>
      </c>
      <c r="D10" s="72" t="s">
        <v>227</v>
      </c>
      <c r="E10" s="80" t="str">
        <f>VLOOKUP($D10,mapping!$F:$X,5,0)</f>
        <v>270190舒洁小熊印花手帕纸3层10包FSC mix70%</v>
      </c>
      <c r="F10" s="80">
        <f>VLOOKUP($D10,mapping!$F:$X,6,0)</f>
        <v>36</v>
      </c>
      <c r="G10" s="80">
        <f>VLOOKUP($D10,mapping!$F:$X,7,0)</f>
        <v>360</v>
      </c>
      <c r="H10" s="80">
        <f>VLOOKUP($D10,mapping!$F:$X,14,0)</f>
        <v>208.46834000000001</v>
      </c>
      <c r="I10" s="81">
        <f>H10/F10</f>
        <v>5.7907872222222228</v>
      </c>
      <c r="J10" s="82">
        <f>H10*0.935</f>
        <v>194.91789790000001</v>
      </c>
      <c r="K10" s="82">
        <f t="shared" si="6"/>
        <v>212.768478989682</v>
      </c>
      <c r="L10" s="83">
        <f>J10*N10*1.13</f>
        <v>39.646300432859995</v>
      </c>
      <c r="M10" s="82">
        <f>K10-L10</f>
        <v>173.12217855682201</v>
      </c>
      <c r="N10" s="84">
        <v>0.18</v>
      </c>
      <c r="O10" s="85">
        <f>M10/G10</f>
        <v>0.4808949404356167</v>
      </c>
      <c r="P10" s="77">
        <v>45748</v>
      </c>
      <c r="Q10" s="77">
        <v>45777</v>
      </c>
      <c r="R10" s="121">
        <v>416.94</v>
      </c>
      <c r="S10" s="86">
        <f t="shared" si="2"/>
        <v>70.171002000000001</v>
      </c>
      <c r="T10" s="96">
        <f>S10/R10</f>
        <v>0.16830000000000001</v>
      </c>
      <c r="U10" s="92"/>
      <c r="V10" s="92" t="s">
        <v>324</v>
      </c>
      <c r="W10" s="87"/>
      <c r="Y10" s="110">
        <f>O10</f>
        <v>0.4808949404356167</v>
      </c>
      <c r="Z10" s="73" t="s">
        <v>344</v>
      </c>
      <c r="AC10" s="73" t="s">
        <v>353</v>
      </c>
      <c r="AD10" s="239">
        <f>O10*G10/1.13*AE10</f>
        <v>306.41093549880003</v>
      </c>
      <c r="AE10" s="73">
        <v>2</v>
      </c>
      <c r="AF10" s="73">
        <v>402.79</v>
      </c>
      <c r="AG10" s="262">
        <f>AF10-AD10</f>
        <v>96.379064501199991</v>
      </c>
      <c r="AH10" s="262">
        <f>AG10*1.13</f>
        <v>108.90834288635598</v>
      </c>
    </row>
    <row r="11" spans="1:34" s="73" customFormat="1" ht="15">
      <c r="A11" s="74" t="str">
        <f t="shared" si="4"/>
        <v>上海文鑫网络科技有限公司2216-35</v>
      </c>
      <c r="B11" s="77" t="s">
        <v>261</v>
      </c>
      <c r="C11" s="72" t="s">
        <v>301</v>
      </c>
      <c r="D11" s="72" t="s">
        <v>211</v>
      </c>
      <c r="E11" s="80" t="str">
        <f>VLOOKUP($D11,mapping!$F:$X,5,0)</f>
        <v>221635舒洁卷纸3层纯白10粒（蓝色）</v>
      </c>
      <c r="F11" s="80">
        <f>VLOOKUP($D11,mapping!$F:$X,6,0)</f>
        <v>10</v>
      </c>
      <c r="G11" s="80">
        <f>VLOOKUP($D11,mapping!$F:$X,7,0)</f>
        <v>100</v>
      </c>
      <c r="H11" s="80">
        <f>VLOOKUP($D11,mapping!$F:$X,14,0)</f>
        <v>240.89676</v>
      </c>
      <c r="I11" s="81">
        <f t="shared" si="0"/>
        <v>24.089676000000001</v>
      </c>
      <c r="J11" s="82">
        <f t="shared" si="5"/>
        <v>225.2384706</v>
      </c>
      <c r="K11" s="82">
        <f t="shared" si="6"/>
        <v>245.86580973754795</v>
      </c>
      <c r="L11" s="83">
        <f t="shared" si="7"/>
        <v>24.179349818909998</v>
      </c>
      <c r="M11" s="82">
        <f t="shared" si="1"/>
        <v>221.68645991863795</v>
      </c>
      <c r="N11" s="84">
        <v>9.5000000000000001E-2</v>
      </c>
      <c r="O11" s="85">
        <f t="shared" si="8"/>
        <v>2.2168645991863793</v>
      </c>
      <c r="P11" s="77">
        <v>45748</v>
      </c>
      <c r="Q11" s="77">
        <v>45777</v>
      </c>
      <c r="R11" s="121">
        <v>104549.21</v>
      </c>
      <c r="S11" s="86">
        <f t="shared" si="2"/>
        <v>9286.5835782500017</v>
      </c>
      <c r="T11" s="96">
        <f t="shared" si="10"/>
        <v>8.8825000000000015E-2</v>
      </c>
      <c r="U11" s="92"/>
      <c r="V11" s="92" t="s">
        <v>324</v>
      </c>
      <c r="W11" s="269">
        <v>0.192</v>
      </c>
      <c r="X11" s="89">
        <f>N11+W11</f>
        <v>0.28700000000000003</v>
      </c>
      <c r="Y11" s="110">
        <v>1.7281872133726193</v>
      </c>
      <c r="Z11" s="73" t="s">
        <v>344</v>
      </c>
      <c r="AA11" s="122"/>
      <c r="AB11" s="122" t="s">
        <v>585</v>
      </c>
      <c r="AC11" s="73" t="s">
        <v>353</v>
      </c>
      <c r="AD11" s="239">
        <f>Y11*G11/1.13*AE11</f>
        <v>66374.623947231579</v>
      </c>
      <c r="AE11" s="243">
        <v>434</v>
      </c>
      <c r="AF11" s="243">
        <v>75703.22</v>
      </c>
      <c r="AG11" s="243">
        <f>AF11-AD11</f>
        <v>9328.5960527684219</v>
      </c>
      <c r="AH11" s="146">
        <f>AG11*1.13</f>
        <v>10541.313539628316</v>
      </c>
    </row>
    <row r="12" spans="1:34" s="73" customFormat="1" ht="15" hidden="1">
      <c r="A12" s="74" t="str">
        <f t="shared" si="4"/>
        <v>上海薪满翊商贸有限公司2103-90</v>
      </c>
      <c r="B12" s="77" t="s">
        <v>261</v>
      </c>
      <c r="C12" s="72" t="s">
        <v>299</v>
      </c>
      <c r="D12" s="72" t="s">
        <v>172</v>
      </c>
      <c r="E12" s="80" t="str">
        <f>VLOOKUP($D12,mapping!$F:$X,5,0)</f>
        <v>210390舒洁小熊印花抽纸3层80抽4包FSC mix70%</v>
      </c>
      <c r="F12" s="80">
        <f>VLOOKUP($D12,mapping!$F:$X,6,0)</f>
        <v>24</v>
      </c>
      <c r="G12" s="80">
        <f>VLOOKUP($D12,mapping!$F:$X,7,0)</f>
        <v>96</v>
      </c>
      <c r="H12" s="80">
        <f>VLOOKUP($D12,mapping!$F:$X,14,0)</f>
        <v>287.22000000000003</v>
      </c>
      <c r="I12" s="81">
        <f t="shared" si="0"/>
        <v>11.967500000000001</v>
      </c>
      <c r="J12" s="82">
        <f t="shared" si="5"/>
        <v>268.55070000000006</v>
      </c>
      <c r="K12" s="82">
        <f t="shared" si="6"/>
        <v>293.14457310600005</v>
      </c>
      <c r="L12" s="83">
        <f t="shared" si="7"/>
        <v>45.51934365000001</v>
      </c>
      <c r="M12" s="82">
        <f t="shared" si="1"/>
        <v>247.62522945600006</v>
      </c>
      <c r="N12" s="84">
        <v>0.15</v>
      </c>
      <c r="O12" s="85">
        <f>M12/G12</f>
        <v>2.5794294735000007</v>
      </c>
      <c r="P12" s="77">
        <v>45748</v>
      </c>
      <c r="Q12" s="77">
        <v>45777</v>
      </c>
      <c r="R12" s="121">
        <v>7467.8</v>
      </c>
      <c r="S12" s="86">
        <f t="shared" ref="S12:S17" si="11">R12*N12*0.935</f>
        <v>1047.35895</v>
      </c>
      <c r="T12" s="96">
        <f t="shared" si="10"/>
        <v>0.14025000000000001</v>
      </c>
      <c r="U12" s="92"/>
      <c r="V12" s="92" t="s">
        <v>324</v>
      </c>
      <c r="W12" s="87"/>
      <c r="Y12" s="110">
        <f>O12</f>
        <v>2.5794294735000007</v>
      </c>
      <c r="Z12" s="73" t="s">
        <v>344</v>
      </c>
      <c r="AC12" s="73" t="s">
        <v>353</v>
      </c>
      <c r="AD12" s="239">
        <f>O12*G12/1.13*AE12</f>
        <v>5697.5716512000017</v>
      </c>
      <c r="AE12" s="73">
        <v>26</v>
      </c>
      <c r="AF12" s="73">
        <v>6751.96</v>
      </c>
      <c r="AG12" s="262">
        <f>AF12-AD12</f>
        <v>1054.3883487999983</v>
      </c>
      <c r="AH12" s="262">
        <f>AG12*1.13</f>
        <v>1191.458834143998</v>
      </c>
    </row>
    <row r="13" spans="1:34" s="120" customFormat="1" ht="15">
      <c r="A13" s="111" t="str">
        <f t="shared" si="4"/>
        <v>上海文鑫网络科技有限公司2613-00</v>
      </c>
      <c r="B13" s="77" t="s">
        <v>261</v>
      </c>
      <c r="C13" s="72" t="s">
        <v>301</v>
      </c>
      <c r="D13" s="72" t="s">
        <v>244</v>
      </c>
      <c r="E13" s="72" t="str">
        <f>VLOOKUP($D13,mapping!$F:$X,5,0)</f>
        <v>261300舒洁无香湿巾单包装</v>
      </c>
      <c r="F13" s="72">
        <f>VLOOKUP($D13,mapping!$F:$X,6,0)</f>
        <v>30</v>
      </c>
      <c r="G13" s="72">
        <f>VLOOKUP($D13,mapping!$F:$X,7,0)</f>
        <v>30</v>
      </c>
      <c r="H13" s="72">
        <f>VLOOKUP($D13,mapping!$F:$X,14,0)</f>
        <v>91.362830000000002</v>
      </c>
      <c r="I13" s="112">
        <f t="shared" si="0"/>
        <v>3.0454276666666669</v>
      </c>
      <c r="J13" s="113">
        <f t="shared" si="5"/>
        <v>85.424246050000008</v>
      </c>
      <c r="K13" s="113">
        <f t="shared" si="6"/>
        <v>93.247398503258992</v>
      </c>
      <c r="L13" s="113">
        <f t="shared" si="7"/>
        <v>2.0985491133135081</v>
      </c>
      <c r="M13" s="113">
        <f t="shared" si="1"/>
        <v>91.148849389945482</v>
      </c>
      <c r="N13" s="106">
        <v>2.1739999999999982E-2</v>
      </c>
      <c r="O13" s="114">
        <f>M13/G13</f>
        <v>3.0382949796648493</v>
      </c>
      <c r="P13" s="77">
        <v>45748</v>
      </c>
      <c r="Q13" s="77">
        <v>45777</v>
      </c>
      <c r="R13" s="121">
        <v>121878</v>
      </c>
      <c r="S13" s="115">
        <f>R13*N13*0.935</f>
        <v>2477.4019181999979</v>
      </c>
      <c r="T13" s="116">
        <f>S13/R13</f>
        <v>2.0326899999999985E-2</v>
      </c>
      <c r="U13" s="117"/>
      <c r="V13" s="117" t="s">
        <v>324</v>
      </c>
      <c r="W13" s="270">
        <v>0.44700000000000001</v>
      </c>
      <c r="X13" s="119">
        <f>N13+W13</f>
        <v>0.46873999999999999</v>
      </c>
      <c r="Y13" s="105">
        <v>1.6000069489209996</v>
      </c>
      <c r="Z13" s="73" t="s">
        <v>344</v>
      </c>
      <c r="AA13" s="122"/>
      <c r="AB13" s="122" t="s">
        <v>585</v>
      </c>
      <c r="AC13" s="73" t="s">
        <v>353</v>
      </c>
      <c r="AD13" s="239">
        <f>Y13*G13/1.13*AE13</f>
        <v>56665.732828157888</v>
      </c>
      <c r="AE13" s="243">
        <v>1334</v>
      </c>
      <c r="AF13" s="248">
        <v>59258.46</v>
      </c>
      <c r="AG13" s="243">
        <f>AF13-AD13</f>
        <v>2592.7271718421107</v>
      </c>
      <c r="AH13" s="146">
        <f>AG13*1.13</f>
        <v>2929.7817041815847</v>
      </c>
    </row>
    <row r="14" spans="1:34" s="75" customFormat="1" ht="15" hidden="1">
      <c r="A14" s="74" t="str">
        <f t="shared" si="4"/>
        <v>天宁区雕庄达途百货经营部2662-00</v>
      </c>
      <c r="B14" s="77" t="s">
        <v>261</v>
      </c>
      <c r="C14" s="72" t="s">
        <v>356</v>
      </c>
      <c r="D14" s="72" t="s">
        <v>294</v>
      </c>
      <c r="E14" s="80" t="str">
        <f>VLOOKUP($D14,mapping!$F:$X,5,0)</f>
        <v xml:space="preserve">266200舒洁湿厕纸80片x6包 </v>
      </c>
      <c r="F14" s="80">
        <f>VLOOKUP($D14,mapping!$F:$X,6,0)</f>
        <v>1</v>
      </c>
      <c r="G14" s="80">
        <f>VLOOKUP($D14,mapping!$F:$X,7,0)</f>
        <v>6</v>
      </c>
      <c r="H14" s="80">
        <f>VLOOKUP($D14,mapping!$F:$X,14,0)</f>
        <v>69.44</v>
      </c>
      <c r="I14" s="81">
        <f t="shared" si="0"/>
        <v>69.44</v>
      </c>
      <c r="J14" s="113">
        <f t="shared" si="5"/>
        <v>64.926400000000001</v>
      </c>
      <c r="K14" s="82">
        <f t="shared" si="6"/>
        <v>70.872359711999991</v>
      </c>
      <c r="L14" s="83">
        <f t="shared" si="7"/>
        <v>25.898491695999994</v>
      </c>
      <c r="M14" s="82">
        <f t="shared" si="1"/>
        <v>44.973868015999997</v>
      </c>
      <c r="N14" s="84">
        <v>0.35299999999999998</v>
      </c>
      <c r="O14" s="85">
        <f t="shared" si="8"/>
        <v>7.4956446693333332</v>
      </c>
      <c r="P14" s="77">
        <v>45748</v>
      </c>
      <c r="Q14" s="77">
        <v>45777</v>
      </c>
      <c r="R14" s="86">
        <v>138880</v>
      </c>
      <c r="S14" s="86">
        <f t="shared" si="11"/>
        <v>45838.038400000005</v>
      </c>
      <c r="T14" s="96">
        <f t="shared" si="10"/>
        <v>0.33005500000000004</v>
      </c>
      <c r="U14" s="92" t="s">
        <v>317</v>
      </c>
      <c r="V14" s="92" t="s">
        <v>324</v>
      </c>
      <c r="W14" s="88"/>
      <c r="X14" s="89"/>
      <c r="Y14" s="110">
        <f>O14</f>
        <v>7.4956446693333332</v>
      </c>
      <c r="Z14" s="75" t="s">
        <v>602</v>
      </c>
      <c r="AC14" s="73" t="s">
        <v>353</v>
      </c>
    </row>
    <row r="15" spans="1:34" s="73" customFormat="1" ht="15" hidden="1">
      <c r="A15" s="74" t="str">
        <f t="shared" si="4"/>
        <v>贵阳鑫旺隆贸易有限公司2694-30</v>
      </c>
      <c r="B15" s="77" t="s">
        <v>261</v>
      </c>
      <c r="C15" s="72" t="s">
        <v>332</v>
      </c>
      <c r="D15" s="72" t="s">
        <v>297</v>
      </c>
      <c r="E15" s="80" t="str">
        <f>VLOOKUP($D15,mapping!$F:$X,5,0)</f>
        <v>269430舒洁湿厕纸家庭装40抽</v>
      </c>
      <c r="F15" s="80">
        <f>VLOOKUP($D15,mapping!$F:$X,6,0)</f>
        <v>40</v>
      </c>
      <c r="G15" s="80">
        <f>VLOOKUP($D15,mapping!$F:$X,7,0)</f>
        <v>40</v>
      </c>
      <c r="H15" s="80">
        <f>VLOOKUP($D15,mapping!$F:$X,14,0)</f>
        <v>367.52197000000001</v>
      </c>
      <c r="I15" s="81">
        <f t="shared" si="0"/>
        <v>9.1880492500000006</v>
      </c>
      <c r="J15" s="82">
        <f t="shared" si="5"/>
        <v>343.63304195000001</v>
      </c>
      <c r="K15" s="82">
        <f t="shared" si="6"/>
        <v>375.10295593178091</v>
      </c>
      <c r="L15" s="83">
        <f t="shared" si="7"/>
        <v>20.191877544981995</v>
      </c>
      <c r="M15" s="82">
        <f t="shared" si="1"/>
        <v>354.91107838679892</v>
      </c>
      <c r="N15" s="84">
        <v>5.1999999999999998E-2</v>
      </c>
      <c r="O15" s="85">
        <f>M15/G15</f>
        <v>8.8727769596699737</v>
      </c>
      <c r="P15" s="77">
        <v>45748</v>
      </c>
      <c r="Q15" s="77">
        <v>45777</v>
      </c>
      <c r="R15" s="121">
        <v>13598.31</v>
      </c>
      <c r="S15" s="86">
        <f>R15*N15*0.935</f>
        <v>661.14983219999999</v>
      </c>
      <c r="T15" s="96">
        <f>S15/R15</f>
        <v>4.8620000000000003E-2</v>
      </c>
      <c r="U15" s="92"/>
      <c r="V15" s="92" t="s">
        <v>324</v>
      </c>
      <c r="W15" s="87">
        <v>0.45179999999999998</v>
      </c>
      <c r="X15" s="89">
        <f>N15+W15</f>
        <v>0.50380000000000003</v>
      </c>
      <c r="Y15" s="110">
        <v>4.4868681736974398</v>
      </c>
      <c r="Z15" s="73" t="s">
        <v>344</v>
      </c>
      <c r="AC15" s="73" t="s">
        <v>353</v>
      </c>
      <c r="AD15" s="239">
        <f>Y15*G15/1.13*AE15</f>
        <v>5876.6061036037263</v>
      </c>
      <c r="AE15" s="73">
        <v>37</v>
      </c>
      <c r="AF15" s="73">
        <v>6550.18</v>
      </c>
      <c r="AG15" s="262">
        <f>AF15-AD15</f>
        <v>673.57389639627399</v>
      </c>
    </row>
    <row r="16" spans="1:34" s="120" customFormat="1" ht="15" hidden="1">
      <c r="A16" s="111" t="str">
        <f t="shared" si="4"/>
        <v>贵阳鑫旺隆贸易有限公司2107-61</v>
      </c>
      <c r="B16" s="77" t="s">
        <v>261</v>
      </c>
      <c r="C16" s="72" t="s">
        <v>296</v>
      </c>
      <c r="D16" s="72" t="s">
        <v>298</v>
      </c>
      <c r="E16" s="72" t="str">
        <f>VLOOKUP($D16,mapping!$F:$X,5,0)</f>
        <v>210761舒洁卡通系列抽纸200抽3包 FSC mix70%</v>
      </c>
      <c r="F16" s="72">
        <f>VLOOKUP($D16,mapping!$F:$X,6,0)</f>
        <v>20</v>
      </c>
      <c r="G16" s="72">
        <f>VLOOKUP($D16,mapping!$F:$X,7,0)</f>
        <v>60</v>
      </c>
      <c r="H16" s="72">
        <f>VLOOKUP($D16,mapping!$F:$X,14,0)</f>
        <v>338.18198999999998</v>
      </c>
      <c r="I16" s="112">
        <f t="shared" si="0"/>
        <v>16.9090995</v>
      </c>
      <c r="J16" s="113">
        <f t="shared" si="5"/>
        <v>316.20016064999999</v>
      </c>
      <c r="K16" s="113">
        <f t="shared" si="6"/>
        <v>345.15777136232697</v>
      </c>
      <c r="L16" s="113">
        <f t="shared" si="7"/>
        <v>39.660986150329492</v>
      </c>
      <c r="M16" s="113">
        <f t="shared" si="1"/>
        <v>305.49678521199746</v>
      </c>
      <c r="N16" s="106">
        <v>0.111</v>
      </c>
      <c r="O16" s="114">
        <f>M16/G16</f>
        <v>5.0916130868666247</v>
      </c>
      <c r="P16" s="77">
        <v>45748</v>
      </c>
      <c r="Q16" s="77">
        <v>45777</v>
      </c>
      <c r="R16" s="121">
        <v>25363.65</v>
      </c>
      <c r="S16" s="115">
        <f t="shared" si="11"/>
        <v>2632.36641525</v>
      </c>
      <c r="T16" s="116">
        <f t="shared" si="10"/>
        <v>0.103785</v>
      </c>
      <c r="U16" s="117"/>
      <c r="V16" s="117" t="s">
        <v>324</v>
      </c>
      <c r="W16" s="118"/>
      <c r="X16" s="119"/>
      <c r="Y16" s="105">
        <f>O16</f>
        <v>5.0916130868666247</v>
      </c>
      <c r="Z16" s="73" t="s">
        <v>344</v>
      </c>
      <c r="AC16" s="73" t="s">
        <v>353</v>
      </c>
      <c r="AD16" s="239">
        <f>Y16*G16/1.13*AE16</f>
        <v>20276.335301681247</v>
      </c>
      <c r="AE16" s="120">
        <v>75</v>
      </c>
      <c r="AF16" s="120">
        <v>22910.23</v>
      </c>
      <c r="AG16" s="120">
        <f>AF16-AD16</f>
        <v>2633.8946983187525</v>
      </c>
    </row>
    <row r="17" spans="1:35" s="75" customFormat="1" ht="15" hidden="1">
      <c r="A17" s="74" t="str">
        <f t="shared" si="4"/>
        <v>北京泰和嘉华商贸有限公司2670-30</v>
      </c>
      <c r="B17" s="77" t="s">
        <v>261</v>
      </c>
      <c r="C17" s="72" t="s">
        <v>330</v>
      </c>
      <c r="D17" s="72" t="s">
        <v>302</v>
      </c>
      <c r="E17" s="80" t="str">
        <f>VLOOKUP($D17,mapping!$F:$X,5,0)</f>
        <v>267030舒洁湿厕纸旅行装10包装</v>
      </c>
      <c r="F17" s="80">
        <f>VLOOKUP($D17,mapping!$F:$X,6,0)</f>
        <v>4</v>
      </c>
      <c r="G17" s="80">
        <f>VLOOKUP($D17,mapping!$F:$X,7,0)</f>
        <v>40</v>
      </c>
      <c r="H17" s="80">
        <f>VLOOKUP($D17,mapping!$F:$X,14,0)</f>
        <v>151.33257</v>
      </c>
      <c r="I17" s="81">
        <f t="shared" si="0"/>
        <v>37.833142500000001</v>
      </c>
      <c r="J17" s="82">
        <f t="shared" si="5"/>
        <v>141.49595295</v>
      </c>
      <c r="K17" s="82">
        <f t="shared" si="6"/>
        <v>154.45415232116099</v>
      </c>
      <c r="L17" s="83">
        <f t="shared" si="7"/>
        <v>55.96164939172499</v>
      </c>
      <c r="M17" s="82">
        <f t="shared" si="1"/>
        <v>98.492502929436</v>
      </c>
      <c r="N17" s="84">
        <v>0.35</v>
      </c>
      <c r="O17" s="85">
        <f t="shared" si="8"/>
        <v>2.4623125732358999</v>
      </c>
      <c r="P17" s="77">
        <v>45717</v>
      </c>
      <c r="Q17" s="77">
        <v>45771</v>
      </c>
      <c r="R17" s="86">
        <v>3026.6600000000003</v>
      </c>
      <c r="S17" s="86">
        <f t="shared" si="11"/>
        <v>990.47448500000019</v>
      </c>
      <c r="T17" s="96">
        <f t="shared" si="10"/>
        <v>0.32725000000000004</v>
      </c>
      <c r="U17" s="92"/>
      <c r="V17" s="92" t="s">
        <v>327</v>
      </c>
      <c r="W17" s="88"/>
      <c r="X17" s="89"/>
      <c r="Y17" s="110">
        <f t="shared" ref="Y17:Y43" si="12">O17</f>
        <v>2.4623125732358999</v>
      </c>
      <c r="Z17" s="73" t="s">
        <v>344</v>
      </c>
      <c r="AC17" s="73" t="s">
        <v>353</v>
      </c>
      <c r="AD17" s="239">
        <f t="shared" ref="AD17" si="13">O17*G17/1.13*62</f>
        <v>5404.0134350664002</v>
      </c>
    </row>
    <row r="18" spans="1:35" s="76" customFormat="1" ht="15" hidden="1">
      <c r="A18" s="74" t="str">
        <f t="shared" si="4"/>
        <v>大连达博商贸有限公司2694-30</v>
      </c>
      <c r="B18" s="77" t="s">
        <v>261</v>
      </c>
      <c r="C18" s="72" t="s">
        <v>331</v>
      </c>
      <c r="D18" s="72" t="s">
        <v>20</v>
      </c>
      <c r="E18" s="80" t="str">
        <f>VLOOKUP($D18,mapping!$F:$X,5,0)</f>
        <v>269430舒洁湿厕纸家庭装40抽</v>
      </c>
      <c r="F18" s="80">
        <f>VLOOKUP($D18,mapping!$F:$X,6,0)</f>
        <v>40</v>
      </c>
      <c r="G18" s="80">
        <f>VLOOKUP($D18,mapping!$F:$X,7,0)</f>
        <v>40</v>
      </c>
      <c r="H18" s="80">
        <f>VLOOKUP($D18,mapping!$F:$X,14,0)</f>
        <v>367.52197000000001</v>
      </c>
      <c r="I18" s="81">
        <f t="shared" ref="I18:I37" si="14">H18/F18</f>
        <v>9.1880492500000006</v>
      </c>
      <c r="J18" s="82">
        <f t="shared" ref="J18:J37" si="15">H18*0.935</f>
        <v>343.63304195000001</v>
      </c>
      <c r="K18" s="82">
        <f t="shared" ref="K18:K37" si="16">J18*1.13*0.966</f>
        <v>375.10295593178091</v>
      </c>
      <c r="L18" s="83">
        <f t="shared" ref="L18:L37" si="17">J18*N18*1.13</f>
        <v>174.73740183157497</v>
      </c>
      <c r="M18" s="82">
        <f t="shared" ref="M18:M37" si="18">K18-L18</f>
        <v>200.36555410020594</v>
      </c>
      <c r="N18" s="84">
        <v>0.45</v>
      </c>
      <c r="O18" s="85">
        <f t="shared" si="8"/>
        <v>5.0091388525051483</v>
      </c>
      <c r="P18" s="77">
        <v>45748</v>
      </c>
      <c r="Q18" s="77">
        <v>45771</v>
      </c>
      <c r="R18" s="132">
        <v>25726.54</v>
      </c>
      <c r="S18" s="132">
        <f t="shared" ref="S18:S37" si="19">R18*N18*0.935</f>
        <v>10824.441705000001</v>
      </c>
      <c r="T18" s="133">
        <f t="shared" ref="T18:T37" si="20">S18/R18</f>
        <v>0.42075000000000001</v>
      </c>
      <c r="U18" s="92"/>
      <c r="V18" s="92" t="s">
        <v>325</v>
      </c>
      <c r="W18" s="88"/>
      <c r="X18" s="89"/>
      <c r="Y18" s="110">
        <f t="shared" si="12"/>
        <v>5.0091388525051483</v>
      </c>
      <c r="Z18" s="73" t="s">
        <v>344</v>
      </c>
      <c r="AC18" s="73" t="s">
        <v>353</v>
      </c>
      <c r="AD18" s="239">
        <f>O18*G18/1.13*AE18</f>
        <v>12412.025475233997</v>
      </c>
      <c r="AE18" s="76">
        <v>70</v>
      </c>
      <c r="AF18" s="76">
        <v>23238</v>
      </c>
      <c r="AG18" s="146">
        <f>AF18-AD18</f>
        <v>10825.974524766003</v>
      </c>
    </row>
    <row r="19" spans="1:35" s="76" customFormat="1" ht="15" hidden="1">
      <c r="A19" s="74" t="str">
        <f t="shared" si="4"/>
        <v>大连达博商贸有限公司2701-90</v>
      </c>
      <c r="B19" s="77" t="s">
        <v>261</v>
      </c>
      <c r="C19" s="72" t="s">
        <v>312</v>
      </c>
      <c r="D19" s="72" t="s">
        <v>304</v>
      </c>
      <c r="E19" s="80" t="str">
        <f>VLOOKUP($D19,mapping!$F:$X,5,0)</f>
        <v>270190舒洁小熊印花手帕纸3层10包FSC mix70%</v>
      </c>
      <c r="F19" s="80">
        <f>VLOOKUP($D19,mapping!$F:$X,6,0)</f>
        <v>36</v>
      </c>
      <c r="G19" s="80">
        <f>VLOOKUP($D19,mapping!$F:$X,7,0)</f>
        <v>360</v>
      </c>
      <c r="H19" s="80">
        <f>VLOOKUP($D19,mapping!$F:$X,14,0)</f>
        <v>208.46834000000001</v>
      </c>
      <c r="I19" s="81">
        <f t="shared" si="14"/>
        <v>5.7907872222222228</v>
      </c>
      <c r="J19" s="82">
        <f t="shared" si="15"/>
        <v>194.91789790000001</v>
      </c>
      <c r="K19" s="82">
        <f t="shared" si="16"/>
        <v>212.768478989682</v>
      </c>
      <c r="L19" s="83">
        <f t="shared" si="17"/>
        <v>6.6077167388099998</v>
      </c>
      <c r="M19" s="82">
        <f t="shared" si="18"/>
        <v>206.16076225087198</v>
      </c>
      <c r="N19" s="84">
        <v>0.03</v>
      </c>
      <c r="O19" s="85">
        <f t="shared" si="8"/>
        <v>0.57266878403019994</v>
      </c>
      <c r="P19" s="77">
        <v>45748</v>
      </c>
      <c r="Q19" s="77">
        <v>45771</v>
      </c>
      <c r="R19" s="86">
        <v>1042.3400000000001</v>
      </c>
      <c r="S19" s="86">
        <f t="shared" si="19"/>
        <v>29.237637000000003</v>
      </c>
      <c r="T19" s="96">
        <f t="shared" si="20"/>
        <v>2.8049999999999999E-2</v>
      </c>
      <c r="U19" s="92"/>
      <c r="V19" s="92" t="s">
        <v>325</v>
      </c>
      <c r="W19" s="88"/>
      <c r="X19" s="89"/>
      <c r="Y19" s="110">
        <f>O19</f>
        <v>0.57266878403019994</v>
      </c>
      <c r="Z19" s="73" t="s">
        <v>344</v>
      </c>
      <c r="AC19" s="73" t="s">
        <v>353</v>
      </c>
      <c r="AD19" s="239">
        <f>O19*G19/1.13*AE19</f>
        <v>912.21576217199993</v>
      </c>
      <c r="AE19" s="76">
        <v>5</v>
      </c>
      <c r="AF19" s="76">
        <v>1006.97</v>
      </c>
      <c r="AG19" s="146">
        <f>AF19-AD19</f>
        <v>94.7542378280001</v>
      </c>
    </row>
    <row r="20" spans="1:35" s="76" customFormat="1" ht="15" hidden="1">
      <c r="A20" s="74" t="str">
        <f t="shared" si="4"/>
        <v>北京朝批中得商贸有限公司2694-30</v>
      </c>
      <c r="B20" s="77" t="s">
        <v>261</v>
      </c>
      <c r="C20" s="72" t="s">
        <v>351</v>
      </c>
      <c r="D20" s="72" t="s">
        <v>20</v>
      </c>
      <c r="E20" s="80" t="str">
        <f>VLOOKUP($D20,mapping!$F:$X,5,0)</f>
        <v>269430舒洁湿厕纸家庭装40抽</v>
      </c>
      <c r="F20" s="80">
        <f>VLOOKUP($D20,mapping!$F:$X,6,0)</f>
        <v>40</v>
      </c>
      <c r="G20" s="80">
        <f>VLOOKUP($D20,mapping!$F:$X,7,0)</f>
        <v>40</v>
      </c>
      <c r="H20" s="80">
        <f>VLOOKUP($D20,mapping!$F:$X,14,0)</f>
        <v>367.52197000000001</v>
      </c>
      <c r="I20" s="81">
        <f t="shared" si="14"/>
        <v>9.1880492500000006</v>
      </c>
      <c r="J20" s="113">
        <f>H20*0.935</f>
        <v>343.63304195000001</v>
      </c>
      <c r="K20" s="82">
        <f>J20*1.13*0.986</f>
        <v>382.86906267985097</v>
      </c>
      <c r="L20" s="83">
        <f>J20*N20*1.13</f>
        <v>174.73740183157497</v>
      </c>
      <c r="M20" s="82">
        <f>K20-L20</f>
        <v>208.131660848276</v>
      </c>
      <c r="N20" s="84">
        <v>0.45</v>
      </c>
      <c r="O20" s="85">
        <f>M20/G20</f>
        <v>5.2032915212069</v>
      </c>
      <c r="P20" s="77">
        <v>45748</v>
      </c>
      <c r="Q20" s="77">
        <v>45771</v>
      </c>
      <c r="R20" s="86">
        <v>135983.13999999998</v>
      </c>
      <c r="S20" s="86">
        <f>R20*N20*0.935</f>
        <v>57214.906154999997</v>
      </c>
      <c r="T20" s="96">
        <f>S20/R20</f>
        <v>0.42075000000000001</v>
      </c>
      <c r="U20" s="92"/>
      <c r="V20" s="92" t="s">
        <v>325</v>
      </c>
      <c r="W20" s="88"/>
      <c r="X20" s="89"/>
      <c r="Y20" s="110">
        <f t="shared" si="12"/>
        <v>5.2032915212069</v>
      </c>
      <c r="Z20" s="75" t="s">
        <v>372</v>
      </c>
      <c r="AB20" s="75" t="s">
        <v>596</v>
      </c>
      <c r="AC20" s="2" t="s">
        <v>353</v>
      </c>
      <c r="AD20" s="146">
        <f>S20</f>
        <v>57214.906154999997</v>
      </c>
      <c r="AG20" s="263">
        <f t="shared" ref="AG20:AG25" si="21">S20</f>
        <v>57214.906154999997</v>
      </c>
      <c r="AH20" s="146">
        <f>AG20*1.13</f>
        <v>64652.843955149991</v>
      </c>
    </row>
    <row r="21" spans="1:35" s="76" customFormat="1" ht="15" hidden="1">
      <c r="A21" s="74" t="str">
        <f t="shared" si="4"/>
        <v>北京朝批中得商贸有限公司2103-90</v>
      </c>
      <c r="B21" s="77" t="s">
        <v>261</v>
      </c>
      <c r="C21" s="72" t="s">
        <v>313</v>
      </c>
      <c r="D21" s="72" t="s">
        <v>305</v>
      </c>
      <c r="E21" s="80" t="str">
        <f>VLOOKUP($D21,mapping!$F:$X,5,0)</f>
        <v>210390舒洁小熊印花抽纸3层80抽4包FSC mix70%</v>
      </c>
      <c r="F21" s="80">
        <f>VLOOKUP($D21,mapping!$F:$X,6,0)</f>
        <v>24</v>
      </c>
      <c r="G21" s="80">
        <f>VLOOKUP($D21,mapping!$F:$X,7,0)</f>
        <v>96</v>
      </c>
      <c r="H21" s="80">
        <f>VLOOKUP($D21,mapping!$F:$X,14,0)</f>
        <v>287.22000000000003</v>
      </c>
      <c r="I21" s="81">
        <f t="shared" si="14"/>
        <v>11.967500000000001</v>
      </c>
      <c r="J21" s="113">
        <f t="shared" si="15"/>
        <v>268.55070000000006</v>
      </c>
      <c r="K21" s="82">
        <f t="shared" si="16"/>
        <v>293.14457310600005</v>
      </c>
      <c r="L21" s="83">
        <f t="shared" si="17"/>
        <v>15.173114550000003</v>
      </c>
      <c r="M21" s="82">
        <f t="shared" si="18"/>
        <v>277.97145855600007</v>
      </c>
      <c r="N21" s="84">
        <v>0.05</v>
      </c>
      <c r="O21" s="85">
        <f>M21/G21</f>
        <v>2.8955360266250008</v>
      </c>
      <c r="P21" s="77">
        <v>45748</v>
      </c>
      <c r="Q21" s="77">
        <v>45771</v>
      </c>
      <c r="R21" s="86">
        <v>10052.81</v>
      </c>
      <c r="S21" s="86">
        <f>R21*N21*0.935</f>
        <v>469.96886749999999</v>
      </c>
      <c r="T21" s="96">
        <f>S21/R21</f>
        <v>4.675E-2</v>
      </c>
      <c r="U21" s="92"/>
      <c r="V21" s="92" t="s">
        <v>325</v>
      </c>
      <c r="W21" s="88"/>
      <c r="X21" s="89"/>
      <c r="Y21" s="110">
        <f>O21</f>
        <v>2.8955360266250008</v>
      </c>
      <c r="Z21" s="75" t="s">
        <v>372</v>
      </c>
      <c r="AB21" s="75" t="s">
        <v>596</v>
      </c>
      <c r="AC21" s="2" t="s">
        <v>353</v>
      </c>
      <c r="AD21" s="146">
        <f t="shared" ref="AD21:AD25" si="22">S21</f>
        <v>469.96886749999999</v>
      </c>
      <c r="AG21" s="263">
        <f t="shared" si="21"/>
        <v>469.96886749999999</v>
      </c>
      <c r="AH21" s="146">
        <f t="shared" ref="AH21:AH25" si="23">AG21*1.13</f>
        <v>531.06482027499999</v>
      </c>
    </row>
    <row r="22" spans="1:35" s="76" customFormat="1" ht="15" hidden="1">
      <c r="A22" s="74" t="str">
        <f t="shared" si="4"/>
        <v>北京朝批中得商贸有限公司2107-61</v>
      </c>
      <c r="B22" s="77" t="s">
        <v>261</v>
      </c>
      <c r="C22" s="72" t="s">
        <v>313</v>
      </c>
      <c r="D22" s="72" t="s">
        <v>298</v>
      </c>
      <c r="E22" s="80" t="str">
        <f>VLOOKUP($D22,mapping!$F:$X,5,0)</f>
        <v>210761舒洁卡通系列抽纸200抽3包 FSC mix70%</v>
      </c>
      <c r="F22" s="80">
        <f>VLOOKUP($D22,mapping!$F:$X,6,0)</f>
        <v>20</v>
      </c>
      <c r="G22" s="80">
        <f>VLOOKUP($D22,mapping!$F:$X,7,0)</f>
        <v>60</v>
      </c>
      <c r="H22" s="80">
        <f>VLOOKUP($D22,mapping!$F:$X,14,0)</f>
        <v>338.18198999999998</v>
      </c>
      <c r="I22" s="81">
        <f t="shared" si="14"/>
        <v>16.9090995</v>
      </c>
      <c r="J22" s="113">
        <f>H22*0.935</f>
        <v>316.20016064999999</v>
      </c>
      <c r="K22" s="82">
        <f t="shared" si="16"/>
        <v>345.15777136232697</v>
      </c>
      <c r="L22" s="83">
        <f t="shared" si="17"/>
        <v>28.584494522759996</v>
      </c>
      <c r="M22" s="82">
        <f t="shared" si="18"/>
        <v>316.57327683956697</v>
      </c>
      <c r="N22" s="84">
        <v>0.08</v>
      </c>
      <c r="O22" s="85">
        <f t="shared" si="8"/>
        <v>5.27622128065945</v>
      </c>
      <c r="P22" s="77">
        <v>45748</v>
      </c>
      <c r="Q22" s="77">
        <v>45771</v>
      </c>
      <c r="R22" s="86">
        <v>7778.1900000000005</v>
      </c>
      <c r="S22" s="86">
        <f>R22*N22*0.935</f>
        <v>581.80861200000004</v>
      </c>
      <c r="T22" s="97">
        <f t="shared" si="20"/>
        <v>7.4800000000000005E-2</v>
      </c>
      <c r="U22" s="92"/>
      <c r="V22" s="92" t="s">
        <v>325</v>
      </c>
      <c r="W22" s="88"/>
      <c r="X22" s="89"/>
      <c r="Y22" s="110">
        <f t="shared" si="12"/>
        <v>5.27622128065945</v>
      </c>
      <c r="Z22" s="75" t="s">
        <v>372</v>
      </c>
      <c r="AB22" s="75" t="s">
        <v>596</v>
      </c>
      <c r="AC22" s="2" t="s">
        <v>353</v>
      </c>
      <c r="AD22" s="146">
        <f t="shared" si="22"/>
        <v>581.80861200000004</v>
      </c>
      <c r="AG22" s="263">
        <f t="shared" si="21"/>
        <v>581.80861200000004</v>
      </c>
      <c r="AH22" s="146">
        <f>AG22*1.13</f>
        <v>657.44373155999995</v>
      </c>
    </row>
    <row r="23" spans="1:35" s="76" customFormat="1" ht="15" hidden="1">
      <c r="A23" s="74" t="str">
        <f t="shared" si="4"/>
        <v>北京朝批中得商贸有限公司2613-00</v>
      </c>
      <c r="B23" s="77" t="s">
        <v>261</v>
      </c>
      <c r="C23" s="72" t="s">
        <v>313</v>
      </c>
      <c r="D23" s="72" t="s">
        <v>306</v>
      </c>
      <c r="E23" s="80" t="str">
        <f>VLOOKUP($D23,mapping!$F:$X,5,0)</f>
        <v>261300舒洁无香湿巾单包装</v>
      </c>
      <c r="F23" s="80">
        <f>VLOOKUP($D23,mapping!$F:$X,6,0)</f>
        <v>30</v>
      </c>
      <c r="G23" s="80">
        <f>VLOOKUP($D23,mapping!$F:$X,7,0)</f>
        <v>30</v>
      </c>
      <c r="H23" s="80">
        <f>VLOOKUP($D23,mapping!$F:$X,14,0)</f>
        <v>91.362830000000002</v>
      </c>
      <c r="I23" s="81">
        <f t="shared" si="14"/>
        <v>3.0454276666666669</v>
      </c>
      <c r="J23" s="113">
        <f>H23*0.935</f>
        <v>85.424246050000008</v>
      </c>
      <c r="K23" s="82">
        <f t="shared" si="16"/>
        <v>93.247398503258992</v>
      </c>
      <c r="L23" s="83">
        <f t="shared" si="17"/>
        <v>9.6529398036499998</v>
      </c>
      <c r="M23" s="82">
        <f t="shared" si="18"/>
        <v>83.594458699608992</v>
      </c>
      <c r="N23" s="84">
        <v>0.1</v>
      </c>
      <c r="O23" s="85">
        <f t="shared" si="8"/>
        <v>2.786481956653633</v>
      </c>
      <c r="P23" s="77">
        <v>45748</v>
      </c>
      <c r="Q23" s="77">
        <v>45771</v>
      </c>
      <c r="R23" s="86">
        <v>365.45</v>
      </c>
      <c r="S23" s="86">
        <f t="shared" si="19"/>
        <v>34.169575000000002</v>
      </c>
      <c r="T23" s="97">
        <f t="shared" si="20"/>
        <v>9.3500000000000014E-2</v>
      </c>
      <c r="U23" s="92"/>
      <c r="V23" s="92" t="s">
        <v>325</v>
      </c>
      <c r="W23" s="88"/>
      <c r="X23" s="89"/>
      <c r="Y23" s="110">
        <f t="shared" si="12"/>
        <v>2.786481956653633</v>
      </c>
      <c r="Z23" s="75" t="s">
        <v>372</v>
      </c>
      <c r="AB23" s="75" t="s">
        <v>596</v>
      </c>
      <c r="AC23" s="2" t="s">
        <v>353</v>
      </c>
      <c r="AD23" s="146">
        <f t="shared" si="22"/>
        <v>34.169575000000002</v>
      </c>
      <c r="AG23" s="263">
        <f t="shared" si="21"/>
        <v>34.169575000000002</v>
      </c>
      <c r="AH23" s="146">
        <f t="shared" si="23"/>
        <v>38.611619749999996</v>
      </c>
    </row>
    <row r="24" spans="1:35" s="76" customFormat="1" ht="15" hidden="1">
      <c r="A24" s="74" t="str">
        <f t="shared" si="4"/>
        <v>北京朝批中得商贸有限公司2660-00</v>
      </c>
      <c r="B24" s="77" t="s">
        <v>261</v>
      </c>
      <c r="C24" s="72" t="s">
        <v>313</v>
      </c>
      <c r="D24" s="72" t="s">
        <v>307</v>
      </c>
      <c r="E24" s="74" t="str">
        <f>VLOOKUP($D24,mapping!$F:$X,5,0)</f>
        <v>266000舒洁湿厕纸80片</v>
      </c>
      <c r="F24" s="80">
        <f>VLOOKUP($D24,mapping!$F:$X,6,0)</f>
        <v>24</v>
      </c>
      <c r="G24" s="80">
        <f>VLOOKUP($D24,mapping!$F:$X,7,0)</f>
        <v>24</v>
      </c>
      <c r="H24" s="80">
        <f>VLOOKUP($D24,mapping!$F:$X,14,0)</f>
        <v>326.88</v>
      </c>
      <c r="I24" s="81">
        <f t="shared" si="14"/>
        <v>13.62</v>
      </c>
      <c r="J24" s="113">
        <f t="shared" si="15"/>
        <v>305.63280000000003</v>
      </c>
      <c r="K24" s="82">
        <f t="shared" si="16"/>
        <v>333.622651824</v>
      </c>
      <c r="L24" s="83">
        <f t="shared" si="17"/>
        <v>62.165711519999995</v>
      </c>
      <c r="M24" s="82">
        <f t="shared" si="18"/>
        <v>271.456940304</v>
      </c>
      <c r="N24" s="84">
        <v>0.18</v>
      </c>
      <c r="O24" s="85">
        <f t="shared" si="8"/>
        <v>11.310705845999999</v>
      </c>
      <c r="P24" s="77">
        <v>45748</v>
      </c>
      <c r="Q24" s="77">
        <v>45771</v>
      </c>
      <c r="R24" s="86">
        <v>1634.4</v>
      </c>
      <c r="S24" s="86">
        <f t="shared" si="19"/>
        <v>275.06952000000001</v>
      </c>
      <c r="T24" s="97">
        <f t="shared" si="20"/>
        <v>0.16830000000000001</v>
      </c>
      <c r="U24" s="92"/>
      <c r="V24" s="92" t="s">
        <v>325</v>
      </c>
      <c r="W24" s="88"/>
      <c r="X24" s="89"/>
      <c r="Y24" s="110">
        <f t="shared" si="12"/>
        <v>11.310705845999999</v>
      </c>
      <c r="Z24" s="75" t="s">
        <v>372</v>
      </c>
      <c r="AB24" s="75" t="s">
        <v>596</v>
      </c>
      <c r="AC24" s="2" t="s">
        <v>353</v>
      </c>
      <c r="AD24" s="146">
        <f t="shared" si="22"/>
        <v>275.06952000000001</v>
      </c>
      <c r="AG24" s="263">
        <f t="shared" si="21"/>
        <v>275.06952000000001</v>
      </c>
      <c r="AH24" s="146">
        <f t="shared" si="23"/>
        <v>310.82855760000001</v>
      </c>
    </row>
    <row r="25" spans="1:35" s="76" customFormat="1" ht="15" hidden="1">
      <c r="A25" s="74" t="str">
        <f t="shared" si="4"/>
        <v>北京朝批中得商贸有限公司2216-35</v>
      </c>
      <c r="B25" s="77" t="s">
        <v>261</v>
      </c>
      <c r="C25" s="72" t="s">
        <v>313</v>
      </c>
      <c r="D25" s="72" t="s">
        <v>308</v>
      </c>
      <c r="E25" s="74" t="str">
        <f>VLOOKUP($D25,mapping!$F:$X,5,0)</f>
        <v>221635舒洁卷纸3层纯白10粒（蓝色）</v>
      </c>
      <c r="F25" s="80">
        <f>VLOOKUP($D25,mapping!$F:$X,6,0)</f>
        <v>10</v>
      </c>
      <c r="G25" s="80">
        <f>VLOOKUP($D25,mapping!$F:$X,7,0)</f>
        <v>100</v>
      </c>
      <c r="H25" s="80">
        <f>VLOOKUP($D25,mapping!$F:$X,14,0)</f>
        <v>240.89676</v>
      </c>
      <c r="I25" s="81">
        <f t="shared" si="14"/>
        <v>24.089676000000001</v>
      </c>
      <c r="J25" s="113">
        <f t="shared" si="15"/>
        <v>225.2384706</v>
      </c>
      <c r="K25" s="82">
        <f t="shared" si="16"/>
        <v>245.86580973754795</v>
      </c>
      <c r="L25" s="83">
        <f t="shared" si="17"/>
        <v>12.725973588899999</v>
      </c>
      <c r="M25" s="82">
        <f t="shared" si="18"/>
        <v>233.13983614864796</v>
      </c>
      <c r="N25" s="84">
        <v>0.05</v>
      </c>
      <c r="O25" s="85">
        <f t="shared" si="8"/>
        <v>2.3313983614864795</v>
      </c>
      <c r="P25" s="77">
        <v>45748</v>
      </c>
      <c r="Q25" s="77">
        <v>45771</v>
      </c>
      <c r="R25" s="86">
        <v>481.79</v>
      </c>
      <c r="S25" s="86">
        <f t="shared" si="19"/>
        <v>22.523682500000003</v>
      </c>
      <c r="T25" s="97">
        <f t="shared" si="20"/>
        <v>4.6750000000000007E-2</v>
      </c>
      <c r="U25" s="92"/>
      <c r="V25" s="92" t="s">
        <v>325</v>
      </c>
      <c r="W25" s="88"/>
      <c r="X25" s="89"/>
      <c r="Y25" s="110">
        <f t="shared" si="12"/>
        <v>2.3313983614864795</v>
      </c>
      <c r="Z25" s="75" t="s">
        <v>372</v>
      </c>
      <c r="AB25" s="75" t="s">
        <v>596</v>
      </c>
      <c r="AC25" s="2" t="s">
        <v>353</v>
      </c>
      <c r="AD25" s="146">
        <f t="shared" si="22"/>
        <v>22.523682500000003</v>
      </c>
      <c r="AG25" s="263">
        <f t="shared" si="21"/>
        <v>22.523682500000003</v>
      </c>
      <c r="AH25" s="146">
        <f t="shared" si="23"/>
        <v>25.451761225000002</v>
      </c>
    </row>
    <row r="26" spans="1:35" s="76" customFormat="1" ht="15" hidden="1">
      <c r="A26" s="74" t="str">
        <f t="shared" si="4"/>
        <v>北京宝诚恒信科技有限公司2694-30</v>
      </c>
      <c r="B26" s="77" t="s">
        <v>261</v>
      </c>
      <c r="C26" s="72" t="s">
        <v>314</v>
      </c>
      <c r="D26" s="72" t="s">
        <v>20</v>
      </c>
      <c r="E26" s="74" t="str">
        <f>VLOOKUP($D26,mapping!$F:$X,5,0)</f>
        <v>269430舒洁湿厕纸家庭装40抽</v>
      </c>
      <c r="F26" s="80">
        <f>VLOOKUP($D26,mapping!$F:$X,6,0)</f>
        <v>40</v>
      </c>
      <c r="G26" s="80">
        <f>VLOOKUP($D26,mapping!$F:$X,7,0)</f>
        <v>40</v>
      </c>
      <c r="H26" s="80">
        <f>VLOOKUP($D26,mapping!$F:$X,14,0)</f>
        <v>367.52197000000001</v>
      </c>
      <c r="I26" s="81">
        <f t="shared" si="14"/>
        <v>9.1880492500000006</v>
      </c>
      <c r="J26" s="113">
        <f t="shared" si="15"/>
        <v>343.63304195000001</v>
      </c>
      <c r="K26" s="82">
        <f t="shared" si="16"/>
        <v>375.10295593178091</v>
      </c>
      <c r="L26" s="83">
        <f t="shared" si="17"/>
        <v>174.73740183157497</v>
      </c>
      <c r="M26" s="82">
        <f t="shared" si="18"/>
        <v>200.36555410020594</v>
      </c>
      <c r="N26" s="84">
        <v>0.45</v>
      </c>
      <c r="O26" s="85">
        <f t="shared" si="8"/>
        <v>5.0091388525051483</v>
      </c>
      <c r="P26" s="77">
        <v>45748</v>
      </c>
      <c r="Q26" s="77">
        <v>45771</v>
      </c>
      <c r="R26" s="86">
        <v>173470.37</v>
      </c>
      <c r="S26" s="86">
        <f t="shared" si="19"/>
        <v>72987.658177500009</v>
      </c>
      <c r="T26" s="97">
        <f t="shared" si="20"/>
        <v>0.42075000000000007</v>
      </c>
      <c r="U26" s="92"/>
      <c r="V26" s="92" t="s">
        <v>325</v>
      </c>
      <c r="W26" s="88"/>
      <c r="X26" s="89"/>
      <c r="Y26" s="110">
        <f t="shared" si="12"/>
        <v>5.0091388525051483</v>
      </c>
      <c r="Z26" s="75" t="s">
        <v>600</v>
      </c>
      <c r="AC26" s="2" t="s">
        <v>353</v>
      </c>
    </row>
    <row r="27" spans="1:35" s="76" customFormat="1" ht="15" hidden="1">
      <c r="A27" s="74" t="str">
        <f t="shared" si="4"/>
        <v>北京宝诚恒信科技有限公司2103-90</v>
      </c>
      <c r="B27" s="77" t="s">
        <v>261</v>
      </c>
      <c r="C27" s="72" t="s">
        <v>314</v>
      </c>
      <c r="D27" s="72" t="s">
        <v>305</v>
      </c>
      <c r="E27" s="74" t="str">
        <f>VLOOKUP($D27,mapping!$F:$X,5,0)</f>
        <v>210390舒洁小熊印花抽纸3层80抽4包FSC mix70%</v>
      </c>
      <c r="F27" s="80">
        <f>VLOOKUP($D27,mapping!$F:$X,6,0)</f>
        <v>24</v>
      </c>
      <c r="G27" s="80">
        <f>VLOOKUP($D27,mapping!$F:$X,7,0)</f>
        <v>96</v>
      </c>
      <c r="H27" s="80">
        <f>VLOOKUP($D27,mapping!$F:$X,14,0)</f>
        <v>287.22000000000003</v>
      </c>
      <c r="I27" s="81">
        <f t="shared" si="14"/>
        <v>11.967500000000001</v>
      </c>
      <c r="J27" s="113">
        <f t="shared" si="15"/>
        <v>268.55070000000006</v>
      </c>
      <c r="K27" s="82">
        <f t="shared" si="16"/>
        <v>293.14457310600005</v>
      </c>
      <c r="L27" s="83">
        <f t="shared" si="17"/>
        <v>15.173114550000003</v>
      </c>
      <c r="M27" s="82">
        <f t="shared" si="18"/>
        <v>277.97145855600007</v>
      </c>
      <c r="N27" s="84">
        <v>0.05</v>
      </c>
      <c r="O27" s="85">
        <f t="shared" si="8"/>
        <v>2.8955360266250008</v>
      </c>
      <c r="P27" s="77">
        <v>45748</v>
      </c>
      <c r="Q27" s="77">
        <v>45771</v>
      </c>
      <c r="R27" s="86">
        <v>3446.6800000000003</v>
      </c>
      <c r="S27" s="86">
        <f t="shared" si="19"/>
        <v>161.13229000000004</v>
      </c>
      <c r="T27" s="97">
        <f t="shared" si="20"/>
        <v>4.6750000000000007E-2</v>
      </c>
      <c r="U27" s="92"/>
      <c r="V27" s="92" t="s">
        <v>325</v>
      </c>
      <c r="W27" s="88"/>
      <c r="X27" s="89"/>
      <c r="Y27" s="110">
        <f t="shared" si="12"/>
        <v>2.8955360266250008</v>
      </c>
      <c r="Z27" s="75" t="s">
        <v>600</v>
      </c>
      <c r="AC27" s="2" t="s">
        <v>353</v>
      </c>
    </row>
    <row r="28" spans="1:35" s="76" customFormat="1" ht="15" hidden="1">
      <c r="A28" s="74" t="str">
        <f t="shared" si="4"/>
        <v>北京宝诚恒信科技有限公司2701-90</v>
      </c>
      <c r="B28" s="77" t="s">
        <v>261</v>
      </c>
      <c r="C28" s="72" t="s">
        <v>314</v>
      </c>
      <c r="D28" s="72" t="s">
        <v>304</v>
      </c>
      <c r="E28" s="74" t="str">
        <f>VLOOKUP($D28,mapping!$F:$X,5,0)</f>
        <v>270190舒洁小熊印花手帕纸3层10包FSC mix70%</v>
      </c>
      <c r="F28" s="80">
        <f>VLOOKUP($D28,mapping!$F:$X,6,0)</f>
        <v>36</v>
      </c>
      <c r="G28" s="80">
        <f>VLOOKUP($D28,mapping!$F:$X,7,0)</f>
        <v>360</v>
      </c>
      <c r="H28" s="80">
        <f>VLOOKUP($D28,mapping!$F:$X,14,0)</f>
        <v>208.46834000000001</v>
      </c>
      <c r="I28" s="81">
        <f t="shared" si="14"/>
        <v>5.7907872222222228</v>
      </c>
      <c r="J28" s="113">
        <f t="shared" si="15"/>
        <v>194.91789790000001</v>
      </c>
      <c r="K28" s="82">
        <f t="shared" si="16"/>
        <v>212.768478989682</v>
      </c>
      <c r="L28" s="83">
        <f t="shared" si="17"/>
        <v>6.6077167388099998</v>
      </c>
      <c r="M28" s="82">
        <f t="shared" si="18"/>
        <v>206.16076225087198</v>
      </c>
      <c r="N28" s="84">
        <v>0.03</v>
      </c>
      <c r="O28" s="85">
        <f t="shared" si="8"/>
        <v>0.57266878403019994</v>
      </c>
      <c r="P28" s="77">
        <v>45748</v>
      </c>
      <c r="Q28" s="77">
        <v>45771</v>
      </c>
      <c r="R28" s="86">
        <v>416.94</v>
      </c>
      <c r="S28" s="86">
        <f>R28*N28*0.935</f>
        <v>11.695167</v>
      </c>
      <c r="T28" s="97">
        <f>S28/R28</f>
        <v>2.8049999999999999E-2</v>
      </c>
      <c r="U28" s="92"/>
      <c r="V28" s="92" t="s">
        <v>325</v>
      </c>
      <c r="W28" s="88"/>
      <c r="X28" s="89"/>
      <c r="Y28" s="110">
        <f t="shared" si="12"/>
        <v>0.57266878403019994</v>
      </c>
      <c r="Z28" s="75" t="s">
        <v>600</v>
      </c>
      <c r="AC28" s="2" t="s">
        <v>353</v>
      </c>
    </row>
    <row r="29" spans="1:35" s="76" customFormat="1" ht="15" hidden="1">
      <c r="A29" s="74" t="str">
        <f t="shared" si="4"/>
        <v>北京宝诚恒信科技有限公司2312-16</v>
      </c>
      <c r="B29" s="77" t="s">
        <v>261</v>
      </c>
      <c r="C29" s="72" t="s">
        <v>314</v>
      </c>
      <c r="D29" s="72" t="s">
        <v>309</v>
      </c>
      <c r="E29" s="74" t="str">
        <f>VLOOKUP($D29,mapping!$F:$X,5,0)</f>
        <v>231216 舒洁马蹄莲盒面纸200抽3盒 FSC mix70%</v>
      </c>
      <c r="F29" s="80">
        <f>VLOOKUP($D29,mapping!$F:$X,6,0)</f>
        <v>10</v>
      </c>
      <c r="G29" s="80">
        <f>VLOOKUP($D29,mapping!$F:$X,7,0)</f>
        <v>30</v>
      </c>
      <c r="H29" s="80">
        <f>VLOOKUP($D29,mapping!$F:$X,14,0)</f>
        <v>243.21306999999999</v>
      </c>
      <c r="I29" s="81">
        <f t="shared" si="14"/>
        <v>24.321306999999997</v>
      </c>
      <c r="J29" s="113">
        <f t="shared" si="15"/>
        <v>227.40422045</v>
      </c>
      <c r="K29" s="82">
        <f t="shared" si="16"/>
        <v>248.22989895881099</v>
      </c>
      <c r="L29" s="83">
        <f t="shared" si="17"/>
        <v>12.848338455425001</v>
      </c>
      <c r="M29" s="82">
        <f t="shared" si="18"/>
        <v>235.381560503386</v>
      </c>
      <c r="N29" s="84">
        <v>0.05</v>
      </c>
      <c r="O29" s="85">
        <f t="shared" si="8"/>
        <v>7.8460520167795336</v>
      </c>
      <c r="P29" s="77">
        <v>45748</v>
      </c>
      <c r="Q29" s="77">
        <v>45771</v>
      </c>
      <c r="R29" s="86">
        <v>486.42999999999995</v>
      </c>
      <c r="S29" s="86">
        <f t="shared" si="19"/>
        <v>22.740602500000001</v>
      </c>
      <c r="T29" s="97">
        <f t="shared" si="20"/>
        <v>4.6750000000000007E-2</v>
      </c>
      <c r="U29" s="92"/>
      <c r="V29" s="92" t="s">
        <v>325</v>
      </c>
      <c r="W29" s="88"/>
      <c r="X29" s="89"/>
      <c r="Y29" s="110">
        <f t="shared" si="12"/>
        <v>7.8460520167795336</v>
      </c>
      <c r="Z29" s="75" t="s">
        <v>600</v>
      </c>
      <c r="AC29" s="2" t="s">
        <v>353</v>
      </c>
    </row>
    <row r="30" spans="1:35" s="76" customFormat="1" ht="15" hidden="1">
      <c r="A30" s="74" t="str">
        <f t="shared" si="4"/>
        <v>青岛聚鑫美商贸有限公司2103-90</v>
      </c>
      <c r="B30" s="77" t="s">
        <v>261</v>
      </c>
      <c r="C30" s="72" t="s">
        <v>333</v>
      </c>
      <c r="D30" s="78" t="s">
        <v>305</v>
      </c>
      <c r="E30" s="74" t="str">
        <f>VLOOKUP($D30,mapping!$F:$X,5,0)</f>
        <v>210390舒洁小熊印花抽纸3层80抽4包FSC mix70%</v>
      </c>
      <c r="F30" s="80">
        <f>VLOOKUP($D30,mapping!$F:$X,6,0)</f>
        <v>24</v>
      </c>
      <c r="G30" s="80">
        <f>VLOOKUP($D30,mapping!$F:$X,7,0)</f>
        <v>96</v>
      </c>
      <c r="H30" s="80">
        <f>VLOOKUP($D30,mapping!$F:$X,14,0)</f>
        <v>287.22000000000003</v>
      </c>
      <c r="I30" s="81">
        <f t="shared" si="14"/>
        <v>11.967500000000001</v>
      </c>
      <c r="J30" s="82">
        <f t="shared" si="15"/>
        <v>268.55070000000006</v>
      </c>
      <c r="K30" s="82">
        <f t="shared" si="16"/>
        <v>293.14457310600005</v>
      </c>
      <c r="L30" s="83">
        <f t="shared" si="17"/>
        <v>15.173114550000003</v>
      </c>
      <c r="M30" s="82">
        <f t="shared" si="18"/>
        <v>277.97145855600007</v>
      </c>
      <c r="N30" s="100">
        <v>0.05</v>
      </c>
      <c r="O30" s="85">
        <f t="shared" si="8"/>
        <v>2.8955360266250008</v>
      </c>
      <c r="P30" s="77">
        <v>45748</v>
      </c>
      <c r="Q30" s="77">
        <v>45771</v>
      </c>
      <c r="R30" s="86">
        <v>861.67000000000007</v>
      </c>
      <c r="S30" s="86">
        <f t="shared" si="19"/>
        <v>40.28307250000001</v>
      </c>
      <c r="T30" s="97">
        <f t="shared" si="20"/>
        <v>4.6750000000000007E-2</v>
      </c>
      <c r="U30" s="92"/>
      <c r="V30" s="92" t="s">
        <v>325</v>
      </c>
      <c r="W30" s="88"/>
      <c r="X30" s="89"/>
      <c r="Y30" s="110">
        <f t="shared" si="12"/>
        <v>2.8955360266250008</v>
      </c>
      <c r="Z30" s="73" t="s">
        <v>344</v>
      </c>
      <c r="AC30" s="73" t="s">
        <v>353</v>
      </c>
      <c r="AD30" s="239">
        <f>O30*G30/1.13*AE30</f>
        <v>737.97732360000032</v>
      </c>
      <c r="AE30" s="76">
        <v>3</v>
      </c>
      <c r="AF30" s="76">
        <v>779.07</v>
      </c>
      <c r="AG30" s="146">
        <f>AF30-AD30</f>
        <v>41.092676399999732</v>
      </c>
      <c r="AH30" s="146">
        <f>S30*1.13</f>
        <v>45.519871925000004</v>
      </c>
    </row>
    <row r="31" spans="1:35" s="76" customFormat="1" ht="15" hidden="1">
      <c r="A31" s="74" t="str">
        <f t="shared" si="4"/>
        <v>青岛聚鑫美商贸有限公司2107-61</v>
      </c>
      <c r="B31" s="77" t="s">
        <v>261</v>
      </c>
      <c r="C31" s="72" t="s">
        <v>311</v>
      </c>
      <c r="D31" s="79" t="s">
        <v>187</v>
      </c>
      <c r="E31" s="74" t="str">
        <f>VLOOKUP($D31,mapping!$F:$X,5,0)</f>
        <v>210761舒洁卡通系列抽纸200抽3包 FSC mix70%</v>
      </c>
      <c r="F31" s="80">
        <f>VLOOKUP($D31,mapping!$F:$X,6,0)</f>
        <v>20</v>
      </c>
      <c r="G31" s="80">
        <f>VLOOKUP($D31,mapping!$F:$X,7,0)</f>
        <v>60</v>
      </c>
      <c r="H31" s="80">
        <f>VLOOKUP($D31,mapping!$F:$X,14,0)</f>
        <v>338.18198999999998</v>
      </c>
      <c r="I31" s="81">
        <f t="shared" si="14"/>
        <v>16.9090995</v>
      </c>
      <c r="J31" s="82">
        <f t="shared" si="15"/>
        <v>316.20016064999999</v>
      </c>
      <c r="K31" s="82">
        <f t="shared" si="16"/>
        <v>345.15777136232697</v>
      </c>
      <c r="L31" s="83">
        <f t="shared" si="17"/>
        <v>28.584494522759996</v>
      </c>
      <c r="M31" s="82">
        <f t="shared" si="18"/>
        <v>316.57327683956697</v>
      </c>
      <c r="N31" s="100">
        <v>0.08</v>
      </c>
      <c r="O31" s="85">
        <f t="shared" si="8"/>
        <v>5.27622128065945</v>
      </c>
      <c r="P31" s="77">
        <v>45748</v>
      </c>
      <c r="Q31" s="77">
        <v>45771</v>
      </c>
      <c r="R31" s="86">
        <v>2029.1000000000001</v>
      </c>
      <c r="S31" s="86">
        <f t="shared" si="19"/>
        <v>151.77668</v>
      </c>
      <c r="T31" s="97">
        <f t="shared" si="20"/>
        <v>7.4799999999999991E-2</v>
      </c>
      <c r="U31" s="92"/>
      <c r="V31" s="92" t="s">
        <v>325</v>
      </c>
      <c r="W31" s="88"/>
      <c r="X31" s="89"/>
      <c r="Y31" s="110">
        <f t="shared" si="12"/>
        <v>5.27622128065945</v>
      </c>
      <c r="Z31" s="73" t="s">
        <v>344</v>
      </c>
      <c r="AC31" s="73" t="s">
        <v>353</v>
      </c>
      <c r="AD31" s="239">
        <f t="shared" ref="AD31:AD37" si="24">O31*G31/1.13*AE31</f>
        <v>1680.9200540154</v>
      </c>
      <c r="AE31" s="76">
        <v>6</v>
      </c>
      <c r="AF31" s="76">
        <v>1832.8</v>
      </c>
      <c r="AG31" s="146">
        <f t="shared" ref="AG31:AG37" si="25">AF31-AD31</f>
        <v>151.8799459846</v>
      </c>
      <c r="AH31" s="146">
        <f t="shared" ref="AH31:AH37" si="26">S31*1.13</f>
        <v>171.50764839999999</v>
      </c>
    </row>
    <row r="32" spans="1:35" s="76" customFormat="1" ht="15" hidden="1">
      <c r="A32" s="74" t="str">
        <f t="shared" si="4"/>
        <v>青岛聚鑫美商贸有限公司2156-10</v>
      </c>
      <c r="B32" s="77" t="s">
        <v>261</v>
      </c>
      <c r="C32" s="72" t="s">
        <v>311</v>
      </c>
      <c r="D32" s="78" t="s">
        <v>143</v>
      </c>
      <c r="E32" s="74" t="str">
        <f>VLOOKUP($D32,mapping!$F:$X,5,0)</f>
        <v>215610舒洁®北海道轻牛乳系列乳霜纸面巾100抽3包装</v>
      </c>
      <c r="F32" s="80">
        <f>VLOOKUP($D32,mapping!$F:$X,6,0)</f>
        <v>6</v>
      </c>
      <c r="G32" s="80">
        <f>VLOOKUP($D32,mapping!$F:$X,7,0)</f>
        <v>18</v>
      </c>
      <c r="H32" s="80">
        <f>VLOOKUP($D32,mapping!$F:$X,14,0)</f>
        <v>215.4</v>
      </c>
      <c r="I32" s="81">
        <f t="shared" si="14"/>
        <v>35.9</v>
      </c>
      <c r="J32" s="82">
        <f t="shared" si="15"/>
        <v>201.39900000000003</v>
      </c>
      <c r="K32" s="82">
        <f t="shared" si="16"/>
        <v>219.84312041999999</v>
      </c>
      <c r="L32" s="83">
        <f t="shared" si="17"/>
        <v>40.964556600000002</v>
      </c>
      <c r="M32" s="82">
        <f t="shared" si="18"/>
        <v>178.87856381999998</v>
      </c>
      <c r="N32" s="100">
        <v>0.18</v>
      </c>
      <c r="O32" s="85">
        <f t="shared" si="8"/>
        <v>9.9376979899999984</v>
      </c>
      <c r="P32" s="77">
        <v>45748</v>
      </c>
      <c r="Q32" s="77">
        <v>45771</v>
      </c>
      <c r="R32" s="86">
        <v>1077</v>
      </c>
      <c r="S32" s="86">
        <f t="shared" si="19"/>
        <v>181.25909999999999</v>
      </c>
      <c r="T32" s="97">
        <f t="shared" si="20"/>
        <v>0.16829999999999998</v>
      </c>
      <c r="U32" s="92"/>
      <c r="V32" s="92" t="s">
        <v>325</v>
      </c>
      <c r="W32" s="88"/>
      <c r="X32" s="89"/>
      <c r="Y32" s="110">
        <f t="shared" si="12"/>
        <v>9.9376979899999984</v>
      </c>
      <c r="Z32" s="73" t="s">
        <v>344</v>
      </c>
      <c r="AC32" s="73" t="s">
        <v>353</v>
      </c>
      <c r="AD32" s="239">
        <f t="shared" si="24"/>
        <v>791.49806999999998</v>
      </c>
      <c r="AE32" s="76">
        <v>5</v>
      </c>
      <c r="AF32" s="76">
        <v>1040.45</v>
      </c>
      <c r="AG32" s="146">
        <f t="shared" si="25"/>
        <v>248.95193000000006</v>
      </c>
      <c r="AH32" s="146">
        <f t="shared" si="26"/>
        <v>204.82278299999996</v>
      </c>
      <c r="AI32" s="76" t="s">
        <v>614</v>
      </c>
    </row>
    <row r="33" spans="1:35" s="76" customFormat="1" ht="15" hidden="1">
      <c r="A33" s="74" t="str">
        <f t="shared" si="4"/>
        <v>青岛聚鑫美商贸有限公司2291-60</v>
      </c>
      <c r="B33" s="77" t="s">
        <v>261</v>
      </c>
      <c r="C33" s="72" t="s">
        <v>311</v>
      </c>
      <c r="D33" s="78" t="s">
        <v>219</v>
      </c>
      <c r="E33" s="74" t="str">
        <f>VLOOKUP($D33,mapping!$F:$X,5,0)</f>
        <v>229160舒洁绿茶洋甘菊印花清香卷纸10粒</v>
      </c>
      <c r="F33" s="80">
        <f>VLOOKUP($D33,mapping!$F:$X,6,0)</f>
        <v>5</v>
      </c>
      <c r="G33" s="80">
        <f>VLOOKUP($D33,mapping!$F:$X,7,0)</f>
        <v>50</v>
      </c>
      <c r="H33" s="80">
        <f>VLOOKUP($D33,mapping!$F:$X,14,0)</f>
        <v>153.64888999999999</v>
      </c>
      <c r="I33" s="81">
        <f t="shared" si="14"/>
        <v>30.729778</v>
      </c>
      <c r="J33" s="82">
        <f t="shared" si="15"/>
        <v>143.66171215</v>
      </c>
      <c r="K33" s="82">
        <f t="shared" si="16"/>
        <v>156.81825174869698</v>
      </c>
      <c r="L33" s="83">
        <f t="shared" si="17"/>
        <v>8.1168867364749993</v>
      </c>
      <c r="M33" s="82">
        <f t="shared" si="18"/>
        <v>148.70136501222197</v>
      </c>
      <c r="N33" s="100">
        <v>0.05</v>
      </c>
      <c r="O33" s="85">
        <f t="shared" si="8"/>
        <v>2.9740273002444395</v>
      </c>
      <c r="P33" s="77">
        <v>45748</v>
      </c>
      <c r="Q33" s="77">
        <v>45771</v>
      </c>
      <c r="R33" s="86">
        <v>768.25</v>
      </c>
      <c r="S33" s="86">
        <f t="shared" si="19"/>
        <v>35.915687500000004</v>
      </c>
      <c r="T33" s="97">
        <f t="shared" si="20"/>
        <v>4.6750000000000007E-2</v>
      </c>
      <c r="U33" s="92"/>
      <c r="V33" s="92" t="s">
        <v>325</v>
      </c>
      <c r="W33" s="88"/>
      <c r="Y33" s="110">
        <f t="shared" si="12"/>
        <v>2.9740273002444395</v>
      </c>
      <c r="Z33" s="73" t="s">
        <v>344</v>
      </c>
      <c r="AC33" s="73" t="s">
        <v>353</v>
      </c>
      <c r="AD33" s="239">
        <f t="shared" si="24"/>
        <v>657.97064164699987</v>
      </c>
      <c r="AE33" s="76">
        <v>5</v>
      </c>
      <c r="AF33" s="76">
        <v>693.95</v>
      </c>
      <c r="AG33" s="146">
        <f t="shared" si="25"/>
        <v>35.97935835300018</v>
      </c>
      <c r="AH33" s="146">
        <f t="shared" si="26"/>
        <v>40.584726875000001</v>
      </c>
    </row>
    <row r="34" spans="1:35" s="76" customFormat="1" ht="15" hidden="1">
      <c r="A34" s="74" t="str">
        <f t="shared" si="4"/>
        <v>青岛聚鑫美商贸有限公司2312-16</v>
      </c>
      <c r="B34" s="77" t="s">
        <v>261</v>
      </c>
      <c r="C34" s="72" t="s">
        <v>311</v>
      </c>
      <c r="D34" s="78" t="s">
        <v>195</v>
      </c>
      <c r="E34" s="74" t="str">
        <f>VLOOKUP($D34,mapping!$F:$X,5,0)</f>
        <v>231216 舒洁马蹄莲盒面纸200抽3盒 FSC mix70%</v>
      </c>
      <c r="F34" s="80">
        <f>VLOOKUP($D34,mapping!$F:$X,6,0)</f>
        <v>10</v>
      </c>
      <c r="G34" s="80">
        <f>VLOOKUP($D34,mapping!$F:$X,7,0)</f>
        <v>30</v>
      </c>
      <c r="H34" s="80">
        <f>VLOOKUP($D34,mapping!$F:$X,14,0)</f>
        <v>243.21306999999999</v>
      </c>
      <c r="I34" s="81">
        <f t="shared" si="14"/>
        <v>24.321306999999997</v>
      </c>
      <c r="J34" s="82">
        <f t="shared" si="15"/>
        <v>227.40422045</v>
      </c>
      <c r="K34" s="82">
        <f t="shared" si="16"/>
        <v>248.22989895881099</v>
      </c>
      <c r="L34" s="83">
        <f t="shared" si="17"/>
        <v>12.848338455425001</v>
      </c>
      <c r="M34" s="82">
        <f t="shared" si="18"/>
        <v>235.381560503386</v>
      </c>
      <c r="N34" s="100">
        <v>0.05</v>
      </c>
      <c r="O34" s="85">
        <f t="shared" si="8"/>
        <v>7.8460520167795336</v>
      </c>
      <c r="P34" s="77">
        <v>45748</v>
      </c>
      <c r="Q34" s="77">
        <v>45771</v>
      </c>
      <c r="R34" s="86">
        <v>729.64</v>
      </c>
      <c r="S34" s="86">
        <f t="shared" si="19"/>
        <v>34.110669999999999</v>
      </c>
      <c r="T34" s="97">
        <f t="shared" si="20"/>
        <v>4.675E-2</v>
      </c>
      <c r="U34" s="92"/>
      <c r="V34" s="92" t="s">
        <v>325</v>
      </c>
      <c r="W34" s="88"/>
      <c r="Y34" s="110">
        <f t="shared" si="12"/>
        <v>7.8460520167795336</v>
      </c>
      <c r="Z34" s="73" t="s">
        <v>344</v>
      </c>
      <c r="AC34" s="73" t="s">
        <v>353</v>
      </c>
      <c r="AD34" s="239">
        <f t="shared" si="24"/>
        <v>624.90679779660002</v>
      </c>
      <c r="AE34" s="76">
        <v>3</v>
      </c>
      <c r="AF34" s="76">
        <v>659.06</v>
      </c>
      <c r="AG34" s="146">
        <f t="shared" si="25"/>
        <v>34.153202203399928</v>
      </c>
      <c r="AH34" s="146">
        <f t="shared" si="26"/>
        <v>38.545057099999994</v>
      </c>
    </row>
    <row r="35" spans="1:35" s="76" customFormat="1" ht="15" hidden="1">
      <c r="A35" s="74" t="str">
        <f t="shared" si="4"/>
        <v>青岛聚鑫美商贸有限公司2660-00</v>
      </c>
      <c r="B35" s="77" t="s">
        <v>261</v>
      </c>
      <c r="C35" s="72" t="s">
        <v>311</v>
      </c>
      <c r="D35" s="78" t="s">
        <v>47</v>
      </c>
      <c r="E35" s="74" t="str">
        <f>VLOOKUP($D35,mapping!$F:$X,5,0)</f>
        <v>266000舒洁湿厕纸80片</v>
      </c>
      <c r="F35" s="80">
        <f>VLOOKUP($D35,mapping!$F:$X,6,0)</f>
        <v>24</v>
      </c>
      <c r="G35" s="80">
        <f>VLOOKUP($D35,mapping!$F:$X,7,0)</f>
        <v>24</v>
      </c>
      <c r="H35" s="80">
        <f>VLOOKUP($D35,mapping!$F:$X,14,0)</f>
        <v>326.88</v>
      </c>
      <c r="I35" s="81">
        <f t="shared" si="14"/>
        <v>13.62</v>
      </c>
      <c r="J35" s="82">
        <f t="shared" si="15"/>
        <v>305.63280000000003</v>
      </c>
      <c r="K35" s="82">
        <f t="shared" si="16"/>
        <v>333.622651824</v>
      </c>
      <c r="L35" s="83">
        <f t="shared" si="17"/>
        <v>62.165711519999995</v>
      </c>
      <c r="M35" s="82">
        <f t="shared" si="18"/>
        <v>271.456940304</v>
      </c>
      <c r="N35" s="100">
        <v>0.18</v>
      </c>
      <c r="O35" s="85">
        <f t="shared" si="8"/>
        <v>11.310705845999999</v>
      </c>
      <c r="P35" s="77">
        <v>45748</v>
      </c>
      <c r="Q35" s="77">
        <v>45771</v>
      </c>
      <c r="R35" s="86">
        <v>326.88</v>
      </c>
      <c r="S35" s="86">
        <f t="shared" si="19"/>
        <v>55.013904000000004</v>
      </c>
      <c r="T35" s="97">
        <f t="shared" si="20"/>
        <v>0.16830000000000001</v>
      </c>
      <c r="U35" s="92"/>
      <c r="V35" s="92" t="s">
        <v>325</v>
      </c>
      <c r="W35" s="88"/>
      <c r="Y35" s="110">
        <f t="shared" si="12"/>
        <v>11.310705845999999</v>
      </c>
      <c r="Z35" s="73" t="s">
        <v>344</v>
      </c>
      <c r="AC35" s="73" t="s">
        <v>353</v>
      </c>
      <c r="AD35" s="239">
        <f t="shared" si="24"/>
        <v>240.22738080000002</v>
      </c>
      <c r="AE35" s="76">
        <v>1</v>
      </c>
      <c r="AF35" s="76">
        <v>295.26</v>
      </c>
      <c r="AG35" s="146">
        <f t="shared" si="25"/>
        <v>55.032619199999971</v>
      </c>
      <c r="AH35" s="146">
        <f t="shared" si="26"/>
        <v>62.165711519999995</v>
      </c>
    </row>
    <row r="36" spans="1:35" s="76" customFormat="1" ht="15" hidden="1">
      <c r="A36" s="74" t="str">
        <f t="shared" si="4"/>
        <v>青岛聚鑫美商贸有限公司2694-30</v>
      </c>
      <c r="B36" s="77" t="s">
        <v>261</v>
      </c>
      <c r="C36" s="72" t="s">
        <v>311</v>
      </c>
      <c r="D36" s="78" t="s">
        <v>19</v>
      </c>
      <c r="E36" s="74" t="str">
        <f>VLOOKUP($D36,mapping!$F:$X,5,0)</f>
        <v>269430舒洁湿厕纸家庭装40抽</v>
      </c>
      <c r="F36" s="80">
        <f>VLOOKUP($D36,mapping!$F:$X,6,0)</f>
        <v>40</v>
      </c>
      <c r="G36" s="80">
        <f>VLOOKUP($D36,mapping!$F:$X,7,0)</f>
        <v>40</v>
      </c>
      <c r="H36" s="80">
        <f>VLOOKUP($D36,mapping!$F:$X,14,0)</f>
        <v>367.52197000000001</v>
      </c>
      <c r="I36" s="81">
        <f t="shared" si="14"/>
        <v>9.1880492500000006</v>
      </c>
      <c r="J36" s="82">
        <f t="shared" si="15"/>
        <v>343.63304195000001</v>
      </c>
      <c r="K36" s="82">
        <f t="shared" si="16"/>
        <v>375.10295593178091</v>
      </c>
      <c r="L36" s="83">
        <f t="shared" si="17"/>
        <v>116.49160122104998</v>
      </c>
      <c r="M36" s="82">
        <f t="shared" si="18"/>
        <v>258.61135471073095</v>
      </c>
      <c r="N36" s="100">
        <v>0.3</v>
      </c>
      <c r="O36" s="85">
        <f t="shared" si="8"/>
        <v>6.4652838677682736</v>
      </c>
      <c r="P36" s="77">
        <v>45748</v>
      </c>
      <c r="Q36" s="77">
        <v>45771</v>
      </c>
      <c r="R36" s="86">
        <v>735.04000000000008</v>
      </c>
      <c r="S36" s="86">
        <f t="shared" si="19"/>
        <v>206.17872000000003</v>
      </c>
      <c r="T36" s="97">
        <f t="shared" si="20"/>
        <v>0.28050000000000003</v>
      </c>
      <c r="U36" s="92"/>
      <c r="V36" s="92" t="s">
        <v>325</v>
      </c>
      <c r="W36" s="88"/>
      <c r="Y36" s="110">
        <f t="shared" si="12"/>
        <v>6.4652838677682736</v>
      </c>
      <c r="Z36" s="73" t="s">
        <v>344</v>
      </c>
      <c r="AC36" s="73" t="s">
        <v>353</v>
      </c>
      <c r="AD36" s="239">
        <f t="shared" si="24"/>
        <v>457.71921187739997</v>
      </c>
      <c r="AE36" s="76">
        <v>2</v>
      </c>
      <c r="AF36" s="76">
        <v>663.92</v>
      </c>
      <c r="AG36" s="146">
        <f t="shared" si="25"/>
        <v>206.20078812259999</v>
      </c>
      <c r="AH36" s="146">
        <f t="shared" si="26"/>
        <v>232.9819536</v>
      </c>
    </row>
    <row r="37" spans="1:35" s="76" customFormat="1" ht="15" hidden="1">
      <c r="A37" s="74" t="str">
        <f t="shared" si="4"/>
        <v>青岛聚鑫美商贸有限公司2701-90</v>
      </c>
      <c r="B37" s="77" t="s">
        <v>261</v>
      </c>
      <c r="C37" s="72" t="s">
        <v>311</v>
      </c>
      <c r="D37" s="79" t="s">
        <v>304</v>
      </c>
      <c r="E37" s="74" t="str">
        <f>VLOOKUP($D37,mapping!$F:$X,5,0)</f>
        <v>270190舒洁小熊印花手帕纸3层10包FSC mix70%</v>
      </c>
      <c r="F37" s="80">
        <f>VLOOKUP($D37,mapping!$F:$X,6,0)</f>
        <v>36</v>
      </c>
      <c r="G37" s="80">
        <f>VLOOKUP($D37,mapping!$F:$X,7,0)</f>
        <v>360</v>
      </c>
      <c r="H37" s="80">
        <f>VLOOKUP($D37,mapping!$F:$X,14,0)</f>
        <v>208.46834000000001</v>
      </c>
      <c r="I37" s="81">
        <f t="shared" si="14"/>
        <v>5.7907872222222228</v>
      </c>
      <c r="J37" s="82">
        <f t="shared" si="15"/>
        <v>194.91789790000001</v>
      </c>
      <c r="K37" s="82">
        <f t="shared" si="16"/>
        <v>212.768478989682</v>
      </c>
      <c r="L37" s="83">
        <f t="shared" si="17"/>
        <v>6.6077167388099998</v>
      </c>
      <c r="M37" s="82">
        <f t="shared" si="18"/>
        <v>206.16076225087198</v>
      </c>
      <c r="N37" s="100">
        <v>0.03</v>
      </c>
      <c r="O37" s="85">
        <f t="shared" si="8"/>
        <v>0.57266878403019994</v>
      </c>
      <c r="P37" s="77">
        <v>45748</v>
      </c>
      <c r="Q37" s="77">
        <v>45771</v>
      </c>
      <c r="R37" s="86">
        <v>1042.3400000000001</v>
      </c>
      <c r="S37" s="86">
        <f t="shared" si="19"/>
        <v>29.237637000000003</v>
      </c>
      <c r="T37" s="97">
        <f t="shared" si="20"/>
        <v>2.8049999999999999E-2</v>
      </c>
      <c r="U37" s="92"/>
      <c r="V37" s="92" t="s">
        <v>325</v>
      </c>
      <c r="W37" s="88"/>
      <c r="Y37" s="110">
        <f t="shared" si="12"/>
        <v>0.57266878403019994</v>
      </c>
      <c r="Z37" s="73" t="s">
        <v>344</v>
      </c>
      <c r="AC37" s="73" t="s">
        <v>353</v>
      </c>
      <c r="AD37" s="239">
        <f t="shared" si="24"/>
        <v>912.21576217199993</v>
      </c>
      <c r="AE37" s="76">
        <v>5</v>
      </c>
      <c r="AF37" s="76">
        <v>1006.97</v>
      </c>
      <c r="AG37" s="146">
        <f t="shared" si="25"/>
        <v>94.7542378280001</v>
      </c>
      <c r="AH37" s="146">
        <f t="shared" si="26"/>
        <v>33.03852981</v>
      </c>
      <c r="AI37" s="76" t="s">
        <v>613</v>
      </c>
    </row>
    <row r="38" spans="1:35" s="76" customFormat="1" ht="15" hidden="1">
      <c r="A38" s="74" t="str">
        <f t="shared" si="4"/>
        <v>西宁华松商贸有限公司2162-08</v>
      </c>
      <c r="B38" s="77" t="s">
        <v>261</v>
      </c>
      <c r="C38" s="72" t="s">
        <v>335</v>
      </c>
      <c r="D38" s="79" t="s">
        <v>320</v>
      </c>
      <c r="E38" s="74" t="str">
        <f>VLOOKUP($D38,mapping!$F:$X,5,0)</f>
        <v>216208舒洁®北海道牛乳系列乳霜纸面巾20抽8包装</v>
      </c>
      <c r="F38" s="80">
        <f>VLOOKUP($D38,mapping!$F:$X,6,0)</f>
        <v>4</v>
      </c>
      <c r="G38" s="80">
        <f>VLOOKUP($D38,mapping!$F:$X,7,0)</f>
        <v>32</v>
      </c>
      <c r="H38" s="80">
        <f>VLOOKUP($D38,mapping!$F:$X,14,0)</f>
        <v>100.5</v>
      </c>
      <c r="I38" s="81">
        <f>H38/F38</f>
        <v>25.125</v>
      </c>
      <c r="J38" s="82">
        <f>H38*0.935</f>
        <v>93.967500000000001</v>
      </c>
      <c r="K38" s="82">
        <f>J38*1.13*0.966</f>
        <v>102.57304364999999</v>
      </c>
      <c r="L38" s="83">
        <f>J38*N38*1.13</f>
        <v>31.413043649999995</v>
      </c>
      <c r="M38" s="82">
        <f>K38-L38</f>
        <v>71.16</v>
      </c>
      <c r="N38" s="100">
        <v>0.29583796176940291</v>
      </c>
      <c r="O38" s="85">
        <f>M38/G38</f>
        <v>2.2237499999999999</v>
      </c>
      <c r="P38" s="77">
        <v>45748</v>
      </c>
      <c r="Q38" s="77">
        <v>45777</v>
      </c>
      <c r="R38" s="121">
        <v>6230.91</v>
      </c>
      <c r="S38" s="86">
        <f>R38*N38*0.935</f>
        <v>1723.5226329346319</v>
      </c>
      <c r="T38" s="97">
        <f t="shared" ref="T38:T43" si="27">S38/R38</f>
        <v>0.27660849425439171</v>
      </c>
      <c r="U38" s="92"/>
      <c r="V38" s="92" t="s">
        <v>325</v>
      </c>
      <c r="W38" s="240">
        <v>0.246</v>
      </c>
      <c r="Y38" s="110">
        <f>O38</f>
        <v>2.2237499999999999</v>
      </c>
      <c r="Z38" s="73" t="s">
        <v>344</v>
      </c>
      <c r="AA38" s="122"/>
      <c r="AB38" s="122" t="s">
        <v>585</v>
      </c>
      <c r="AC38" s="73" t="s">
        <v>353</v>
      </c>
      <c r="AD38" s="239">
        <f>Y38*G38/1.13*AE38</f>
        <v>3904.353982300885</v>
      </c>
      <c r="AE38" s="244">
        <v>62</v>
      </c>
      <c r="AF38" s="244">
        <v>4489.88</v>
      </c>
      <c r="AG38" s="243">
        <f>AF38-AD38</f>
        <v>585.52601769911507</v>
      </c>
      <c r="AH38" s="146">
        <f>AG38*1.13</f>
        <v>661.64440000000002</v>
      </c>
      <c r="AI38" s="249"/>
    </row>
    <row r="39" spans="1:35" s="76" customFormat="1" ht="15" hidden="1">
      <c r="A39" s="74" t="str">
        <f t="shared" si="4"/>
        <v>西宁华松商贸有限公司2152-04</v>
      </c>
      <c r="B39" s="77" t="s">
        <v>261</v>
      </c>
      <c r="C39" s="72" t="s">
        <v>310</v>
      </c>
      <c r="D39" s="79" t="s">
        <v>321</v>
      </c>
      <c r="E39" s="74" t="str">
        <f>VLOOKUP($D39,mapping!$F:$X,5,0)</f>
        <v>215204舒洁鎏金系列乳霜纸巾40抽8包</v>
      </c>
      <c r="F39" s="80">
        <f>VLOOKUP($D39,mapping!$F:$X,6,0)</f>
        <v>4</v>
      </c>
      <c r="G39" s="80">
        <f>VLOOKUP($D39,mapping!$F:$X,7,0)</f>
        <v>32</v>
      </c>
      <c r="H39" s="80">
        <f>VLOOKUP($D39,mapping!$F:$X,14,0)</f>
        <v>105.79</v>
      </c>
      <c r="I39" s="81">
        <f>H39/F39</f>
        <v>26.447500000000002</v>
      </c>
      <c r="J39" s="82">
        <f>H39*0.935</f>
        <v>98.913650000000018</v>
      </c>
      <c r="K39" s="82">
        <f>J39*1.13*0.966</f>
        <v>107.97216206700001</v>
      </c>
      <c r="L39" s="83">
        <f>J39*N39*1.13</f>
        <v>39.13216206700001</v>
      </c>
      <c r="M39" s="82">
        <f>K39-L39</f>
        <v>68.84</v>
      </c>
      <c r="N39" s="100">
        <v>0.35010569236600936</v>
      </c>
      <c r="O39" s="85">
        <f>M39/G39</f>
        <v>2.1512500000000001</v>
      </c>
      <c r="P39" s="77">
        <v>45748</v>
      </c>
      <c r="Q39" s="77">
        <v>45777</v>
      </c>
      <c r="R39" s="121">
        <v>6876.22</v>
      </c>
      <c r="S39" s="86">
        <f t="shared" ref="S39:S43" si="28">R39*N39*0.935</f>
        <v>2250.9225193035359</v>
      </c>
      <c r="T39" s="97">
        <f>S39/R39</f>
        <v>0.32734882236221874</v>
      </c>
      <c r="U39" s="92"/>
      <c r="V39" s="92" t="s">
        <v>325</v>
      </c>
      <c r="W39" s="240">
        <v>0.3</v>
      </c>
      <c r="Y39" s="110">
        <f t="shared" si="12"/>
        <v>2.1512500000000001</v>
      </c>
      <c r="Z39" s="73" t="s">
        <v>344</v>
      </c>
      <c r="AA39" s="122"/>
      <c r="AB39" s="122" t="s">
        <v>585</v>
      </c>
      <c r="AC39" s="73" t="s">
        <v>353</v>
      </c>
      <c r="AD39" s="239">
        <f>Y39*G39/1.13*AE39</f>
        <v>3959.8230088495584</v>
      </c>
      <c r="AE39" s="244">
        <v>65</v>
      </c>
      <c r="AF39" s="244">
        <v>4583.8900000000003</v>
      </c>
      <c r="AG39" s="243">
        <f t="shared" ref="AG39" si="29">AF39-AD39</f>
        <v>624.06699115044194</v>
      </c>
      <c r="AH39" s="146">
        <f t="shared" ref="AH39" si="30">AG39*1.13</f>
        <v>705.19569999999931</v>
      </c>
      <c r="AI39" s="249"/>
    </row>
    <row r="40" spans="1:35" s="76" customFormat="1" ht="15" hidden="1">
      <c r="A40" s="74" t="str">
        <f t="shared" si="4"/>
        <v>西宁华松商贸有限公司2662-00</v>
      </c>
      <c r="B40" s="77" t="s">
        <v>261</v>
      </c>
      <c r="C40" s="72" t="s">
        <v>310</v>
      </c>
      <c r="D40" s="79" t="s">
        <v>294</v>
      </c>
      <c r="E40" s="74" t="str">
        <f>VLOOKUP($D40,mapping!$F:$X,5,0)</f>
        <v xml:space="preserve">266200舒洁湿厕纸80片x6包 </v>
      </c>
      <c r="F40" s="80">
        <f>VLOOKUP($D40,mapping!$F:$X,6,0)</f>
        <v>1</v>
      </c>
      <c r="G40" s="80">
        <f>VLOOKUP($D40,mapping!$F:$X,7,0)</f>
        <v>6</v>
      </c>
      <c r="H40" s="80">
        <f>VLOOKUP($D40,mapping!$F:$X,14,0)</f>
        <v>69.44</v>
      </c>
      <c r="I40" s="81">
        <f>H40/F40</f>
        <v>69.44</v>
      </c>
      <c r="J40" s="82">
        <f>H40*0.935</f>
        <v>64.926400000000001</v>
      </c>
      <c r="K40" s="82">
        <f>J40*1.13*0.966</f>
        <v>70.872359711999991</v>
      </c>
      <c r="L40" s="83">
        <f>J40*N40*1.13</f>
        <v>25.872359711999991</v>
      </c>
      <c r="M40" s="82">
        <f>K40-L40</f>
        <v>45</v>
      </c>
      <c r="N40" s="251">
        <v>0.35264381746781698</v>
      </c>
      <c r="O40" s="85">
        <f>M40/G40</f>
        <v>7.5</v>
      </c>
      <c r="P40" s="77">
        <v>45748</v>
      </c>
      <c r="Q40" s="77">
        <v>45777</v>
      </c>
      <c r="R40" s="121">
        <v>6944</v>
      </c>
      <c r="S40" s="86">
        <f t="shared" si="28"/>
        <v>2289.5893550442474</v>
      </c>
      <c r="T40" s="97">
        <f t="shared" si="27"/>
        <v>0.32972196933240888</v>
      </c>
      <c r="U40" s="92"/>
      <c r="V40" s="92" t="s">
        <v>325</v>
      </c>
      <c r="W40" s="240">
        <v>0.29099999999999998</v>
      </c>
      <c r="Y40" s="110">
        <f t="shared" si="12"/>
        <v>7.5</v>
      </c>
      <c r="Z40" s="73" t="s">
        <v>344</v>
      </c>
      <c r="AA40" s="122"/>
      <c r="AB40" s="122" t="s">
        <v>585</v>
      </c>
      <c r="AC40" s="73" t="s">
        <v>353</v>
      </c>
      <c r="AD40" s="239">
        <f>Y40*G40/1.13*AE40</f>
        <v>3982.3008849557523</v>
      </c>
      <c r="AE40" s="244">
        <v>100</v>
      </c>
      <c r="AF40" s="244">
        <v>4387.05</v>
      </c>
      <c r="AG40" s="243">
        <f>AF40-AD40</f>
        <v>404.7491150442479</v>
      </c>
      <c r="AH40" s="146">
        <f>AG40*1.13</f>
        <v>457.36650000000009</v>
      </c>
      <c r="AI40" s="249"/>
    </row>
    <row r="41" spans="1:35" ht="15" hidden="1">
      <c r="A41" s="74" t="str">
        <f t="shared" si="4"/>
        <v>大连隆欣商贸有限公司2694-30</v>
      </c>
      <c r="B41" s="77" t="s">
        <v>261</v>
      </c>
      <c r="C41" s="44" t="s">
        <v>336</v>
      </c>
      <c r="D41" s="44" t="s">
        <v>20</v>
      </c>
      <c r="E41" s="74" t="str">
        <f>VLOOKUP($D41,mapping!$F:$X,5,0)</f>
        <v>269430舒洁湿厕纸家庭装40抽</v>
      </c>
      <c r="F41" s="80">
        <f>VLOOKUP($D41,mapping!$F:$X,6,0)</f>
        <v>40</v>
      </c>
      <c r="G41" s="80">
        <f>VLOOKUP($D41,mapping!$F:$X,7,0)</f>
        <v>40</v>
      </c>
      <c r="H41" s="80">
        <f>VLOOKUP($D41,mapping!$F:$X,14,0)</f>
        <v>367.52197000000001</v>
      </c>
      <c r="I41" s="81">
        <f t="shared" ref="I41:I50" si="31">H41/F41</f>
        <v>9.1880492500000006</v>
      </c>
      <c r="J41" s="113">
        <f t="shared" ref="J41:J50" si="32">H41*0.935</f>
        <v>343.63304195000001</v>
      </c>
      <c r="K41" s="82">
        <f t="shared" ref="K41:K50" si="33">J41*1.13*0.966</f>
        <v>375.10295593178091</v>
      </c>
      <c r="L41" s="83">
        <f t="shared" ref="L41:L50" si="34">J41*N41*1.13</f>
        <v>174.73740183157497</v>
      </c>
      <c r="M41" s="82">
        <f t="shared" ref="M41:M50" si="35">K41-L41</f>
        <v>200.36555410020594</v>
      </c>
      <c r="N41" s="100">
        <v>0.45</v>
      </c>
      <c r="O41" s="85">
        <f t="shared" si="8"/>
        <v>5.0091388525051483</v>
      </c>
      <c r="P41" s="43">
        <v>45748</v>
      </c>
      <c r="Q41" s="43">
        <v>45777</v>
      </c>
      <c r="R41" s="125">
        <f>H41*5</f>
        <v>1837.6098500000001</v>
      </c>
      <c r="S41" s="86">
        <f t="shared" si="28"/>
        <v>773.17434438750013</v>
      </c>
      <c r="T41" s="97">
        <f t="shared" si="27"/>
        <v>0.42075000000000007</v>
      </c>
      <c r="U41" s="92" t="s">
        <v>319</v>
      </c>
      <c r="V41" s="92" t="s">
        <v>325</v>
      </c>
      <c r="Y41" s="128">
        <f t="shared" si="12"/>
        <v>5.0091388525051483</v>
      </c>
      <c r="Z41" s="75" t="s">
        <v>602</v>
      </c>
      <c r="AA41" t="s">
        <v>338</v>
      </c>
      <c r="AB41"/>
      <c r="AC41" s="73" t="s">
        <v>353</v>
      </c>
      <c r="AE41"/>
      <c r="AF41"/>
      <c r="AG41"/>
    </row>
    <row r="42" spans="1:35" ht="15" hidden="1">
      <c r="A42" s="74" t="str">
        <f t="shared" si="4"/>
        <v>大连隆欣商贸有限公司2103-90</v>
      </c>
      <c r="B42" s="77" t="s">
        <v>261</v>
      </c>
      <c r="C42" s="44" t="s">
        <v>336</v>
      </c>
      <c r="D42" s="44" t="s">
        <v>305</v>
      </c>
      <c r="E42" s="74" t="str">
        <f>VLOOKUP($D42,mapping!$F:$X,5,0)</f>
        <v>210390舒洁小熊印花抽纸3层80抽4包FSC mix70%</v>
      </c>
      <c r="F42" s="80">
        <f>VLOOKUP($D42,mapping!$F:$X,6,0)</f>
        <v>24</v>
      </c>
      <c r="G42" s="80">
        <f>VLOOKUP($D42,mapping!$F:$X,7,0)</f>
        <v>96</v>
      </c>
      <c r="H42" s="80">
        <f>VLOOKUP($D42,mapping!$F:$X,14,0)</f>
        <v>287.22000000000003</v>
      </c>
      <c r="I42" s="81">
        <f t="shared" si="31"/>
        <v>11.967500000000001</v>
      </c>
      <c r="J42" s="113">
        <f t="shared" si="32"/>
        <v>268.55070000000006</v>
      </c>
      <c r="K42" s="82">
        <f t="shared" si="33"/>
        <v>293.14457310600005</v>
      </c>
      <c r="L42" s="83">
        <f t="shared" si="34"/>
        <v>15.173114550000003</v>
      </c>
      <c r="M42" s="82">
        <f t="shared" si="35"/>
        <v>277.97145855600007</v>
      </c>
      <c r="N42" s="100">
        <v>0.05</v>
      </c>
      <c r="O42" s="85">
        <f t="shared" si="8"/>
        <v>2.8955360266250008</v>
      </c>
      <c r="P42" s="43">
        <v>45748</v>
      </c>
      <c r="Q42" s="43">
        <v>45777</v>
      </c>
      <c r="R42" s="126">
        <f>H42*5</f>
        <v>1436.1000000000001</v>
      </c>
      <c r="S42" s="86">
        <f t="shared" si="28"/>
        <v>67.137675000000016</v>
      </c>
      <c r="T42" s="97">
        <f t="shared" si="27"/>
        <v>4.6750000000000007E-2</v>
      </c>
      <c r="U42" s="92" t="s">
        <v>319</v>
      </c>
      <c r="V42" s="92" t="s">
        <v>325</v>
      </c>
      <c r="Y42" s="128">
        <f t="shared" si="12"/>
        <v>2.8955360266250008</v>
      </c>
      <c r="Z42" s="75" t="s">
        <v>602</v>
      </c>
      <c r="AA42" t="s">
        <v>338</v>
      </c>
      <c r="AB42"/>
      <c r="AC42" s="73" t="s">
        <v>353</v>
      </c>
      <c r="AE42"/>
      <c r="AF42"/>
      <c r="AG42"/>
    </row>
    <row r="43" spans="1:35" ht="15" hidden="1">
      <c r="A43" s="74" t="str">
        <f t="shared" si="4"/>
        <v>大连隆欣商贸有限公司2312-16</v>
      </c>
      <c r="B43" s="77" t="s">
        <v>261</v>
      </c>
      <c r="C43" s="44" t="s">
        <v>336</v>
      </c>
      <c r="D43" s="44" t="s">
        <v>309</v>
      </c>
      <c r="E43" s="74" t="str">
        <f>VLOOKUP($D43,mapping!$F:$X,5,0)</f>
        <v>231216 舒洁马蹄莲盒面纸200抽3盒 FSC mix70%</v>
      </c>
      <c r="F43" s="80">
        <f>VLOOKUP($D43,mapping!$F:$X,6,0)</f>
        <v>10</v>
      </c>
      <c r="G43" s="80">
        <f>VLOOKUP($D43,mapping!$F:$X,7,0)</f>
        <v>30</v>
      </c>
      <c r="H43" s="80">
        <f>VLOOKUP($D43,mapping!$F:$X,14,0)</f>
        <v>243.21306999999999</v>
      </c>
      <c r="I43" s="81">
        <f t="shared" si="31"/>
        <v>24.321306999999997</v>
      </c>
      <c r="J43" s="113">
        <f t="shared" si="32"/>
        <v>227.40422045</v>
      </c>
      <c r="K43" s="82">
        <f t="shared" si="33"/>
        <v>248.22989895881099</v>
      </c>
      <c r="L43" s="83">
        <f t="shared" si="34"/>
        <v>17.987673837595</v>
      </c>
      <c r="M43" s="82">
        <f t="shared" si="35"/>
        <v>230.24222512121599</v>
      </c>
      <c r="N43" s="100">
        <v>7.0000000000000007E-2</v>
      </c>
      <c r="O43" s="85">
        <f t="shared" si="8"/>
        <v>7.6747408373738661</v>
      </c>
      <c r="P43" s="43">
        <v>45748</v>
      </c>
      <c r="Q43" s="43">
        <v>45777</v>
      </c>
      <c r="R43" s="126">
        <f>H43*2</f>
        <v>486.42613999999998</v>
      </c>
      <c r="S43" s="86">
        <f t="shared" si="28"/>
        <v>31.836590863000005</v>
      </c>
      <c r="T43" s="97">
        <f t="shared" si="27"/>
        <v>6.5450000000000008E-2</v>
      </c>
      <c r="U43" s="92" t="s">
        <v>319</v>
      </c>
      <c r="V43" s="92" t="s">
        <v>325</v>
      </c>
      <c r="Y43" s="128">
        <f t="shared" si="12"/>
        <v>7.6747408373738661</v>
      </c>
      <c r="Z43" s="75" t="s">
        <v>602</v>
      </c>
      <c r="AA43" t="s">
        <v>338</v>
      </c>
      <c r="AB43"/>
      <c r="AC43" s="73" t="s">
        <v>353</v>
      </c>
      <c r="AE43"/>
      <c r="AF43"/>
      <c r="AG43"/>
    </row>
    <row r="44" spans="1:35" ht="15" hidden="1">
      <c r="A44" s="74" t="str">
        <f t="shared" si="4"/>
        <v>黑龙江和盛祥供应链管理有限公司2156-10</v>
      </c>
      <c r="B44" s="77" t="s">
        <v>261</v>
      </c>
      <c r="C44" s="44" t="s">
        <v>354</v>
      </c>
      <c r="D44" s="44" t="s">
        <v>339</v>
      </c>
      <c r="E44" s="74" t="str">
        <f>VLOOKUP($D44,mapping!$F:$X,5,0)</f>
        <v>215610舒洁®北海道轻牛乳系列乳霜纸面巾100抽3包装</v>
      </c>
      <c r="F44" s="80">
        <f>VLOOKUP($D44,mapping!$F:$X,6,0)</f>
        <v>6</v>
      </c>
      <c r="G44" s="80">
        <f>VLOOKUP($D44,mapping!$F:$X,7,0)</f>
        <v>18</v>
      </c>
      <c r="H44" s="80">
        <f>VLOOKUP($D44,mapping!$F:$X,14,0)</f>
        <v>215.4</v>
      </c>
      <c r="I44" s="81">
        <f t="shared" si="31"/>
        <v>35.9</v>
      </c>
      <c r="J44" s="113">
        <f t="shared" si="32"/>
        <v>201.39900000000003</v>
      </c>
      <c r="K44" s="82">
        <f t="shared" si="33"/>
        <v>219.84312041999999</v>
      </c>
      <c r="L44" s="83">
        <f t="shared" si="34"/>
        <v>5.6827246257540072</v>
      </c>
      <c r="M44" s="82">
        <f t="shared" si="35"/>
        <v>214.16039579424597</v>
      </c>
      <c r="N44" s="123">
        <v>2.4970133147632339E-2</v>
      </c>
      <c r="O44" s="85">
        <f>M44/G44</f>
        <v>11.897799766346999</v>
      </c>
      <c r="P44" s="43">
        <v>45748</v>
      </c>
      <c r="Q44" s="43">
        <v>45777</v>
      </c>
      <c r="R44" s="126">
        <f>H44*5</f>
        <v>1077</v>
      </c>
      <c r="S44" s="86">
        <f>R44*N44*0.935</f>
        <v>25.144799229000029</v>
      </c>
      <c r="T44" s="97">
        <f t="shared" ref="T44:T57" si="36">S44/R44</f>
        <v>2.3347074493036239E-2</v>
      </c>
      <c r="U44" s="92" t="s">
        <v>319</v>
      </c>
      <c r="V44" s="92" t="s">
        <v>325</v>
      </c>
      <c r="W44" s="124">
        <v>0.35</v>
      </c>
      <c r="X44" s="89">
        <f>N44+W44</f>
        <v>0.37497013314763233</v>
      </c>
      <c r="Y44" s="129">
        <v>7.4726161830136659</v>
      </c>
      <c r="Z44" s="75" t="s">
        <v>602</v>
      </c>
      <c r="AA44" t="s">
        <v>338</v>
      </c>
      <c r="AB44"/>
      <c r="AC44" s="2" t="s">
        <v>353</v>
      </c>
      <c r="AE44"/>
      <c r="AF44"/>
      <c r="AG44"/>
    </row>
    <row r="45" spans="1:35" ht="15" hidden="1">
      <c r="A45" s="74" t="str">
        <f t="shared" si="4"/>
        <v>黑龙江和盛祥供应链管理有限公司2155-03</v>
      </c>
      <c r="B45" s="77" t="s">
        <v>261</v>
      </c>
      <c r="C45" s="44" t="s">
        <v>342</v>
      </c>
      <c r="D45" s="44" t="s">
        <v>340</v>
      </c>
      <c r="E45" s="74" t="str">
        <f>VLOOKUP($D45,mapping!$F:$X,5,0)</f>
        <v>215503舒洁®北海道轻牛乳系列乳霜纸面巾40抽3包装</v>
      </c>
      <c r="F45" s="80">
        <f>VLOOKUP($D45,mapping!$F:$X,6,0)</f>
        <v>16</v>
      </c>
      <c r="G45" s="80">
        <f>VLOOKUP($D45,mapping!$F:$X,7,0)</f>
        <v>48</v>
      </c>
      <c r="H45" s="80">
        <f>VLOOKUP($D45,mapping!$F:$X,14,0)</f>
        <v>222.4</v>
      </c>
      <c r="I45" s="81">
        <f t="shared" si="31"/>
        <v>13.9</v>
      </c>
      <c r="J45" s="113">
        <f t="shared" si="32"/>
        <v>207.94400000000002</v>
      </c>
      <c r="K45" s="82">
        <f t="shared" si="33"/>
        <v>226.98751152</v>
      </c>
      <c r="L45" s="83">
        <f t="shared" si="34"/>
        <v>10.326341539623971</v>
      </c>
      <c r="M45" s="82">
        <f t="shared" si="35"/>
        <v>216.66116998037603</v>
      </c>
      <c r="N45" s="123">
        <v>4.3946232374100599E-2</v>
      </c>
      <c r="O45" s="85">
        <f t="shared" si="8"/>
        <v>4.5137743745911676</v>
      </c>
      <c r="P45" s="43">
        <v>45748</v>
      </c>
      <c r="Q45" s="43">
        <v>45777</v>
      </c>
      <c r="R45" s="126">
        <f>H45*5</f>
        <v>1112</v>
      </c>
      <c r="S45" s="86">
        <f t="shared" ref="S45:S58" si="37">R45*N45*0.935</f>
        <v>45.69177672399988</v>
      </c>
      <c r="T45" s="97">
        <f t="shared" si="36"/>
        <v>4.1089727269784063E-2</v>
      </c>
      <c r="U45" s="92" t="s">
        <v>319</v>
      </c>
      <c r="V45" s="92" t="s">
        <v>325</v>
      </c>
      <c r="W45" s="124">
        <v>0.38</v>
      </c>
      <c r="X45" s="89">
        <f>N45+W45</f>
        <v>0.42394623237410062</v>
      </c>
      <c r="Y45" s="129">
        <v>2.6535420079245005</v>
      </c>
      <c r="Z45" s="75" t="s">
        <v>602</v>
      </c>
      <c r="AA45" t="s">
        <v>338</v>
      </c>
      <c r="AB45"/>
      <c r="AC45" s="2" t="s">
        <v>353</v>
      </c>
      <c r="AE45"/>
      <c r="AF45"/>
      <c r="AG45"/>
    </row>
    <row r="46" spans="1:35" ht="15" hidden="1">
      <c r="A46" s="74" t="str">
        <f t="shared" si="4"/>
        <v>北京朝批中得商贸有限公司2107-61</v>
      </c>
      <c r="B46" s="77" t="s">
        <v>261</v>
      </c>
      <c r="C46" s="72" t="s">
        <v>313</v>
      </c>
      <c r="D46" s="44" t="s">
        <v>298</v>
      </c>
      <c r="E46" s="74" t="str">
        <f>VLOOKUP($D46,mapping!$F:$X,5,0)</f>
        <v>210761舒洁卡通系列抽纸200抽3包 FSC mix70%</v>
      </c>
      <c r="F46" s="80">
        <f>VLOOKUP($D46,mapping!$F:$X,6,0)</f>
        <v>20</v>
      </c>
      <c r="G46" s="80">
        <f>VLOOKUP($D46,mapping!$F:$X,7,0)</f>
        <v>60</v>
      </c>
      <c r="H46" s="80">
        <f>VLOOKUP($D46,mapping!$F:$X,14,0)</f>
        <v>338.18198999999998</v>
      </c>
      <c r="I46" s="81">
        <f t="shared" si="31"/>
        <v>16.9090995</v>
      </c>
      <c r="J46" s="113">
        <f t="shared" si="32"/>
        <v>316.20016064999999</v>
      </c>
      <c r="K46" s="82">
        <f>J46*1.13*0.966</f>
        <v>345.15777136232697</v>
      </c>
      <c r="L46" s="83">
        <f>J46*N46*1.13</f>
        <v>65.744337402347995</v>
      </c>
      <c r="M46" s="82">
        <f>K46-L46</f>
        <v>279.41343395997899</v>
      </c>
      <c r="N46" s="123">
        <v>0.184</v>
      </c>
      <c r="O46" s="85">
        <f>M46/G46</f>
        <v>4.6568905659996496</v>
      </c>
      <c r="P46" s="43">
        <v>45717</v>
      </c>
      <c r="Q46" s="43">
        <v>45777</v>
      </c>
      <c r="R46" s="126">
        <v>4058.1840000000002</v>
      </c>
      <c r="S46" s="86">
        <f>R46*N46*0.935</f>
        <v>698.16997536000008</v>
      </c>
      <c r="T46" s="97">
        <f>S46/R46</f>
        <v>0.17204</v>
      </c>
      <c r="U46" s="92"/>
      <c r="V46" s="92" t="s">
        <v>325</v>
      </c>
      <c r="Y46" s="128">
        <f>O46</f>
        <v>4.6568905659996496</v>
      </c>
      <c r="Z46" s="75" t="s">
        <v>372</v>
      </c>
      <c r="AA46" t="s">
        <v>343</v>
      </c>
      <c r="AB46" s="75" t="s">
        <v>596</v>
      </c>
      <c r="AC46" s="2" t="s">
        <v>353</v>
      </c>
      <c r="AD46" s="146">
        <f t="shared" ref="AD46:AD49" si="38">S46</f>
        <v>698.16997536000008</v>
      </c>
      <c r="AE46"/>
      <c r="AF46"/>
      <c r="AG46" s="157">
        <f>S46</f>
        <v>698.16997536000008</v>
      </c>
      <c r="AH46" s="146">
        <f t="shared" ref="AH46:AH57" si="39">AG46*1.13</f>
        <v>788.93207215680002</v>
      </c>
    </row>
    <row r="47" spans="1:35" ht="15" hidden="1">
      <c r="A47" s="74" t="str">
        <f t="shared" si="4"/>
        <v>北京朝批中得商贸有限公司2660-00</v>
      </c>
      <c r="B47" s="72" t="s">
        <v>303</v>
      </c>
      <c r="C47" s="72" t="s">
        <v>351</v>
      </c>
      <c r="D47" s="44" t="s">
        <v>307</v>
      </c>
      <c r="E47" s="74" t="str">
        <f>VLOOKUP($D47,mapping!$F:$X,5,0)</f>
        <v>266000舒洁湿厕纸80片</v>
      </c>
      <c r="F47" s="80">
        <f>VLOOKUP($D47,mapping!$F:$X,6,0)</f>
        <v>24</v>
      </c>
      <c r="G47" s="80">
        <f>VLOOKUP($D47,mapping!$F:$X,7,0)</f>
        <v>24</v>
      </c>
      <c r="H47" s="80">
        <f>VLOOKUP($D47,mapping!$F:$X,14,0)</f>
        <v>326.88</v>
      </c>
      <c r="I47" s="81">
        <f t="shared" si="31"/>
        <v>13.62</v>
      </c>
      <c r="J47" s="113">
        <f t="shared" si="32"/>
        <v>305.63280000000003</v>
      </c>
      <c r="K47" s="82">
        <f t="shared" si="33"/>
        <v>333.622651824</v>
      </c>
      <c r="L47" s="83">
        <f t="shared" si="34"/>
        <v>63.547171775999999</v>
      </c>
      <c r="M47" s="82">
        <f t="shared" si="35"/>
        <v>270.07548004800003</v>
      </c>
      <c r="N47" s="123">
        <v>0.184</v>
      </c>
      <c r="O47" s="85">
        <f t="shared" si="8"/>
        <v>11.253145002000002</v>
      </c>
      <c r="P47" s="43">
        <v>45717</v>
      </c>
      <c r="Q47" s="43">
        <v>45777</v>
      </c>
      <c r="R47" s="126">
        <v>653.76</v>
      </c>
      <c r="S47" s="86">
        <f t="shared" si="37"/>
        <v>112.47287040000001</v>
      </c>
      <c r="T47" s="97">
        <f>S47/R47</f>
        <v>0.17204</v>
      </c>
      <c r="U47" s="92"/>
      <c r="V47" s="92" t="s">
        <v>325</v>
      </c>
      <c r="Y47" s="128">
        <f>O47</f>
        <v>11.253145002000002</v>
      </c>
      <c r="Z47" s="75" t="s">
        <v>372</v>
      </c>
      <c r="AA47" t="s">
        <v>343</v>
      </c>
      <c r="AB47" s="75" t="s">
        <v>596</v>
      </c>
      <c r="AC47" s="2" t="s">
        <v>353</v>
      </c>
      <c r="AD47" s="146">
        <f>S47</f>
        <v>112.47287040000001</v>
      </c>
      <c r="AE47"/>
      <c r="AF47"/>
      <c r="AG47" s="157">
        <f>S47</f>
        <v>112.47287040000001</v>
      </c>
      <c r="AH47" s="146">
        <f t="shared" si="39"/>
        <v>127.094343552</v>
      </c>
    </row>
    <row r="48" spans="1:35" ht="15" hidden="1">
      <c r="A48" s="74" t="str">
        <f t="shared" si="4"/>
        <v>北京朝批中得商贸有限公司2103-90</v>
      </c>
      <c r="B48" s="72" t="s">
        <v>303</v>
      </c>
      <c r="C48" s="72" t="s">
        <v>351</v>
      </c>
      <c r="D48" s="44" t="s">
        <v>172</v>
      </c>
      <c r="E48" s="74" t="str">
        <f>VLOOKUP($D48,mapping!$F:$X,5,0)</f>
        <v>210390舒洁小熊印花抽纸3层80抽4包FSC mix70%</v>
      </c>
      <c r="F48" s="80">
        <f>VLOOKUP($D48,mapping!$F:$X,6,0)</f>
        <v>24</v>
      </c>
      <c r="G48" s="80">
        <f>VLOOKUP($D48,mapping!$F:$X,7,0)</f>
        <v>96</v>
      </c>
      <c r="H48" s="80">
        <f>VLOOKUP($D48,mapping!$F:$X,14,0)</f>
        <v>287.22000000000003</v>
      </c>
      <c r="I48" s="81">
        <f t="shared" si="31"/>
        <v>11.967500000000001</v>
      </c>
      <c r="J48" s="113">
        <f t="shared" si="32"/>
        <v>268.55070000000006</v>
      </c>
      <c r="K48" s="82">
        <f t="shared" si="33"/>
        <v>293.14457310600005</v>
      </c>
      <c r="L48" s="83">
        <f t="shared" si="34"/>
        <v>55.837061544000008</v>
      </c>
      <c r="M48" s="82">
        <f t="shared" si="35"/>
        <v>237.30751156200006</v>
      </c>
      <c r="N48" s="123">
        <v>0.184</v>
      </c>
      <c r="O48" s="85">
        <f t="shared" si="8"/>
        <v>2.4719532454375006</v>
      </c>
      <c r="P48" s="43">
        <v>45717</v>
      </c>
      <c r="Q48" s="43">
        <v>45777</v>
      </c>
      <c r="R48" s="126">
        <v>1795.1442999999999</v>
      </c>
      <c r="S48" s="86">
        <f t="shared" si="37"/>
        <v>308.83662537200001</v>
      </c>
      <c r="T48" s="97">
        <f t="shared" si="36"/>
        <v>0.17204000000000003</v>
      </c>
      <c r="U48" s="92"/>
      <c r="V48" s="92" t="s">
        <v>325</v>
      </c>
      <c r="W48" s="131">
        <v>0.05</v>
      </c>
      <c r="X48" s="151">
        <f>N48+W48</f>
        <v>0.23399999999999999</v>
      </c>
      <c r="Y48" s="128">
        <v>2.31</v>
      </c>
      <c r="Z48" s="75" t="s">
        <v>372</v>
      </c>
      <c r="AA48" t="s">
        <v>343</v>
      </c>
      <c r="AB48" s="75" t="s">
        <v>596</v>
      </c>
      <c r="AC48" s="2" t="s">
        <v>353</v>
      </c>
      <c r="AD48" s="146">
        <f t="shared" si="38"/>
        <v>308.83662537200001</v>
      </c>
      <c r="AE48"/>
      <c r="AF48"/>
      <c r="AG48" s="157">
        <f>S48</f>
        <v>308.83662537200001</v>
      </c>
      <c r="AH48" s="146">
        <f t="shared" si="39"/>
        <v>348.98538667035996</v>
      </c>
    </row>
    <row r="49" spans="1:34" ht="15" hidden="1">
      <c r="A49" s="74" t="str">
        <f t="shared" si="4"/>
        <v>北京朝批中得商贸有限公司2701-90</v>
      </c>
      <c r="B49" s="72" t="s">
        <v>303</v>
      </c>
      <c r="C49" s="72" t="s">
        <v>313</v>
      </c>
      <c r="D49" s="44" t="s">
        <v>304</v>
      </c>
      <c r="E49" s="74" t="str">
        <f>VLOOKUP($D49,mapping!$F:$X,5,0)</f>
        <v>270190舒洁小熊印花手帕纸3层10包FSC mix70%</v>
      </c>
      <c r="F49" s="80">
        <f>VLOOKUP($D49,mapping!$F:$X,6,0)</f>
        <v>36</v>
      </c>
      <c r="G49" s="80">
        <f>VLOOKUP($D49,mapping!$F:$X,7,0)</f>
        <v>360</v>
      </c>
      <c r="H49" s="80">
        <f>VLOOKUP($D49,mapping!$F:$X,14,0)</f>
        <v>208.46834000000001</v>
      </c>
      <c r="I49" s="81">
        <f t="shared" si="31"/>
        <v>5.7907872222222228</v>
      </c>
      <c r="J49" s="113">
        <f t="shared" si="32"/>
        <v>194.91789790000001</v>
      </c>
      <c r="K49" s="82">
        <f t="shared" si="33"/>
        <v>212.768478989682</v>
      </c>
      <c r="L49" s="83">
        <f t="shared" si="34"/>
        <v>40.527329331367994</v>
      </c>
      <c r="M49" s="82">
        <f t="shared" si="35"/>
        <v>172.24114965831399</v>
      </c>
      <c r="N49" s="123">
        <v>0.184</v>
      </c>
      <c r="O49" s="85">
        <f t="shared" si="8"/>
        <v>0.47844763793976108</v>
      </c>
      <c r="P49" s="43">
        <v>45717</v>
      </c>
      <c r="Q49" s="43">
        <v>45777</v>
      </c>
      <c r="R49" s="126">
        <v>1598.1179</v>
      </c>
      <c r="S49" s="86">
        <f t="shared" si="37"/>
        <v>274.940203516</v>
      </c>
      <c r="T49" s="97">
        <f t="shared" si="36"/>
        <v>0.17204</v>
      </c>
      <c r="U49" s="92"/>
      <c r="V49" s="92" t="s">
        <v>325</v>
      </c>
      <c r="Y49" s="128">
        <f>O49</f>
        <v>0.47844763793976108</v>
      </c>
      <c r="Z49" s="75" t="s">
        <v>372</v>
      </c>
      <c r="AA49" t="s">
        <v>343</v>
      </c>
      <c r="AB49" s="75" t="s">
        <v>596</v>
      </c>
      <c r="AC49" s="2" t="s">
        <v>353</v>
      </c>
      <c r="AD49" s="146">
        <f t="shared" si="38"/>
        <v>274.940203516</v>
      </c>
      <c r="AE49"/>
      <c r="AF49"/>
      <c r="AG49" s="157">
        <f>S49</f>
        <v>274.940203516</v>
      </c>
      <c r="AH49" s="146">
        <f t="shared" si="39"/>
        <v>310.68242997307999</v>
      </c>
    </row>
    <row r="50" spans="1:34" ht="15" hidden="1">
      <c r="A50" s="74" t="str">
        <f t="shared" si="4"/>
        <v>北京卓腾商贸有限公司2694-30</v>
      </c>
      <c r="B50" s="72" t="s">
        <v>303</v>
      </c>
      <c r="C50" s="44" t="s">
        <v>355</v>
      </c>
      <c r="D50" s="44" t="s">
        <v>20</v>
      </c>
      <c r="E50" s="74" t="str">
        <f>VLOOKUP($D50,mapping!$F:$X,5,0)</f>
        <v>269430舒洁湿厕纸家庭装40抽</v>
      </c>
      <c r="F50" s="80">
        <f>VLOOKUP($D50,mapping!$F:$X,6,0)</f>
        <v>40</v>
      </c>
      <c r="G50" s="80">
        <f>VLOOKUP($D50,mapping!$F:$X,7,0)</f>
        <v>40</v>
      </c>
      <c r="H50" s="80">
        <f>VLOOKUP($D50,mapping!$F:$X,14,0)</f>
        <v>367.52197000000001</v>
      </c>
      <c r="I50" s="81">
        <f t="shared" si="31"/>
        <v>9.1880492500000006</v>
      </c>
      <c r="J50" s="113">
        <f t="shared" si="32"/>
        <v>343.63304195000001</v>
      </c>
      <c r="K50" s="82">
        <f t="shared" si="33"/>
        <v>375.10295593178091</v>
      </c>
      <c r="L50" s="83">
        <f t="shared" si="34"/>
        <v>21.3567935571925</v>
      </c>
      <c r="M50" s="82">
        <f t="shared" si="35"/>
        <v>353.74616237458844</v>
      </c>
      <c r="N50" s="123">
        <v>5.5E-2</v>
      </c>
      <c r="O50" s="85">
        <f t="shared" si="8"/>
        <v>8.8436540593647113</v>
      </c>
      <c r="P50" s="43">
        <v>45748</v>
      </c>
      <c r="Q50" s="43">
        <v>45771</v>
      </c>
      <c r="R50" s="126">
        <f>H50*300</f>
        <v>110256.591</v>
      </c>
      <c r="S50" s="86">
        <f t="shared" si="37"/>
        <v>5669.9451921750006</v>
      </c>
      <c r="T50" s="97">
        <f t="shared" si="36"/>
        <v>5.1425000000000005E-2</v>
      </c>
      <c r="U50" s="92" t="s">
        <v>319</v>
      </c>
      <c r="V50" s="92" t="s">
        <v>325</v>
      </c>
      <c r="Y50" s="128">
        <f>O50</f>
        <v>8.8436540593647113</v>
      </c>
      <c r="Z50" s="75" t="s">
        <v>602</v>
      </c>
      <c r="AA50" t="s">
        <v>338</v>
      </c>
      <c r="AB50"/>
      <c r="AC50" s="2" t="s">
        <v>353</v>
      </c>
      <c r="AE50"/>
      <c r="AF50"/>
      <c r="AG50"/>
    </row>
    <row r="51" spans="1:34" ht="15" hidden="1">
      <c r="A51" s="74" t="str">
        <f t="shared" si="4"/>
        <v>北京朝批中得商贸有限公司2103-90</v>
      </c>
      <c r="B51" s="72" t="s">
        <v>303</v>
      </c>
      <c r="C51" s="72" t="s">
        <v>313</v>
      </c>
      <c r="D51" s="44" t="s">
        <v>359</v>
      </c>
      <c r="E51" s="74" t="str">
        <f>VLOOKUP($D51,mapping!$F:$X,5,0)</f>
        <v>210390舒洁小熊印花抽纸3层80抽4包FSC mix70%</v>
      </c>
      <c r="F51" s="80">
        <f>VLOOKUP($D51,mapping!$F:$X,6,0)</f>
        <v>24</v>
      </c>
      <c r="G51" s="80">
        <f>VLOOKUP($D51,mapping!$F:$X,7,0)</f>
        <v>96</v>
      </c>
      <c r="H51" s="80">
        <f>VLOOKUP($D51,mapping!$F:$X,14,0)</f>
        <v>287.22000000000003</v>
      </c>
      <c r="I51" s="81">
        <f t="shared" ref="I51:I57" si="40">H51/F51</f>
        <v>11.967500000000001</v>
      </c>
      <c r="J51" s="113">
        <f t="shared" ref="J51:J57" si="41">H51*0.935</f>
        <v>268.55070000000006</v>
      </c>
      <c r="K51" s="82">
        <f t="shared" ref="K51:K57" si="42">J51*1.13*0.966</f>
        <v>293.14457310600005</v>
      </c>
      <c r="L51" s="83">
        <f t="shared" ref="L51:L57" si="43">J51*N51*1.13</f>
        <v>64.911720000000003</v>
      </c>
      <c r="M51" s="82">
        <f t="shared" ref="M51:M57" si="44">K51-L51</f>
        <v>228.23285310600005</v>
      </c>
      <c r="N51" s="134">
        <v>0.21390374331550802</v>
      </c>
      <c r="O51" s="85">
        <f t="shared" si="8"/>
        <v>2.3774255531875004</v>
      </c>
      <c r="P51" s="135">
        <v>45717</v>
      </c>
      <c r="Q51" s="135">
        <v>45777</v>
      </c>
      <c r="R51" s="126">
        <v>239.54400000000001</v>
      </c>
      <c r="S51" s="86">
        <f>R51*N51*0.935</f>
        <v>47.908800000000006</v>
      </c>
      <c r="T51" s="97">
        <f t="shared" si="36"/>
        <v>0.2</v>
      </c>
      <c r="U51" s="92"/>
      <c r="V51" s="92" t="s">
        <v>325</v>
      </c>
      <c r="Y51" s="128"/>
      <c r="Z51" s="75" t="s">
        <v>372</v>
      </c>
      <c r="AA51" t="s">
        <v>362</v>
      </c>
      <c r="AB51" s="75" t="s">
        <v>596</v>
      </c>
      <c r="AC51" s="2" t="s">
        <v>353</v>
      </c>
      <c r="AD51" s="146">
        <f t="shared" ref="AD51:AD54" si="45">S51</f>
        <v>47.908800000000006</v>
      </c>
      <c r="AE51"/>
      <c r="AF51"/>
      <c r="AG51" s="157">
        <f>S51</f>
        <v>47.908800000000006</v>
      </c>
      <c r="AH51" s="146">
        <f t="shared" si="39"/>
        <v>54.136944</v>
      </c>
    </row>
    <row r="52" spans="1:34" ht="15" hidden="1">
      <c r="A52" s="74" t="str">
        <f t="shared" si="4"/>
        <v>北京朝批中得商贸有限公司2107-61</v>
      </c>
      <c r="B52" s="72" t="s">
        <v>303</v>
      </c>
      <c r="C52" s="72" t="s">
        <v>313</v>
      </c>
      <c r="D52" s="44" t="s">
        <v>187</v>
      </c>
      <c r="E52" s="74" t="str">
        <f>VLOOKUP($D52,mapping!$F:$X,5,0)</f>
        <v>210761舒洁卡通系列抽纸200抽3包 FSC mix70%</v>
      </c>
      <c r="F52" s="80">
        <f>VLOOKUP($D52,mapping!$F:$X,6,0)</f>
        <v>20</v>
      </c>
      <c r="G52" s="80">
        <f>VLOOKUP($D52,mapping!$F:$X,7,0)</f>
        <v>60</v>
      </c>
      <c r="H52" s="80">
        <f>VLOOKUP($D52,mapping!$F:$X,14,0)</f>
        <v>338.18198999999998</v>
      </c>
      <c r="I52" s="81">
        <f t="shared" si="40"/>
        <v>16.9090995</v>
      </c>
      <c r="J52" s="113">
        <f t="shared" si="41"/>
        <v>316.20016064999999</v>
      </c>
      <c r="K52" s="82">
        <f t="shared" si="42"/>
        <v>345.15777136232697</v>
      </c>
      <c r="L52" s="83">
        <f t="shared" si="43"/>
        <v>76.429129739999993</v>
      </c>
      <c r="M52" s="82">
        <f t="shared" si="44"/>
        <v>268.72864162232696</v>
      </c>
      <c r="N52" s="134">
        <v>0.21390374331550802</v>
      </c>
      <c r="O52" s="85">
        <f t="shared" si="8"/>
        <v>4.4788106937054497</v>
      </c>
      <c r="P52" s="135">
        <v>45717</v>
      </c>
      <c r="Q52" s="135">
        <v>45777</v>
      </c>
      <c r="R52" s="126">
        <v>338.18200000000002</v>
      </c>
      <c r="S52" s="86">
        <f t="shared" si="37"/>
        <v>67.636400000000009</v>
      </c>
      <c r="T52" s="97">
        <f t="shared" si="36"/>
        <v>0.2</v>
      </c>
      <c r="U52" s="92"/>
      <c r="V52" s="92" t="s">
        <v>325</v>
      </c>
      <c r="Y52" s="128"/>
      <c r="Z52" s="75" t="s">
        <v>372</v>
      </c>
      <c r="AA52" t="s">
        <v>362</v>
      </c>
      <c r="AB52" s="75" t="s">
        <v>596</v>
      </c>
      <c r="AC52" s="2" t="s">
        <v>353</v>
      </c>
      <c r="AD52" s="146">
        <f t="shared" si="45"/>
        <v>67.636400000000009</v>
      </c>
      <c r="AE52"/>
      <c r="AF52"/>
      <c r="AG52" s="157">
        <f>S52</f>
        <v>67.636400000000009</v>
      </c>
      <c r="AH52" s="146">
        <f t="shared" si="39"/>
        <v>76.42913200000001</v>
      </c>
    </row>
    <row r="53" spans="1:34" ht="15" hidden="1">
      <c r="A53" s="74" t="str">
        <f t="shared" si="4"/>
        <v>北京朝批中得商贸有限公司2312-16</v>
      </c>
      <c r="B53" s="72" t="s">
        <v>303</v>
      </c>
      <c r="C53" s="72" t="s">
        <v>313</v>
      </c>
      <c r="D53" s="44" t="s">
        <v>195</v>
      </c>
      <c r="E53" s="74" t="str">
        <f>VLOOKUP($D53,mapping!$F:$X,5,0)</f>
        <v>231216 舒洁马蹄莲盒面纸200抽3盒 FSC mix70%</v>
      </c>
      <c r="F53" s="80">
        <f>VLOOKUP($D53,mapping!$F:$X,6,0)</f>
        <v>10</v>
      </c>
      <c r="G53" s="80">
        <f>VLOOKUP($D53,mapping!$F:$X,7,0)</f>
        <v>30</v>
      </c>
      <c r="H53" s="80">
        <f>VLOOKUP($D53,mapping!$F:$X,14,0)</f>
        <v>243.21306999999999</v>
      </c>
      <c r="I53" s="81">
        <f t="shared" si="40"/>
        <v>24.321306999999997</v>
      </c>
      <c r="J53" s="113">
        <f t="shared" si="41"/>
        <v>227.40422045</v>
      </c>
      <c r="K53" s="82">
        <f t="shared" si="42"/>
        <v>248.22989895881099</v>
      </c>
      <c r="L53" s="83">
        <f t="shared" si="43"/>
        <v>54.966153819999988</v>
      </c>
      <c r="M53" s="82">
        <f t="shared" si="44"/>
        <v>193.263745138811</v>
      </c>
      <c r="N53" s="134">
        <v>0.21390374331550802</v>
      </c>
      <c r="O53" s="85">
        <f t="shared" si="8"/>
        <v>6.4421248379603666</v>
      </c>
      <c r="P53" s="135">
        <v>45717</v>
      </c>
      <c r="Q53" s="135">
        <v>45777</v>
      </c>
      <c r="R53" s="126">
        <v>364.81950000000001</v>
      </c>
      <c r="S53" s="86">
        <f t="shared" si="37"/>
        <v>72.963899999999995</v>
      </c>
      <c r="T53" s="97">
        <f t="shared" si="36"/>
        <v>0.19999999999999998</v>
      </c>
      <c r="U53" s="92"/>
      <c r="V53" s="92" t="s">
        <v>325</v>
      </c>
      <c r="Y53" s="128"/>
      <c r="Z53" s="75" t="s">
        <v>372</v>
      </c>
      <c r="AA53" t="s">
        <v>362</v>
      </c>
      <c r="AB53" s="75" t="s">
        <v>596</v>
      </c>
      <c r="AC53" s="2" t="s">
        <v>353</v>
      </c>
      <c r="AD53" s="146">
        <f t="shared" si="45"/>
        <v>72.963899999999995</v>
      </c>
      <c r="AE53"/>
      <c r="AF53"/>
      <c r="AG53" s="157">
        <f>S53</f>
        <v>72.963899999999995</v>
      </c>
      <c r="AH53" s="146">
        <f t="shared" si="39"/>
        <v>82.449206999999987</v>
      </c>
    </row>
    <row r="54" spans="1:34" ht="15" hidden="1">
      <c r="A54" s="74" t="str">
        <f t="shared" si="4"/>
        <v>北京朝批中得商贸有限公司2216-35</v>
      </c>
      <c r="B54" s="72" t="s">
        <v>303</v>
      </c>
      <c r="C54" s="72" t="s">
        <v>313</v>
      </c>
      <c r="D54" s="44" t="s">
        <v>360</v>
      </c>
      <c r="E54" s="74" t="str">
        <f>VLOOKUP($D54,mapping!$F:$X,5,0)</f>
        <v>221635舒洁卷纸3层纯白10粒（蓝色）</v>
      </c>
      <c r="F54" s="80">
        <f>VLOOKUP($D54,mapping!$F:$X,6,0)</f>
        <v>10</v>
      </c>
      <c r="G54" s="80">
        <f>VLOOKUP($D54,mapping!$F:$X,7,0)</f>
        <v>100</v>
      </c>
      <c r="H54" s="80">
        <f>VLOOKUP($D54,mapping!$F:$X,14,0)</f>
        <v>240.89676</v>
      </c>
      <c r="I54" s="81">
        <f t="shared" si="40"/>
        <v>24.089676000000001</v>
      </c>
      <c r="J54" s="113">
        <f t="shared" si="41"/>
        <v>225.2384706</v>
      </c>
      <c r="K54" s="82">
        <f t="shared" si="42"/>
        <v>245.86580973754795</v>
      </c>
      <c r="L54" s="83">
        <f t="shared" si="43"/>
        <v>54.442667759999999</v>
      </c>
      <c r="M54" s="82">
        <f t="shared" si="44"/>
        <v>191.42314197754794</v>
      </c>
      <c r="N54" s="134">
        <v>0.21390374331550802</v>
      </c>
      <c r="O54" s="85">
        <f t="shared" si="8"/>
        <v>1.9142314197754795</v>
      </c>
      <c r="P54" s="135">
        <v>45717</v>
      </c>
      <c r="Q54" s="135">
        <v>45777</v>
      </c>
      <c r="R54" s="126">
        <v>120.44840000000001</v>
      </c>
      <c r="S54" s="86">
        <f t="shared" si="37"/>
        <v>24.089680000000001</v>
      </c>
      <c r="T54" s="97">
        <f t="shared" si="36"/>
        <v>0.2</v>
      </c>
      <c r="U54" s="92"/>
      <c r="V54" s="92" t="s">
        <v>325</v>
      </c>
      <c r="Y54" s="128"/>
      <c r="Z54" s="75" t="s">
        <v>372</v>
      </c>
      <c r="AA54" t="s">
        <v>362</v>
      </c>
      <c r="AB54" s="75" t="s">
        <v>596</v>
      </c>
      <c r="AC54" s="2" t="s">
        <v>353</v>
      </c>
      <c r="AD54" s="146">
        <f t="shared" si="45"/>
        <v>24.089680000000001</v>
      </c>
      <c r="AE54"/>
      <c r="AF54"/>
      <c r="AG54" s="157">
        <f>S54</f>
        <v>24.089680000000001</v>
      </c>
      <c r="AH54" s="146">
        <f t="shared" si="39"/>
        <v>27.2213384</v>
      </c>
    </row>
    <row r="55" spans="1:34" ht="15" hidden="1">
      <c r="A55" s="74" t="str">
        <f t="shared" si="4"/>
        <v>北京朝批中得商贸有限公司2701-90</v>
      </c>
      <c r="B55" s="72" t="s">
        <v>303</v>
      </c>
      <c r="C55" s="72" t="s">
        <v>313</v>
      </c>
      <c r="D55" s="44" t="s">
        <v>361</v>
      </c>
      <c r="E55" s="74" t="str">
        <f>VLOOKUP($D55,mapping!$F:$X,5,0)</f>
        <v>270190舒洁小熊印花手帕纸3层10包FSC mix70%</v>
      </c>
      <c r="F55" s="80">
        <f>VLOOKUP($D55,mapping!$F:$X,6,0)</f>
        <v>36</v>
      </c>
      <c r="G55" s="80">
        <f>VLOOKUP($D55,mapping!$F:$X,7,0)</f>
        <v>360</v>
      </c>
      <c r="H55" s="80">
        <f>VLOOKUP($D55,mapping!$F:$X,14,0)</f>
        <v>208.46834000000001</v>
      </c>
      <c r="I55" s="81">
        <f t="shared" si="40"/>
        <v>5.7907872222222228</v>
      </c>
      <c r="J55" s="113">
        <f t="shared" si="41"/>
        <v>194.91789790000001</v>
      </c>
      <c r="K55" s="82">
        <f t="shared" si="42"/>
        <v>212.768478989682</v>
      </c>
      <c r="L55" s="83">
        <f t="shared" si="43"/>
        <v>47.113844839999999</v>
      </c>
      <c r="M55" s="82">
        <f t="shared" si="44"/>
        <v>165.65463414968201</v>
      </c>
      <c r="N55" s="134">
        <v>0.21390374331550802</v>
      </c>
      <c r="O55" s="85">
        <f t="shared" si="8"/>
        <v>0.46015176152689446</v>
      </c>
      <c r="P55" s="135">
        <v>45717</v>
      </c>
      <c r="Q55" s="135">
        <v>45777</v>
      </c>
      <c r="R55" s="126">
        <v>231.81649999999999</v>
      </c>
      <c r="S55" s="86">
        <f t="shared" si="37"/>
        <v>46.363300000000002</v>
      </c>
      <c r="T55" s="97">
        <f t="shared" si="36"/>
        <v>0.2</v>
      </c>
      <c r="U55" s="92"/>
      <c r="V55" s="92" t="s">
        <v>325</v>
      </c>
      <c r="Y55" s="128"/>
      <c r="Z55" s="75" t="s">
        <v>372</v>
      </c>
      <c r="AA55" t="s">
        <v>362</v>
      </c>
      <c r="AB55" s="75" t="s">
        <v>596</v>
      </c>
      <c r="AC55" s="2" t="s">
        <v>353</v>
      </c>
      <c r="AD55" s="104">
        <v>45.982300884955755</v>
      </c>
      <c r="AE55"/>
      <c r="AF55"/>
      <c r="AG55" s="157">
        <v>45.982300884955755</v>
      </c>
      <c r="AH55" s="146">
        <f t="shared" si="39"/>
        <v>51.96</v>
      </c>
    </row>
    <row r="56" spans="1:34" ht="15" hidden="1">
      <c r="A56" s="74" t="str">
        <f t="shared" si="4"/>
        <v>北京朝批中得商贸有限公司2694-30</v>
      </c>
      <c r="B56" s="72" t="s">
        <v>303</v>
      </c>
      <c r="C56" s="72" t="s">
        <v>313</v>
      </c>
      <c r="D56" s="44" t="s">
        <v>19</v>
      </c>
      <c r="E56" s="74" t="str">
        <f>VLOOKUP($D56,mapping!$F:$X,5,0)</f>
        <v>269430舒洁湿厕纸家庭装40抽</v>
      </c>
      <c r="F56" s="80">
        <f>VLOOKUP($D56,mapping!$F:$X,6,0)</f>
        <v>40</v>
      </c>
      <c r="G56" s="80">
        <f>VLOOKUP($D56,mapping!$F:$X,7,0)</f>
        <v>40</v>
      </c>
      <c r="H56" s="80">
        <f>VLOOKUP($D56,mapping!$F:$X,14,0)</f>
        <v>367.52197000000001</v>
      </c>
      <c r="I56" s="81">
        <f t="shared" si="40"/>
        <v>9.1880492500000006</v>
      </c>
      <c r="J56" s="113">
        <f t="shared" si="41"/>
        <v>343.63304195000001</v>
      </c>
      <c r="K56" s="82">
        <f t="shared" si="42"/>
        <v>375.10295593178091</v>
      </c>
      <c r="L56" s="83">
        <f t="shared" si="43"/>
        <v>83.059965219999995</v>
      </c>
      <c r="M56" s="82">
        <f t="shared" si="44"/>
        <v>292.04299071178093</v>
      </c>
      <c r="N56" s="134">
        <v>0.21390374331550802</v>
      </c>
      <c r="O56" s="85">
        <f t="shared" si="8"/>
        <v>7.3010747677945229</v>
      </c>
      <c r="P56" s="135">
        <v>45717</v>
      </c>
      <c r="Q56" s="135">
        <v>45777</v>
      </c>
      <c r="R56" s="126">
        <v>275.64150000000001</v>
      </c>
      <c r="S56" s="86">
        <f t="shared" si="37"/>
        <v>55.128300000000003</v>
      </c>
      <c r="T56" s="97">
        <f t="shared" si="36"/>
        <v>0.2</v>
      </c>
      <c r="U56" s="92"/>
      <c r="V56" s="92" t="s">
        <v>325</v>
      </c>
      <c r="Y56" s="128"/>
      <c r="Z56" s="75" t="s">
        <v>372</v>
      </c>
      <c r="AA56" t="s">
        <v>362</v>
      </c>
      <c r="AB56" s="75" t="s">
        <v>596</v>
      </c>
      <c r="AC56" s="2" t="s">
        <v>353</v>
      </c>
      <c r="AD56" s="161">
        <v>42.477876106194692</v>
      </c>
      <c r="AE56"/>
      <c r="AF56"/>
      <c r="AG56" s="157">
        <v>42.477876106194692</v>
      </c>
      <c r="AH56" s="146">
        <f t="shared" si="39"/>
        <v>48</v>
      </c>
    </row>
    <row r="57" spans="1:34" ht="15" hidden="1">
      <c r="A57" s="74" t="str">
        <f>C57&amp;D57</f>
        <v>北京朝批中得商贸有限公司2613-00</v>
      </c>
      <c r="B57" s="72" t="s">
        <v>303</v>
      </c>
      <c r="C57" s="72" t="s">
        <v>313</v>
      </c>
      <c r="D57" s="44" t="s">
        <v>244</v>
      </c>
      <c r="E57" s="74" t="str">
        <f>VLOOKUP($D57,mapping!$F:$X,5,0)</f>
        <v>261300舒洁无香湿巾单包装</v>
      </c>
      <c r="F57" s="80">
        <f>VLOOKUP($D57,mapping!$F:$X,6,0)</f>
        <v>30</v>
      </c>
      <c r="G57" s="80">
        <f>VLOOKUP($D57,mapping!$F:$X,7,0)</f>
        <v>30</v>
      </c>
      <c r="H57" s="80">
        <f>VLOOKUP($D57,mapping!$F:$X,14,0)</f>
        <v>91.362830000000002</v>
      </c>
      <c r="I57" s="81">
        <f t="shared" si="40"/>
        <v>3.0454276666666669</v>
      </c>
      <c r="J57" s="113">
        <f t="shared" si="41"/>
        <v>85.424246050000008</v>
      </c>
      <c r="K57" s="82">
        <f t="shared" si="42"/>
        <v>93.247398503258992</v>
      </c>
      <c r="L57" s="83">
        <f t="shared" si="43"/>
        <v>20.64799958</v>
      </c>
      <c r="M57" s="82">
        <f t="shared" si="44"/>
        <v>72.599398923258988</v>
      </c>
      <c r="N57" s="134">
        <v>0.21390374331550802</v>
      </c>
      <c r="O57" s="85">
        <f t="shared" si="8"/>
        <v>2.419979964108633</v>
      </c>
      <c r="P57" s="135">
        <v>45717</v>
      </c>
      <c r="Q57" s="135">
        <v>45777</v>
      </c>
      <c r="R57" s="126">
        <v>91.36269999999999</v>
      </c>
      <c r="S57" s="86">
        <f t="shared" si="37"/>
        <v>18.272539999999999</v>
      </c>
      <c r="T57" s="97">
        <f t="shared" si="36"/>
        <v>0.2</v>
      </c>
      <c r="U57" s="92"/>
      <c r="V57" s="92" t="s">
        <v>325</v>
      </c>
      <c r="Y57" s="128"/>
      <c r="Z57" s="75" t="s">
        <v>372</v>
      </c>
      <c r="AA57" t="s">
        <v>362</v>
      </c>
      <c r="AB57" s="75" t="s">
        <v>596</v>
      </c>
      <c r="AC57" s="2" t="s">
        <v>353</v>
      </c>
      <c r="AD57" s="146">
        <v>0</v>
      </c>
      <c r="AE57"/>
      <c r="AF57"/>
      <c r="AG57" s="157">
        <v>0</v>
      </c>
      <c r="AH57" s="146">
        <f t="shared" si="39"/>
        <v>0</v>
      </c>
    </row>
    <row r="58" spans="1:34" ht="15">
      <c r="A58" s="74" t="str">
        <f>C58&amp;D58</f>
        <v>上海文鑫网络科技有限公司2694-40</v>
      </c>
      <c r="B58" s="72" t="s">
        <v>303</v>
      </c>
      <c r="C58" s="72" t="s">
        <v>301</v>
      </c>
      <c r="D58" s="130" t="s">
        <v>363</v>
      </c>
      <c r="E58" s="74" t="str">
        <f>VLOOKUP($D58,mapping!$F:$X,5,0)</f>
        <v>269440舒洁湿厕纸家庭装40抽10包装</v>
      </c>
      <c r="F58" s="80">
        <f>VLOOKUP($D58,mapping!$F:$X,6,0)</f>
        <v>4</v>
      </c>
      <c r="G58" s="80">
        <f>VLOOKUP($D58,mapping!$F:$X,7,0)</f>
        <v>40</v>
      </c>
      <c r="H58" s="80">
        <f>VLOOKUP($D58,mapping!$F:$X,14,0)</f>
        <v>330.25036</v>
      </c>
      <c r="I58" s="81">
        <f>H58/F58</f>
        <v>82.56259</v>
      </c>
      <c r="J58" s="113">
        <f>H58*0.935</f>
        <v>308.78408660000002</v>
      </c>
      <c r="K58" s="82">
        <f>J58*1.13*0.966</f>
        <v>337.06253325082798</v>
      </c>
      <c r="L58" s="83">
        <f>J58*N58*1.13</f>
        <v>157.06253325082798</v>
      </c>
      <c r="M58" s="82">
        <f>K58-L58</f>
        <v>180</v>
      </c>
      <c r="N58" s="134">
        <v>0.45013133218041268</v>
      </c>
      <c r="O58" s="85">
        <f>M58/G58</f>
        <v>4.5</v>
      </c>
      <c r="P58" s="77">
        <v>45778</v>
      </c>
      <c r="Q58" s="77">
        <v>45808</v>
      </c>
      <c r="R58" s="126">
        <v>22787.274839999998</v>
      </c>
      <c r="S58" s="86">
        <f t="shared" si="37"/>
        <v>9590.5440657585241</v>
      </c>
      <c r="T58" s="97">
        <f>S58/R58</f>
        <v>0.4208727955886859</v>
      </c>
      <c r="U58" s="92"/>
      <c r="V58" s="92" t="s">
        <v>324</v>
      </c>
      <c r="W58" s="267">
        <v>0.4017</v>
      </c>
      <c r="X58" s="89">
        <f>N58+W58</f>
        <v>0.85183133218041274</v>
      </c>
      <c r="Y58" s="128">
        <v>4.3118532656802344</v>
      </c>
      <c r="Z58" s="75" t="s">
        <v>600</v>
      </c>
      <c r="AA58" t="s">
        <v>365</v>
      </c>
      <c r="AB58"/>
      <c r="AC58" s="2"/>
      <c r="AE58"/>
      <c r="AF58"/>
      <c r="AG58"/>
    </row>
    <row r="59" spans="1:34" ht="15">
      <c r="A59" s="74" t="str">
        <f t="shared" ref="A59:A81" si="46">C59&amp;D59</f>
        <v>上海文鑫网络科技有限公司2312-16</v>
      </c>
      <c r="B59" s="72" t="s">
        <v>303</v>
      </c>
      <c r="C59" s="72" t="s">
        <v>301</v>
      </c>
      <c r="D59" s="44" t="s">
        <v>309</v>
      </c>
      <c r="E59" s="74" t="str">
        <f>VLOOKUP($D59,mapping!$F:$X,5,0)</f>
        <v>231216 舒洁马蹄莲盒面纸200抽3盒 FSC mix70%</v>
      </c>
      <c r="F59" s="80">
        <f>VLOOKUP($D59,mapping!$F:$X,6,0)</f>
        <v>10</v>
      </c>
      <c r="G59" s="80">
        <f>VLOOKUP($D59,mapping!$F:$X,7,0)</f>
        <v>30</v>
      </c>
      <c r="H59" s="80">
        <f>VLOOKUP($D59,mapping!$F:$X,14,0)</f>
        <v>243.21306999999999</v>
      </c>
      <c r="I59" s="81">
        <f>H59/F59</f>
        <v>24.321306999999997</v>
      </c>
      <c r="J59" s="113">
        <f>H59*0.935</f>
        <v>227.40422045</v>
      </c>
      <c r="K59" s="82">
        <f>J59*1.13*0.966</f>
        <v>248.22989895881099</v>
      </c>
      <c r="L59" s="83">
        <f>J59*N59*1.13</f>
        <v>10.278670764339999</v>
      </c>
      <c r="M59" s="82">
        <f>K59-L59</f>
        <v>237.95122819447099</v>
      </c>
      <c r="N59" s="134">
        <v>0.04</v>
      </c>
      <c r="O59" s="85">
        <f t="shared" si="8"/>
        <v>7.9317076064823659</v>
      </c>
      <c r="P59" s="77">
        <v>45778</v>
      </c>
      <c r="Q59" s="77">
        <v>45808</v>
      </c>
      <c r="R59" s="126">
        <v>53475.935828877002</v>
      </c>
      <c r="S59" s="86">
        <f>R59*N59*0.935</f>
        <v>2000</v>
      </c>
      <c r="T59" s="97">
        <f>S59/R59</f>
        <v>3.7400000000000003E-2</v>
      </c>
      <c r="U59" s="92"/>
      <c r="V59" s="92" t="s">
        <v>324</v>
      </c>
      <c r="W59" s="267">
        <v>0.16</v>
      </c>
      <c r="X59" s="89">
        <f>N59+W59</f>
        <v>0.2</v>
      </c>
      <c r="Y59" s="128">
        <v>6.5612181712370328</v>
      </c>
      <c r="Z59" s="75" t="s">
        <v>600</v>
      </c>
      <c r="AA59" t="s">
        <v>366</v>
      </c>
      <c r="AB59"/>
      <c r="AC59" s="2"/>
      <c r="AE59"/>
      <c r="AF59"/>
      <c r="AG59"/>
    </row>
    <row r="60" spans="1:34" ht="15" hidden="1">
      <c r="A60" s="74" t="str">
        <f t="shared" si="46"/>
        <v>北京泰和嘉华商贸有限公司2670-30</v>
      </c>
      <c r="B60" s="77" t="s">
        <v>261</v>
      </c>
      <c r="C60" s="72" t="s">
        <v>330</v>
      </c>
      <c r="D60" s="72" t="s">
        <v>302</v>
      </c>
      <c r="E60" s="74" t="str">
        <f>VLOOKUP($D60,mapping!$F:$X,5,0)</f>
        <v>267030舒洁湿厕纸旅行装10包装</v>
      </c>
      <c r="F60" s="80">
        <f>VLOOKUP($D60,mapping!$F:$X,6,0)</f>
        <v>4</v>
      </c>
      <c r="G60" s="80">
        <f>VLOOKUP($D60,mapping!$F:$X,7,0)</f>
        <v>40</v>
      </c>
      <c r="H60" s="80">
        <f>VLOOKUP($D60,mapping!$F:$X,14,0)</f>
        <v>151.33257</v>
      </c>
      <c r="I60" s="81">
        <f>H60/F60</f>
        <v>37.833142500000001</v>
      </c>
      <c r="J60" s="113">
        <f>H60*0.935</f>
        <v>141.49595295</v>
      </c>
      <c r="K60" s="82">
        <f>J60*1.13*0.966</f>
        <v>154.45415232116099</v>
      </c>
      <c r="L60" s="83">
        <f>J60*N60*1.13</f>
        <v>55.96164939172499</v>
      </c>
      <c r="M60" s="82">
        <f>K60-L60</f>
        <v>98.492502929436</v>
      </c>
      <c r="N60" s="84">
        <v>0.35</v>
      </c>
      <c r="O60" s="85">
        <f t="shared" si="8"/>
        <v>2.4623125732358999</v>
      </c>
      <c r="P60" s="77">
        <v>45772</v>
      </c>
      <c r="Q60" s="77">
        <v>45803</v>
      </c>
      <c r="R60" s="86">
        <v>3026.6600000000003</v>
      </c>
      <c r="S60" s="86">
        <f t="shared" ref="S60:S69" si="47">R60*N60*0.935</f>
        <v>990.47448500000019</v>
      </c>
      <c r="T60" s="96">
        <f t="shared" ref="T60:T69" si="48">S60/R60</f>
        <v>0.32725000000000004</v>
      </c>
      <c r="U60" s="92" t="s">
        <v>319</v>
      </c>
      <c r="V60" s="92" t="s">
        <v>327</v>
      </c>
      <c r="Y60" s="128"/>
      <c r="Z60" s="75" t="s">
        <v>611</v>
      </c>
      <c r="AA60" t="s">
        <v>367</v>
      </c>
      <c r="AB60"/>
      <c r="AC60" s="2"/>
      <c r="AE60"/>
      <c r="AF60"/>
      <c r="AG60"/>
    </row>
    <row r="61" spans="1:34" ht="15" hidden="1">
      <c r="A61" s="74" t="str">
        <f t="shared" si="46"/>
        <v>成都东森润园商贸有限公司2701-90</v>
      </c>
      <c r="B61" s="77" t="s">
        <v>261</v>
      </c>
      <c r="C61" s="72" t="s">
        <v>376</v>
      </c>
      <c r="D61" s="72" t="s">
        <v>304</v>
      </c>
      <c r="E61" s="74" t="str">
        <f>VLOOKUP($D61,mapping!$F:$X,5,0)</f>
        <v>270190舒洁小熊印花手帕纸3层10包FSC mix70%</v>
      </c>
      <c r="F61" s="80">
        <f>VLOOKUP($D61,mapping!$F:$X,6,0)</f>
        <v>36</v>
      </c>
      <c r="G61" s="80">
        <f>VLOOKUP($D61,mapping!$F:$X,7,0)</f>
        <v>360</v>
      </c>
      <c r="H61" s="80">
        <f>VLOOKUP($D61,mapping!$F:$X,14,0)</f>
        <v>208.46834000000001</v>
      </c>
      <c r="I61" s="81">
        <f t="shared" ref="I61:I68" si="49">H61/F61</f>
        <v>5.7907872222222228</v>
      </c>
      <c r="J61" s="113">
        <f t="shared" ref="J61:J68" si="50">H61*0.935</f>
        <v>194.91789790000001</v>
      </c>
      <c r="K61" s="82">
        <f t="shared" ref="K61:K68" si="51">J61*1.13*0.966</f>
        <v>212.768478989682</v>
      </c>
      <c r="L61" s="83">
        <f t="shared" ref="L61:L68" si="52">J61*N61*1.13</f>
        <v>6.6077167388099998</v>
      </c>
      <c r="M61" s="82">
        <f t="shared" ref="M61:M68" si="53">K61-L61</f>
        <v>206.16076225087198</v>
      </c>
      <c r="N61" s="84">
        <v>0.03</v>
      </c>
      <c r="O61" s="85">
        <f t="shared" si="8"/>
        <v>0.57266878403019994</v>
      </c>
      <c r="P61" s="135">
        <v>45748</v>
      </c>
      <c r="Q61" s="135">
        <v>45777</v>
      </c>
      <c r="R61" s="126">
        <v>2084.6799999999998</v>
      </c>
      <c r="S61" s="86">
        <f t="shared" si="47"/>
        <v>58.475273999999992</v>
      </c>
      <c r="T61" s="96">
        <f t="shared" si="48"/>
        <v>2.8049999999999999E-2</v>
      </c>
      <c r="U61" s="92" t="s">
        <v>317</v>
      </c>
      <c r="V61" s="92" t="s">
        <v>324</v>
      </c>
      <c r="Z61" s="75" t="s">
        <v>602</v>
      </c>
      <c r="AA61" t="s">
        <v>374</v>
      </c>
      <c r="AB61"/>
      <c r="AD61" s="147"/>
      <c r="AE61"/>
      <c r="AF61"/>
      <c r="AG61"/>
    </row>
    <row r="62" spans="1:34" ht="15" hidden="1">
      <c r="A62" s="74" t="str">
        <f t="shared" si="46"/>
        <v>成都东森润园商贸有限公司2613-00</v>
      </c>
      <c r="B62" s="77" t="s">
        <v>261</v>
      </c>
      <c r="C62" s="72" t="s">
        <v>376</v>
      </c>
      <c r="D62" s="72" t="s">
        <v>306</v>
      </c>
      <c r="E62" s="74" t="str">
        <f>VLOOKUP($D62,mapping!$F:$X,5,0)</f>
        <v>261300舒洁无香湿巾单包装</v>
      </c>
      <c r="F62" s="80">
        <f>VLOOKUP($D62,mapping!$F:$X,6,0)</f>
        <v>30</v>
      </c>
      <c r="G62" s="80">
        <f>VLOOKUP($D62,mapping!$F:$X,7,0)</f>
        <v>30</v>
      </c>
      <c r="H62" s="80">
        <f>VLOOKUP($D62,mapping!$F:$X,14,0)</f>
        <v>91.362830000000002</v>
      </c>
      <c r="I62" s="81">
        <f t="shared" si="49"/>
        <v>3.0454276666666669</v>
      </c>
      <c r="J62" s="113">
        <f t="shared" si="50"/>
        <v>85.424246050000008</v>
      </c>
      <c r="K62" s="82">
        <f t="shared" si="51"/>
        <v>93.247398503258992</v>
      </c>
      <c r="L62" s="83">
        <f t="shared" si="52"/>
        <v>28.958819410949999</v>
      </c>
      <c r="M62" s="82">
        <f t="shared" si="53"/>
        <v>64.288579092308993</v>
      </c>
      <c r="N62" s="84">
        <v>0.3</v>
      </c>
      <c r="O62" s="85">
        <f t="shared" si="8"/>
        <v>2.1429526364102998</v>
      </c>
      <c r="P62" s="135">
        <v>45748</v>
      </c>
      <c r="Q62" s="135">
        <v>45777</v>
      </c>
      <c r="R62" s="126">
        <v>913.63</v>
      </c>
      <c r="S62" s="86">
        <f t="shared" si="47"/>
        <v>256.27321499999999</v>
      </c>
      <c r="T62" s="96">
        <f t="shared" si="48"/>
        <v>0.28049999999999997</v>
      </c>
      <c r="U62" s="92" t="s">
        <v>317</v>
      </c>
      <c r="V62" s="92" t="s">
        <v>324</v>
      </c>
      <c r="Z62" s="75" t="s">
        <v>602</v>
      </c>
      <c r="AA62" t="s">
        <v>374</v>
      </c>
      <c r="AB62"/>
      <c r="AE62"/>
      <c r="AF62"/>
      <c r="AG62"/>
    </row>
    <row r="63" spans="1:34" ht="15" hidden="1">
      <c r="A63" s="74" t="str">
        <f t="shared" si="46"/>
        <v>成都东森润园商贸有限公司2152-04</v>
      </c>
      <c r="B63" s="77" t="s">
        <v>261</v>
      </c>
      <c r="C63" s="72" t="s">
        <v>376</v>
      </c>
      <c r="D63" s="72" t="s">
        <v>321</v>
      </c>
      <c r="E63" s="74" t="str">
        <f>VLOOKUP($D63,mapping!$F:$X,5,0)</f>
        <v>215204舒洁鎏金系列乳霜纸巾40抽8包</v>
      </c>
      <c r="F63" s="80">
        <f>VLOOKUP($D63,mapping!$F:$X,6,0)</f>
        <v>4</v>
      </c>
      <c r="G63" s="80">
        <f>VLOOKUP($D63,mapping!$F:$X,7,0)</f>
        <v>32</v>
      </c>
      <c r="H63" s="80">
        <f>VLOOKUP($D63,mapping!$F:$X,14,0)</f>
        <v>105.79</v>
      </c>
      <c r="I63" s="81">
        <f t="shared" si="49"/>
        <v>26.447500000000002</v>
      </c>
      <c r="J63" s="113">
        <f t="shared" si="50"/>
        <v>98.913650000000018</v>
      </c>
      <c r="K63" s="82">
        <f t="shared" si="51"/>
        <v>107.97216206700001</v>
      </c>
      <c r="L63" s="83">
        <f t="shared" si="52"/>
        <v>33.531727350000004</v>
      </c>
      <c r="M63" s="82">
        <f t="shared" si="53"/>
        <v>74.440434717000016</v>
      </c>
      <c r="N63" s="84">
        <v>0.3</v>
      </c>
      <c r="O63" s="85">
        <f t="shared" si="8"/>
        <v>2.3262635849062505</v>
      </c>
      <c r="P63" s="135">
        <v>45748</v>
      </c>
      <c r="Q63" s="135">
        <v>45777</v>
      </c>
      <c r="R63" s="126">
        <v>3173.64</v>
      </c>
      <c r="S63" s="86">
        <f t="shared" si="47"/>
        <v>890.20601999999997</v>
      </c>
      <c r="T63" s="96">
        <f t="shared" si="48"/>
        <v>0.28050000000000003</v>
      </c>
      <c r="U63" s="92" t="s">
        <v>317</v>
      </c>
      <c r="V63" s="92" t="s">
        <v>324</v>
      </c>
      <c r="Z63" s="75" t="s">
        <v>602</v>
      </c>
      <c r="AA63" t="s">
        <v>374</v>
      </c>
      <c r="AB63"/>
      <c r="AE63"/>
      <c r="AF63"/>
      <c r="AG63"/>
    </row>
    <row r="64" spans="1:34" ht="15">
      <c r="A64" s="74" t="str">
        <f t="shared" si="46"/>
        <v>上海文鑫网络科技有限公司2701-90</v>
      </c>
      <c r="B64" s="77" t="s">
        <v>261</v>
      </c>
      <c r="C64" s="72" t="s">
        <v>301</v>
      </c>
      <c r="D64" s="72" t="s">
        <v>304</v>
      </c>
      <c r="E64" s="74" t="str">
        <f>VLOOKUP($D64,mapping!$F:$X,5,0)</f>
        <v>270190舒洁小熊印花手帕纸3层10包FSC mix70%</v>
      </c>
      <c r="F64" s="80">
        <f>VLOOKUP($D64,mapping!$F:$X,6,0)</f>
        <v>36</v>
      </c>
      <c r="G64" s="80">
        <f>VLOOKUP($D64,mapping!$F:$X,7,0)</f>
        <v>360</v>
      </c>
      <c r="H64" s="80">
        <f>VLOOKUP($D64,mapping!$F:$X,14,0)</f>
        <v>208.46834000000001</v>
      </c>
      <c r="I64" s="81">
        <f t="shared" si="49"/>
        <v>5.7907872222222228</v>
      </c>
      <c r="J64" s="113">
        <f t="shared" si="50"/>
        <v>194.91789790000001</v>
      </c>
      <c r="K64" s="82">
        <f t="shared" si="51"/>
        <v>212.768478989682</v>
      </c>
      <c r="L64" s="83">
        <f t="shared" si="52"/>
        <v>7.9292600865719987</v>
      </c>
      <c r="M64" s="82">
        <f t="shared" si="53"/>
        <v>204.83921890311001</v>
      </c>
      <c r="N64" s="84">
        <v>3.5999999999999997E-2</v>
      </c>
      <c r="O64" s="85">
        <f t="shared" si="8"/>
        <v>0.56899783028641671</v>
      </c>
      <c r="P64" s="77">
        <v>45778</v>
      </c>
      <c r="Q64" s="77">
        <v>45808</v>
      </c>
      <c r="R64" s="126">
        <v>0</v>
      </c>
      <c r="S64" s="86">
        <f t="shared" si="47"/>
        <v>0</v>
      </c>
      <c r="T64" s="96" t="e">
        <f t="shared" si="48"/>
        <v>#DIV/0!</v>
      </c>
      <c r="U64" s="92"/>
      <c r="V64" s="92" t="s">
        <v>324</v>
      </c>
      <c r="W64" s="267">
        <v>0.21299999999999994</v>
      </c>
      <c r="X64" s="89">
        <f t="shared" ref="X64:X69" si="54">N64+W64</f>
        <v>0.24899999999999994</v>
      </c>
      <c r="Y64" s="107">
        <v>0.43867897238210829</v>
      </c>
      <c r="Z64" s="75" t="s">
        <v>600</v>
      </c>
      <c r="AA64" t="s">
        <v>374</v>
      </c>
      <c r="AB64"/>
      <c r="AE64"/>
      <c r="AF64"/>
      <c r="AG64"/>
    </row>
    <row r="65" spans="1:34" ht="15">
      <c r="A65" s="74" t="str">
        <f t="shared" si="46"/>
        <v>上海文鑫网络科技有限公司2103-90</v>
      </c>
      <c r="B65" s="77" t="s">
        <v>261</v>
      </c>
      <c r="C65" s="72" t="s">
        <v>301</v>
      </c>
      <c r="D65" s="72" t="s">
        <v>305</v>
      </c>
      <c r="E65" s="74" t="str">
        <f>VLOOKUP($D65,mapping!$F:$X,5,0)</f>
        <v>210390舒洁小熊印花抽纸3层80抽4包FSC mix70%</v>
      </c>
      <c r="F65" s="80">
        <f>VLOOKUP($D65,mapping!$F:$X,6,0)</f>
        <v>24</v>
      </c>
      <c r="G65" s="80">
        <f>VLOOKUP($D65,mapping!$F:$X,7,0)</f>
        <v>96</v>
      </c>
      <c r="H65" s="80">
        <f>VLOOKUP($D65,mapping!$F:$X,14,0)</f>
        <v>287.22000000000003</v>
      </c>
      <c r="I65" s="81">
        <f t="shared" si="49"/>
        <v>11.967500000000001</v>
      </c>
      <c r="J65" s="113">
        <f t="shared" si="50"/>
        <v>268.55070000000006</v>
      </c>
      <c r="K65" s="82">
        <f t="shared" si="51"/>
        <v>293.14457310600005</v>
      </c>
      <c r="L65" s="83">
        <f t="shared" si="52"/>
        <v>15.476576841000002</v>
      </c>
      <c r="M65" s="82">
        <f t="shared" si="53"/>
        <v>277.66799626500006</v>
      </c>
      <c r="N65" s="84">
        <v>5.0999999999999997E-2</v>
      </c>
      <c r="O65" s="85">
        <f t="shared" si="8"/>
        <v>2.8923749610937506</v>
      </c>
      <c r="P65" s="77">
        <v>45778</v>
      </c>
      <c r="Q65" s="77">
        <v>45808</v>
      </c>
      <c r="R65" s="126">
        <v>78411.89</v>
      </c>
      <c r="S65" s="86">
        <f t="shared" si="47"/>
        <v>3739.0709746499997</v>
      </c>
      <c r="T65" s="96">
        <f t="shared" si="48"/>
        <v>4.7684999999999998E-2</v>
      </c>
      <c r="U65" s="92"/>
      <c r="V65" s="92" t="s">
        <v>324</v>
      </c>
      <c r="W65" s="267">
        <v>0.2</v>
      </c>
      <c r="X65" s="89">
        <f t="shared" si="54"/>
        <v>0.251</v>
      </c>
      <c r="Y65" s="107">
        <v>2.2601618548437501</v>
      </c>
      <c r="Z65" s="75" t="s">
        <v>600</v>
      </c>
      <c r="AA65" t="s">
        <v>374</v>
      </c>
      <c r="AB65"/>
      <c r="AE65"/>
      <c r="AF65"/>
      <c r="AG65"/>
    </row>
    <row r="66" spans="1:34" ht="15">
      <c r="A66" s="74" t="str">
        <f t="shared" si="46"/>
        <v>上海文鑫网络科技有限公司2107-61</v>
      </c>
      <c r="B66" s="77" t="s">
        <v>261</v>
      </c>
      <c r="C66" s="72" t="s">
        <v>301</v>
      </c>
      <c r="D66" s="72" t="s">
        <v>298</v>
      </c>
      <c r="E66" s="74" t="str">
        <f>VLOOKUP($D66,mapping!$F:$X,5,0)</f>
        <v>210761舒洁卡通系列抽纸200抽3包 FSC mix70%</v>
      </c>
      <c r="F66" s="80">
        <f>VLOOKUP($D66,mapping!$F:$X,6,0)</f>
        <v>20</v>
      </c>
      <c r="G66" s="80">
        <f>VLOOKUP($D66,mapping!$F:$X,7,0)</f>
        <v>60</v>
      </c>
      <c r="H66" s="80">
        <f>VLOOKUP($D66,mapping!$F:$X,14,0)</f>
        <v>338.18198999999998</v>
      </c>
      <c r="I66" s="81">
        <f t="shared" si="49"/>
        <v>16.9090995</v>
      </c>
      <c r="J66" s="113">
        <f t="shared" si="50"/>
        <v>316.20016064999999</v>
      </c>
      <c r="K66" s="82">
        <f t="shared" si="51"/>
        <v>345.15777136232697</v>
      </c>
      <c r="L66" s="83">
        <f t="shared" si="52"/>
        <v>23.939514162811498</v>
      </c>
      <c r="M66" s="82">
        <f t="shared" si="53"/>
        <v>321.21825719951545</v>
      </c>
      <c r="N66" s="84">
        <v>6.7000000000000004E-2</v>
      </c>
      <c r="O66" s="85">
        <f t="shared" si="8"/>
        <v>5.3536376199919244</v>
      </c>
      <c r="P66" s="77">
        <v>45778</v>
      </c>
      <c r="Q66" s="77">
        <v>45808</v>
      </c>
      <c r="R66" s="126">
        <v>162327.35999999999</v>
      </c>
      <c r="S66" s="86">
        <f t="shared" si="47"/>
        <v>10168.997467200001</v>
      </c>
      <c r="T66" s="96">
        <f t="shared" si="48"/>
        <v>6.2645000000000006E-2</v>
      </c>
      <c r="U66" s="92"/>
      <c r="V66" s="92" t="s">
        <v>324</v>
      </c>
      <c r="W66" s="267">
        <v>0.21299999999999999</v>
      </c>
      <c r="X66" s="89">
        <f t="shared" si="54"/>
        <v>0.28000000000000003</v>
      </c>
      <c r="Y66" s="107">
        <v>4.0852006755444501</v>
      </c>
      <c r="Z66" s="75" t="s">
        <v>600</v>
      </c>
      <c r="AA66" t="s">
        <v>374</v>
      </c>
      <c r="AB66"/>
      <c r="AE66"/>
      <c r="AF66"/>
      <c r="AG66"/>
    </row>
    <row r="67" spans="1:34" ht="15">
      <c r="A67" s="74" t="str">
        <f t="shared" si="46"/>
        <v>上海文鑫网络科技有限公司2291-60</v>
      </c>
      <c r="B67" s="77" t="s">
        <v>261</v>
      </c>
      <c r="C67" s="72" t="s">
        <v>301</v>
      </c>
      <c r="D67" s="72" t="s">
        <v>375</v>
      </c>
      <c r="E67" s="74" t="str">
        <f>VLOOKUP($D67,mapping!$F:$X,5,0)</f>
        <v>229160舒洁绿茶洋甘菊印花清香卷纸10粒</v>
      </c>
      <c r="F67" s="80">
        <f>VLOOKUP($D67,mapping!$F:$X,6,0)</f>
        <v>5</v>
      </c>
      <c r="G67" s="80">
        <f>VLOOKUP($D67,mapping!$F:$X,7,0)</f>
        <v>50</v>
      </c>
      <c r="H67" s="80">
        <f>VLOOKUP($D67,mapping!$F:$X,14,0)</f>
        <v>153.64888999999999</v>
      </c>
      <c r="I67" s="81">
        <f t="shared" si="49"/>
        <v>30.729778</v>
      </c>
      <c r="J67" s="113">
        <f t="shared" si="50"/>
        <v>143.66171215</v>
      </c>
      <c r="K67" s="82">
        <f t="shared" si="51"/>
        <v>156.81825174869698</v>
      </c>
      <c r="L67" s="83">
        <f t="shared" si="52"/>
        <v>16.720786677138499</v>
      </c>
      <c r="M67" s="82">
        <f t="shared" si="53"/>
        <v>140.09746507155847</v>
      </c>
      <c r="N67" s="84">
        <v>0.10299999999999999</v>
      </c>
      <c r="O67" s="85">
        <f t="shared" si="8"/>
        <v>2.8019493014311694</v>
      </c>
      <c r="P67" s="77">
        <v>45778</v>
      </c>
      <c r="Q67" s="77">
        <v>45808</v>
      </c>
      <c r="R67" s="126">
        <v>49167.65</v>
      </c>
      <c r="S67" s="86">
        <f t="shared" si="47"/>
        <v>4735.0905332499997</v>
      </c>
      <c r="T67" s="96">
        <f t="shared" si="48"/>
        <v>9.6304999999999988E-2</v>
      </c>
      <c r="U67" s="92"/>
      <c r="V67" s="92" t="s">
        <v>324</v>
      </c>
      <c r="W67" s="267">
        <v>0.19199999999999987</v>
      </c>
      <c r="X67" s="89">
        <f t="shared" si="54"/>
        <v>0.29499999999999987</v>
      </c>
      <c r="Y67" s="107">
        <v>2.1785724000698901</v>
      </c>
      <c r="Z67" s="75" t="s">
        <v>600</v>
      </c>
      <c r="AA67" t="s">
        <v>374</v>
      </c>
      <c r="AB67"/>
      <c r="AE67"/>
      <c r="AF67"/>
      <c r="AG67"/>
    </row>
    <row r="68" spans="1:34" ht="15">
      <c r="A68" s="74" t="str">
        <f t="shared" si="46"/>
        <v>上海文鑫网络科技有限公司2216-35</v>
      </c>
      <c r="B68" s="77" t="s">
        <v>261</v>
      </c>
      <c r="C68" s="72" t="s">
        <v>301</v>
      </c>
      <c r="D68" s="72" t="s">
        <v>308</v>
      </c>
      <c r="E68" s="74" t="str">
        <f>VLOOKUP($D68,mapping!$F:$X,5,0)</f>
        <v>221635舒洁卷纸3层纯白10粒（蓝色）</v>
      </c>
      <c r="F68" s="80">
        <f>VLOOKUP($D68,mapping!$F:$X,6,0)</f>
        <v>10</v>
      </c>
      <c r="G68" s="80">
        <f>VLOOKUP($D68,mapping!$F:$X,7,0)</f>
        <v>100</v>
      </c>
      <c r="H68" s="80">
        <f>VLOOKUP($D68,mapping!$F:$X,14,0)</f>
        <v>240.89676</v>
      </c>
      <c r="I68" s="81">
        <f t="shared" si="49"/>
        <v>24.089676000000001</v>
      </c>
      <c r="J68" s="113">
        <f t="shared" si="50"/>
        <v>225.2384706</v>
      </c>
      <c r="K68" s="82">
        <f t="shared" si="51"/>
        <v>245.86580973754795</v>
      </c>
      <c r="L68" s="83">
        <f t="shared" si="52"/>
        <v>24.179349818909998</v>
      </c>
      <c r="M68" s="82">
        <f t="shared" si="53"/>
        <v>221.68645991863795</v>
      </c>
      <c r="N68" s="84">
        <v>9.5000000000000001E-2</v>
      </c>
      <c r="O68" s="85">
        <f t="shared" si="8"/>
        <v>2.2168645991863793</v>
      </c>
      <c r="P68" s="77">
        <v>45778</v>
      </c>
      <c r="Q68" s="77">
        <v>45808</v>
      </c>
      <c r="R68" s="126">
        <v>85277.46</v>
      </c>
      <c r="S68" s="86">
        <f>R68*N68*0.935</f>
        <v>7574.7703845000015</v>
      </c>
      <c r="T68" s="96">
        <f t="shared" si="48"/>
        <v>8.8825000000000015E-2</v>
      </c>
      <c r="U68" s="92"/>
      <c r="V68" s="92" t="s">
        <v>324</v>
      </c>
      <c r="W68" s="267">
        <v>0.192</v>
      </c>
      <c r="X68" s="89">
        <f t="shared" si="54"/>
        <v>0.28700000000000003</v>
      </c>
      <c r="Y68" s="107">
        <v>1.7281872133726199</v>
      </c>
      <c r="Z68" s="75" t="s">
        <v>600</v>
      </c>
      <c r="AA68" t="s">
        <v>374</v>
      </c>
      <c r="AB68"/>
      <c r="AE68"/>
      <c r="AF68"/>
      <c r="AG68"/>
    </row>
    <row r="69" spans="1:34" ht="15">
      <c r="A69" s="74" t="str">
        <f t="shared" si="46"/>
        <v>上海文鑫网络科技有限公司2613-00</v>
      </c>
      <c r="B69" s="77" t="s">
        <v>261</v>
      </c>
      <c r="C69" s="72" t="s">
        <v>301</v>
      </c>
      <c r="D69" s="72" t="s">
        <v>306</v>
      </c>
      <c r="E69" s="74" t="str">
        <f>VLOOKUP($D69,mapping!$F:$X,5,0)</f>
        <v>261300舒洁无香湿巾单包装</v>
      </c>
      <c r="F69" s="80">
        <f>VLOOKUP($D69,mapping!$F:$X,6,0)</f>
        <v>30</v>
      </c>
      <c r="G69" s="80">
        <f>VLOOKUP($D69,mapping!$F:$X,7,0)</f>
        <v>30</v>
      </c>
      <c r="H69" s="80">
        <f>VLOOKUP($D69,mapping!$F:$X,14,0)</f>
        <v>91.362830000000002</v>
      </c>
      <c r="I69" s="81">
        <f>H69/F69</f>
        <v>3.0454276666666669</v>
      </c>
      <c r="J69" s="113">
        <f>H69*0.935</f>
        <v>85.424246050000008</v>
      </c>
      <c r="K69" s="82">
        <f>J69*1.13*0.966</f>
        <v>93.247398503258992</v>
      </c>
      <c r="L69" s="83">
        <f>J69*N69*1.13</f>
        <v>2.7993525430584998</v>
      </c>
      <c r="M69" s="82">
        <f>K69-L69</f>
        <v>90.448045960200488</v>
      </c>
      <c r="N69" s="84">
        <v>2.9000000000000001E-2</v>
      </c>
      <c r="O69" s="85">
        <f t="shared" si="8"/>
        <v>3.0149348653400163</v>
      </c>
      <c r="P69" s="77">
        <v>45778</v>
      </c>
      <c r="Q69" s="77">
        <v>45808</v>
      </c>
      <c r="R69" s="126">
        <v>45498.68</v>
      </c>
      <c r="S69" s="86">
        <f t="shared" si="47"/>
        <v>1233.6967082000001</v>
      </c>
      <c r="T69" s="96">
        <f t="shared" si="48"/>
        <v>2.7115000000000004E-2</v>
      </c>
      <c r="U69" s="92"/>
      <c r="V69" s="92" t="s">
        <v>324</v>
      </c>
      <c r="W69" s="267">
        <v>0.44</v>
      </c>
      <c r="X69" s="89">
        <f t="shared" si="54"/>
        <v>0.46900000000000003</v>
      </c>
      <c r="Y69" s="107">
        <v>1.5991703608046832</v>
      </c>
      <c r="Z69" s="75" t="s">
        <v>600</v>
      </c>
      <c r="AA69" t="s">
        <v>374</v>
      </c>
      <c r="AB69"/>
      <c r="AE69"/>
      <c r="AF69"/>
      <c r="AG69"/>
    </row>
    <row r="70" spans="1:34" ht="15" hidden="1">
      <c r="A70" s="74" t="str">
        <f t="shared" si="46"/>
        <v>新疆八点半供应链管理有限公司2670-30</v>
      </c>
      <c r="B70" s="77" t="s">
        <v>261</v>
      </c>
      <c r="C70" s="72" t="s">
        <v>423</v>
      </c>
      <c r="D70" s="72" t="s">
        <v>422</v>
      </c>
      <c r="E70" s="74" t="str">
        <f>VLOOKUP($D70,mapping!$F:$X,5,0)</f>
        <v>267030舒洁湿厕纸旅行装10包装</v>
      </c>
      <c r="F70" s="80">
        <f>VLOOKUP($D70,mapping!$F:$X,6,0)</f>
        <v>4</v>
      </c>
      <c r="G70" s="80">
        <f>VLOOKUP($D70,mapping!$F:$X,7,0)</f>
        <v>40</v>
      </c>
      <c r="H70" s="80">
        <f>VLOOKUP($D70,mapping!$F:$X,14,0)</f>
        <v>151.33257</v>
      </c>
      <c r="I70" s="81">
        <f>H70/F70</f>
        <v>37.833142500000001</v>
      </c>
      <c r="J70" s="113">
        <f>H70*0.935</f>
        <v>141.49595295</v>
      </c>
      <c r="K70" s="82">
        <f t="shared" ref="K70:K77" si="55">J70*1.13*0.966</f>
        <v>154.45415232116099</v>
      </c>
      <c r="L70" s="83">
        <f t="shared" ref="L70:L77" si="56">J70*N70*1.13</f>
        <v>0</v>
      </c>
      <c r="M70" s="82">
        <f t="shared" ref="M70:M77" si="57">K70-L70</f>
        <v>154.45415232116099</v>
      </c>
      <c r="N70" s="84"/>
      <c r="O70" s="85">
        <f t="shared" si="8"/>
        <v>3.8613538080290248</v>
      </c>
      <c r="P70" s="135">
        <v>45689</v>
      </c>
      <c r="Q70" s="135">
        <v>45716</v>
      </c>
      <c r="R70" s="126">
        <v>28850</v>
      </c>
      <c r="S70" s="86">
        <f>22761.59/1.13</f>
        <v>20143.000000000004</v>
      </c>
      <c r="T70" s="96">
        <f>S70/R70</f>
        <v>0.69819757365684587</v>
      </c>
      <c r="U70" s="92"/>
      <c r="V70" s="92" t="s">
        <v>325</v>
      </c>
      <c r="X70" s="89"/>
      <c r="Z70" s="73" t="s">
        <v>578</v>
      </c>
      <c r="AA70" t="s">
        <v>424</v>
      </c>
      <c r="AB70" s="122" t="s">
        <v>585</v>
      </c>
      <c r="AC70" s="2" t="s">
        <v>353</v>
      </c>
      <c r="AD70" s="146">
        <f>S70</f>
        <v>20143.000000000004</v>
      </c>
      <c r="AE70"/>
      <c r="AF70"/>
      <c r="AG70" s="104">
        <f>S70</f>
        <v>20143.000000000004</v>
      </c>
      <c r="AH70" s="146">
        <f>AG70*1.13</f>
        <v>22761.590000000004</v>
      </c>
    </row>
    <row r="71" spans="1:34" ht="15" hidden="1">
      <c r="A71" s="74" t="str">
        <f t="shared" si="46"/>
        <v>北京泰和嘉华商贸有限公司2694-30</v>
      </c>
      <c r="B71" s="77" t="s">
        <v>407</v>
      </c>
      <c r="C71" s="72" t="s">
        <v>358</v>
      </c>
      <c r="D71" s="72" t="s">
        <v>19</v>
      </c>
      <c r="E71" s="74" t="str">
        <f>VLOOKUP($D71,mapping!$F:$X,5,0)</f>
        <v>269430舒洁湿厕纸家庭装40抽</v>
      </c>
      <c r="F71" s="80">
        <f>VLOOKUP($D71,mapping!$F:$X,6,0)</f>
        <v>40</v>
      </c>
      <c r="G71" s="80">
        <f>VLOOKUP($D71,mapping!$F:$X,7,0)</f>
        <v>40</v>
      </c>
      <c r="H71" s="80">
        <f>VLOOKUP($D71,mapping!$F:$X,14,0)</f>
        <v>367.52197000000001</v>
      </c>
      <c r="I71" s="81">
        <f t="shared" ref="I71:I77" si="58">H71/F71</f>
        <v>9.1880492500000006</v>
      </c>
      <c r="J71" s="113">
        <f t="shared" ref="J71:J77" si="59">H71*0.935</f>
        <v>343.63304195000001</v>
      </c>
      <c r="K71" s="82">
        <f t="shared" si="55"/>
        <v>375.10295593178091</v>
      </c>
      <c r="L71" s="83">
        <f t="shared" si="56"/>
        <v>25.628152268631002</v>
      </c>
      <c r="M71" s="82">
        <f t="shared" si="57"/>
        <v>349.47480366314988</v>
      </c>
      <c r="N71" s="84">
        <v>6.6000000000000003E-2</v>
      </c>
      <c r="O71" s="85">
        <f t="shared" ref="O71:O77" si="60">M71/G71</f>
        <v>8.7368700915787478</v>
      </c>
      <c r="P71" s="135">
        <v>45748</v>
      </c>
      <c r="Q71" s="135">
        <v>45777</v>
      </c>
      <c r="R71" s="126">
        <v>73504.394</v>
      </c>
      <c r="S71" s="86">
        <f>R71*N71*0.935</f>
        <v>4535.9561537400004</v>
      </c>
      <c r="T71" s="96">
        <f t="shared" ref="T71:T77" si="61">S71/R71</f>
        <v>6.1710000000000008E-2</v>
      </c>
      <c r="U71" s="92" t="s">
        <v>319</v>
      </c>
      <c r="V71" s="92" t="s">
        <v>325</v>
      </c>
      <c r="W71" s="87">
        <v>0.45</v>
      </c>
      <c r="X71" s="89">
        <f t="shared" ref="X71:X79" si="62">N71+W71</f>
        <v>0.51600000000000001</v>
      </c>
      <c r="Y71" s="109">
        <v>4.3684350457893739</v>
      </c>
      <c r="Z71" s="75" t="s">
        <v>611</v>
      </c>
      <c r="AA71" t="s">
        <v>577</v>
      </c>
      <c r="AB71"/>
      <c r="AC71" s="2" t="s">
        <v>353</v>
      </c>
      <c r="AD71" s="146">
        <f t="shared" ref="AD71:AD77" si="63">S71</f>
        <v>4535.9561537400004</v>
      </c>
      <c r="AE71"/>
      <c r="AF71"/>
      <c r="AG71"/>
    </row>
    <row r="72" spans="1:34" ht="15" hidden="1">
      <c r="A72" s="74" t="str">
        <f t="shared" si="46"/>
        <v>北京宝诚恒信商贸有限公司2694-30</v>
      </c>
      <c r="B72" s="77" t="s">
        <v>399</v>
      </c>
      <c r="C72" s="72" t="s">
        <v>576</v>
      </c>
      <c r="D72" s="72" t="s">
        <v>19</v>
      </c>
      <c r="E72" s="74" t="str">
        <f>VLOOKUP($D72,mapping!$F:$X,5,0)</f>
        <v>269430舒洁湿厕纸家庭装40抽</v>
      </c>
      <c r="F72" s="80">
        <f>VLOOKUP($D72,mapping!$F:$X,6,0)</f>
        <v>40</v>
      </c>
      <c r="G72" s="80">
        <f>VLOOKUP($D72,mapping!$F:$X,7,0)</f>
        <v>40</v>
      </c>
      <c r="H72" s="80">
        <f>VLOOKUP($D72,mapping!$F:$X,14,0)</f>
        <v>367.52197000000001</v>
      </c>
      <c r="I72" s="81">
        <f t="shared" si="58"/>
        <v>9.1880492500000006</v>
      </c>
      <c r="J72" s="113">
        <f t="shared" si="59"/>
        <v>343.63304195000001</v>
      </c>
      <c r="K72" s="82">
        <f t="shared" si="55"/>
        <v>375.10295593178091</v>
      </c>
      <c r="L72" s="83">
        <f t="shared" si="56"/>
        <v>20.5801828823855</v>
      </c>
      <c r="M72" s="82">
        <f t="shared" si="57"/>
        <v>354.52277304939543</v>
      </c>
      <c r="N72" s="84">
        <v>5.2999999999999999E-2</v>
      </c>
      <c r="O72" s="85">
        <f t="shared" si="60"/>
        <v>8.8630693262348856</v>
      </c>
      <c r="P72" s="135">
        <v>45837</v>
      </c>
      <c r="Q72" s="135">
        <v>45838</v>
      </c>
      <c r="R72" s="126">
        <v>73504.394</v>
      </c>
      <c r="S72" s="86">
        <f t="shared" ref="S72:S79" si="64">R72*N72*0.935</f>
        <v>3642.5102446699998</v>
      </c>
      <c r="T72" s="96">
        <f t="shared" si="61"/>
        <v>4.9554999999999995E-2</v>
      </c>
      <c r="U72" s="92" t="s">
        <v>319</v>
      </c>
      <c r="V72" s="92" t="s">
        <v>325</v>
      </c>
      <c r="W72" s="87">
        <v>0.45</v>
      </c>
      <c r="X72" s="89">
        <f t="shared" si="62"/>
        <v>0.503</v>
      </c>
      <c r="Y72" s="109">
        <v>4.4946342804455108</v>
      </c>
      <c r="Z72" s="75" t="s">
        <v>602</v>
      </c>
      <c r="AA72" t="s">
        <v>577</v>
      </c>
      <c r="AB72"/>
      <c r="AC72" s="2" t="s">
        <v>353</v>
      </c>
      <c r="AD72" s="146">
        <f t="shared" si="63"/>
        <v>3642.5102446699998</v>
      </c>
      <c r="AE72"/>
      <c r="AF72"/>
      <c r="AG72"/>
    </row>
    <row r="73" spans="1:34" ht="15" hidden="1">
      <c r="A73" s="74" t="str">
        <f t="shared" si="46"/>
        <v>新疆八点半供应链管理有限公司2660-00</v>
      </c>
      <c r="B73" s="77" t="s">
        <v>575</v>
      </c>
      <c r="C73" s="72" t="s">
        <v>423</v>
      </c>
      <c r="D73" s="72" t="s">
        <v>47</v>
      </c>
      <c r="E73" s="74" t="str">
        <f>VLOOKUP($D73,mapping!$F:$X,5,0)</f>
        <v>266000舒洁湿厕纸80片</v>
      </c>
      <c r="F73" s="80">
        <f>VLOOKUP($D73,mapping!$F:$X,6,0)</f>
        <v>24</v>
      </c>
      <c r="G73" s="80">
        <f>VLOOKUP($D73,mapping!$F:$X,7,0)</f>
        <v>24</v>
      </c>
      <c r="H73" s="80">
        <f>VLOOKUP($D73,mapping!$F:$X,14,0)</f>
        <v>326.88</v>
      </c>
      <c r="I73" s="81">
        <f t="shared" si="58"/>
        <v>13.62</v>
      </c>
      <c r="J73" s="113">
        <f t="shared" si="59"/>
        <v>305.63280000000003</v>
      </c>
      <c r="K73" s="82">
        <f t="shared" si="55"/>
        <v>333.622651824</v>
      </c>
      <c r="L73" s="83">
        <f t="shared" si="56"/>
        <v>9.9119773367999997</v>
      </c>
      <c r="M73" s="82">
        <f t="shared" si="57"/>
        <v>323.71067448719998</v>
      </c>
      <c r="N73" s="84">
        <v>2.87E-2</v>
      </c>
      <c r="O73" s="85">
        <f t="shared" si="60"/>
        <v>13.487944770299999</v>
      </c>
      <c r="P73" s="43">
        <v>45809</v>
      </c>
      <c r="Q73" s="43">
        <v>45838</v>
      </c>
      <c r="R73" s="126">
        <v>163440</v>
      </c>
      <c r="S73" s="86">
        <f t="shared" si="64"/>
        <v>4385.83068</v>
      </c>
      <c r="T73" s="96">
        <f t="shared" si="61"/>
        <v>2.6834500000000001E-2</v>
      </c>
      <c r="U73" s="92" t="s">
        <v>319</v>
      </c>
      <c r="V73" s="92" t="s">
        <v>325</v>
      </c>
      <c r="X73" s="89">
        <f t="shared" si="62"/>
        <v>2.87E-2</v>
      </c>
      <c r="Y73" s="109"/>
      <c r="Z73" s="75" t="s">
        <v>611</v>
      </c>
      <c r="AA73" t="s">
        <v>577</v>
      </c>
      <c r="AB73"/>
      <c r="AC73" s="2" t="s">
        <v>353</v>
      </c>
      <c r="AD73" s="146">
        <f t="shared" si="63"/>
        <v>4385.83068</v>
      </c>
      <c r="AE73"/>
      <c r="AF73"/>
      <c r="AG73"/>
    </row>
    <row r="74" spans="1:34" ht="15" hidden="1">
      <c r="A74" s="74" t="str">
        <f t="shared" si="46"/>
        <v>伊犁紫金花商贸有限责任公司2694-30</v>
      </c>
      <c r="B74" s="77" t="s">
        <v>416</v>
      </c>
      <c r="C74" s="72" t="s">
        <v>417</v>
      </c>
      <c r="D74" s="72" t="s">
        <v>19</v>
      </c>
      <c r="E74" s="74" t="str">
        <f>VLOOKUP($D74,mapping!$F:$X,5,0)</f>
        <v>269430舒洁湿厕纸家庭装40抽</v>
      </c>
      <c r="F74" s="80">
        <f>VLOOKUP($D74,mapping!$F:$X,6,0)</f>
        <v>40</v>
      </c>
      <c r="G74" s="80">
        <f>VLOOKUP($D74,mapping!$F:$X,7,0)</f>
        <v>40</v>
      </c>
      <c r="H74" s="80">
        <f>VLOOKUP($D74,mapping!$F:$X,14,0)</f>
        <v>367.52197000000001</v>
      </c>
      <c r="I74" s="81">
        <f t="shared" si="58"/>
        <v>9.1880492500000006</v>
      </c>
      <c r="J74" s="113">
        <f t="shared" si="59"/>
        <v>343.63304195000001</v>
      </c>
      <c r="K74" s="82">
        <f t="shared" si="55"/>
        <v>375.10295593178091</v>
      </c>
      <c r="L74" s="83">
        <f t="shared" si="56"/>
        <v>174.73740183157497</v>
      </c>
      <c r="M74" s="82">
        <f t="shared" si="57"/>
        <v>200.36555410020594</v>
      </c>
      <c r="N74" s="84">
        <v>0.45</v>
      </c>
      <c r="O74" s="85">
        <f t="shared" si="60"/>
        <v>5.0091388525051483</v>
      </c>
      <c r="P74" s="135">
        <v>45809</v>
      </c>
      <c r="Q74" s="135">
        <v>45838</v>
      </c>
      <c r="R74" s="126">
        <v>7350.4394000000002</v>
      </c>
      <c r="S74" s="86">
        <f t="shared" si="64"/>
        <v>3092.6973775500005</v>
      </c>
      <c r="T74" s="96">
        <f t="shared" si="61"/>
        <v>0.42075000000000007</v>
      </c>
      <c r="U74" s="92" t="s">
        <v>319</v>
      </c>
      <c r="V74" s="92" t="s">
        <v>325</v>
      </c>
      <c r="X74" s="89">
        <f t="shared" si="62"/>
        <v>0.45</v>
      </c>
      <c r="Y74" s="109">
        <v>5.0091388525051483</v>
      </c>
      <c r="Z74" s="75" t="s">
        <v>602</v>
      </c>
      <c r="AA74" t="s">
        <v>577</v>
      </c>
      <c r="AB74"/>
      <c r="AC74" s="2" t="s">
        <v>353</v>
      </c>
      <c r="AD74" s="146">
        <f t="shared" si="63"/>
        <v>3092.6973775500005</v>
      </c>
      <c r="AE74"/>
      <c r="AF74"/>
      <c r="AG74"/>
    </row>
    <row r="75" spans="1:34" ht="15" hidden="1">
      <c r="A75" s="74" t="str">
        <f t="shared" si="46"/>
        <v>青岛荣利鑫商贸有限公司2107-61</v>
      </c>
      <c r="B75" s="77" t="s">
        <v>414</v>
      </c>
      <c r="C75" s="72" t="s">
        <v>415</v>
      </c>
      <c r="D75" s="72" t="s">
        <v>187</v>
      </c>
      <c r="E75" s="74" t="str">
        <f>VLOOKUP($D75,mapping!$F:$X,5,0)</f>
        <v>210761舒洁卡通系列抽纸200抽3包 FSC mix70%</v>
      </c>
      <c r="F75" s="80">
        <f>VLOOKUP($D75,mapping!$F:$X,6,0)</f>
        <v>20</v>
      </c>
      <c r="G75" s="80">
        <f>VLOOKUP($D75,mapping!$F:$X,7,0)</f>
        <v>60</v>
      </c>
      <c r="H75" s="80">
        <f>VLOOKUP($D75,mapping!$F:$X,14,0)</f>
        <v>338.18198999999998</v>
      </c>
      <c r="I75" s="81">
        <f t="shared" si="58"/>
        <v>16.9090995</v>
      </c>
      <c r="J75" s="113">
        <f t="shared" si="59"/>
        <v>316.20016064999999</v>
      </c>
      <c r="K75" s="82">
        <f t="shared" si="55"/>
        <v>345.15777136232697</v>
      </c>
      <c r="L75" s="83">
        <f t="shared" si="56"/>
        <v>28.584494522759996</v>
      </c>
      <c r="M75" s="82">
        <f t="shared" si="57"/>
        <v>316.57327683956697</v>
      </c>
      <c r="N75" s="84">
        <v>0.08</v>
      </c>
      <c r="O75" s="85">
        <f t="shared" si="60"/>
        <v>5.27622128065945</v>
      </c>
      <c r="P75" s="135">
        <v>45809</v>
      </c>
      <c r="Q75" s="135">
        <v>45838</v>
      </c>
      <c r="R75" s="126">
        <v>4396.3658699999996</v>
      </c>
      <c r="S75" s="86">
        <f t="shared" si="64"/>
        <v>328.84816707599998</v>
      </c>
      <c r="T75" s="96">
        <f t="shared" si="61"/>
        <v>7.4800000000000005E-2</v>
      </c>
      <c r="U75" s="92" t="s">
        <v>319</v>
      </c>
      <c r="V75" s="92" t="s">
        <v>325</v>
      </c>
      <c r="X75" s="89">
        <f t="shared" si="62"/>
        <v>0.08</v>
      </c>
      <c r="Y75" s="110">
        <f>O75</f>
        <v>5.27622128065945</v>
      </c>
      <c r="Z75" s="75" t="s">
        <v>602</v>
      </c>
      <c r="AA75" t="s">
        <v>577</v>
      </c>
      <c r="AB75"/>
      <c r="AC75" s="2" t="s">
        <v>353</v>
      </c>
      <c r="AD75" s="146">
        <f t="shared" si="63"/>
        <v>328.84816707599998</v>
      </c>
      <c r="AE75"/>
      <c r="AF75"/>
      <c r="AG75"/>
    </row>
    <row r="76" spans="1:34" ht="15" hidden="1">
      <c r="A76" s="74" t="str">
        <f t="shared" si="46"/>
        <v>沈阳和盛祥供应链管理有限公司2162-08</v>
      </c>
      <c r="B76" s="77" t="s">
        <v>405</v>
      </c>
      <c r="C76" s="72" t="s">
        <v>406</v>
      </c>
      <c r="D76" s="72" t="s">
        <v>150</v>
      </c>
      <c r="E76" s="74" t="str">
        <f>VLOOKUP($D76,mapping!$F:$X,5,0)</f>
        <v>216208舒洁®北海道牛乳系列乳霜纸面巾20抽8包装</v>
      </c>
      <c r="F76" s="80">
        <f>VLOOKUP($D76,mapping!$F:$X,6,0)</f>
        <v>4</v>
      </c>
      <c r="G76" s="80">
        <f>VLOOKUP($D76,mapping!$F:$X,7,0)</f>
        <v>32</v>
      </c>
      <c r="H76" s="80">
        <f>VLOOKUP($D76,mapping!$F:$X,14,0)</f>
        <v>100.5</v>
      </c>
      <c r="I76" s="81">
        <f t="shared" si="58"/>
        <v>25.125</v>
      </c>
      <c r="J76" s="113">
        <f t="shared" si="59"/>
        <v>93.967500000000001</v>
      </c>
      <c r="K76" s="82">
        <f t="shared" si="55"/>
        <v>102.57304364999999</v>
      </c>
      <c r="L76" s="83">
        <f t="shared" si="56"/>
        <v>15.927491249999997</v>
      </c>
      <c r="M76" s="82">
        <f t="shared" si="57"/>
        <v>86.645552399999985</v>
      </c>
      <c r="N76" s="84">
        <v>0.15</v>
      </c>
      <c r="O76" s="85">
        <f t="shared" si="60"/>
        <v>2.7076735124999995</v>
      </c>
      <c r="P76" s="135">
        <v>45778</v>
      </c>
      <c r="Q76" s="135">
        <v>45807</v>
      </c>
      <c r="R76" s="126">
        <v>2010</v>
      </c>
      <c r="S76" s="86">
        <f t="shared" si="64"/>
        <v>281.90250000000003</v>
      </c>
      <c r="T76" s="96">
        <f t="shared" si="61"/>
        <v>0.14025000000000001</v>
      </c>
      <c r="U76" s="92" t="s">
        <v>319</v>
      </c>
      <c r="V76" s="92" t="s">
        <v>325</v>
      </c>
      <c r="X76" s="89">
        <f t="shared" si="62"/>
        <v>0.15</v>
      </c>
      <c r="Y76" s="110">
        <f>O76</f>
        <v>2.7076735124999995</v>
      </c>
      <c r="Z76" s="75" t="s">
        <v>602</v>
      </c>
      <c r="AA76" t="s">
        <v>577</v>
      </c>
      <c r="AB76"/>
      <c r="AC76" s="2" t="s">
        <v>353</v>
      </c>
      <c r="AD76" s="146">
        <f t="shared" si="63"/>
        <v>281.90250000000003</v>
      </c>
      <c r="AE76"/>
      <c r="AF76"/>
      <c r="AG76"/>
    </row>
    <row r="77" spans="1:34" ht="15" hidden="1">
      <c r="A77" s="74" t="str">
        <f t="shared" si="46"/>
        <v>沈阳和盛祥供应链管理有限公司2694-30</v>
      </c>
      <c r="B77" s="77" t="s">
        <v>405</v>
      </c>
      <c r="C77" s="72" t="s">
        <v>406</v>
      </c>
      <c r="D77" s="72" t="s">
        <v>19</v>
      </c>
      <c r="E77" s="74" t="str">
        <f>VLOOKUP($D77,mapping!$F:$X,5,0)</f>
        <v>269430舒洁湿厕纸家庭装40抽</v>
      </c>
      <c r="F77" s="80">
        <f>VLOOKUP($D77,mapping!$F:$X,6,0)</f>
        <v>40</v>
      </c>
      <c r="G77" s="80">
        <f>VLOOKUP($D77,mapping!$F:$X,7,0)</f>
        <v>40</v>
      </c>
      <c r="H77" s="80">
        <f>VLOOKUP($D77,mapping!$F:$X,14,0)</f>
        <v>367.52197000000001</v>
      </c>
      <c r="I77" s="81">
        <f t="shared" si="58"/>
        <v>9.1880492500000006</v>
      </c>
      <c r="J77" s="113">
        <f t="shared" si="59"/>
        <v>343.63304195000001</v>
      </c>
      <c r="K77" s="82">
        <f t="shared" si="55"/>
        <v>375.10295593178091</v>
      </c>
      <c r="L77" s="83">
        <f t="shared" si="56"/>
        <v>174.73740183157497</v>
      </c>
      <c r="M77" s="82">
        <f t="shared" si="57"/>
        <v>200.36555410020594</v>
      </c>
      <c r="N77" s="84">
        <v>0.45</v>
      </c>
      <c r="O77" s="85">
        <f t="shared" si="60"/>
        <v>5.0091388525051483</v>
      </c>
      <c r="P77" s="135">
        <v>45778</v>
      </c>
      <c r="Q77" s="135">
        <v>45807</v>
      </c>
      <c r="R77" s="126">
        <v>5512.8295500000004</v>
      </c>
      <c r="S77" s="86">
        <f t="shared" si="64"/>
        <v>2319.5230331625003</v>
      </c>
      <c r="T77" s="96">
        <f t="shared" si="61"/>
        <v>0.42075000000000001</v>
      </c>
      <c r="U77" s="92" t="s">
        <v>319</v>
      </c>
      <c r="V77" s="92" t="s">
        <v>325</v>
      </c>
      <c r="X77" s="89">
        <f t="shared" si="62"/>
        <v>0.45</v>
      </c>
      <c r="Y77" s="110">
        <v>1.7281872133726193</v>
      </c>
      <c r="Z77" s="75" t="s">
        <v>602</v>
      </c>
      <c r="AA77" t="s">
        <v>577</v>
      </c>
      <c r="AB77"/>
      <c r="AC77" s="2" t="s">
        <v>353</v>
      </c>
      <c r="AD77" s="146">
        <f t="shared" si="63"/>
        <v>2319.5230331625003</v>
      </c>
      <c r="AE77"/>
      <c r="AF77"/>
      <c r="AG77"/>
    </row>
    <row r="78" spans="1:34" ht="15" hidden="1">
      <c r="A78" s="74" t="str">
        <f t="shared" si="46"/>
        <v>济南华天新光商贸有限公司2660-00</v>
      </c>
      <c r="B78" s="261" t="s">
        <v>604</v>
      </c>
      <c r="C78" s="72" t="s">
        <v>612</v>
      </c>
      <c r="D78" s="72" t="s">
        <v>605</v>
      </c>
      <c r="E78" s="74" t="s">
        <v>606</v>
      </c>
      <c r="F78" s="80">
        <f>VLOOKUP($D78,mapping!$F:$X,6,0)</f>
        <v>24</v>
      </c>
      <c r="G78" s="80">
        <f>VLOOKUP($D78,mapping!$F:$X,7,0)</f>
        <v>24</v>
      </c>
      <c r="H78" s="80">
        <f>VLOOKUP($D78,mapping!$F:$X,14,0)</f>
        <v>326.88</v>
      </c>
      <c r="I78" s="81">
        <f t="shared" ref="I78:I79" si="65">H78/F78</f>
        <v>13.62</v>
      </c>
      <c r="J78" s="113">
        <f t="shared" ref="J78:J79" si="66">H78*0.935</f>
        <v>305.63280000000003</v>
      </c>
      <c r="K78" s="82">
        <f t="shared" ref="K78:K79" si="67">J78*1.13*0.966</f>
        <v>333.622651824</v>
      </c>
      <c r="L78" s="83">
        <f t="shared" ref="L78:L79" si="68">J78*N78*1.13</f>
        <v>90.399996232128004</v>
      </c>
      <c r="M78" s="82">
        <f t="shared" ref="M78" si="69">K78-L78</f>
        <v>243.22265559187201</v>
      </c>
      <c r="N78" s="84">
        <v>0.26175199999999998</v>
      </c>
      <c r="O78" s="85">
        <f>M78/G78</f>
        <v>10.134277316328001</v>
      </c>
      <c r="P78" s="135">
        <v>45658</v>
      </c>
      <c r="Q78" s="135">
        <v>45838</v>
      </c>
      <c r="R78" s="126">
        <v>24516</v>
      </c>
      <c r="S78" s="86">
        <f>R78*N78*0.935</f>
        <v>5999.9997499200008</v>
      </c>
      <c r="T78" s="96">
        <f>S78/R78</f>
        <v>0.24473812000000003</v>
      </c>
      <c r="U78" s="92" t="s">
        <v>319</v>
      </c>
      <c r="V78" s="92" t="s">
        <v>325</v>
      </c>
      <c r="X78" s="89">
        <f t="shared" si="62"/>
        <v>0.26175199999999998</v>
      </c>
      <c r="Z78" s="75" t="s">
        <v>611</v>
      </c>
      <c r="AA78" t="s">
        <v>607</v>
      </c>
      <c r="AB78"/>
      <c r="AC78" s="2" t="s">
        <v>353</v>
      </c>
      <c r="AE78"/>
      <c r="AF78"/>
      <c r="AG78"/>
    </row>
    <row r="79" spans="1:34" ht="15" hidden="1">
      <c r="A79" s="74" t="str">
        <f t="shared" si="46"/>
        <v>常州领淘商贸有限公司2664-10</v>
      </c>
      <c r="B79" s="77" t="s">
        <v>261</v>
      </c>
      <c r="C79" s="72" t="s">
        <v>610</v>
      </c>
      <c r="D79" s="72" t="s">
        <v>608</v>
      </c>
      <c r="E79" s="74" t="s">
        <v>609</v>
      </c>
      <c r="F79" s="80">
        <v>1</v>
      </c>
      <c r="G79" s="80">
        <v>8</v>
      </c>
      <c r="H79" s="80">
        <v>92.6</v>
      </c>
      <c r="I79" s="81">
        <f t="shared" si="65"/>
        <v>92.6</v>
      </c>
      <c r="J79" s="113">
        <f t="shared" si="66"/>
        <v>86.581000000000003</v>
      </c>
      <c r="K79" s="82">
        <f t="shared" si="67"/>
        <v>94.510087979999994</v>
      </c>
      <c r="L79" s="83">
        <f t="shared" si="68"/>
        <v>39.827342529333322</v>
      </c>
      <c r="M79" s="82">
        <f>K79-L79</f>
        <v>54.682745450666673</v>
      </c>
      <c r="N79" s="84">
        <v>0.40708048956083509</v>
      </c>
      <c r="O79" s="85">
        <f>M79/G79</f>
        <v>6.8353431813333341</v>
      </c>
      <c r="P79" s="135">
        <v>45839</v>
      </c>
      <c r="Q79" s="135">
        <v>45869</v>
      </c>
      <c r="R79" s="126">
        <v>54078.400000000001</v>
      </c>
      <c r="S79" s="86">
        <f t="shared" si="64"/>
        <v>20583.334546133334</v>
      </c>
      <c r="T79" s="96">
        <v>0.38062025773938085</v>
      </c>
      <c r="U79" s="92" t="s">
        <v>319</v>
      </c>
      <c r="V79" s="92" t="s">
        <v>325</v>
      </c>
      <c r="X79" s="89">
        <f t="shared" si="62"/>
        <v>0.40708048956083509</v>
      </c>
      <c r="Z79" s="75" t="s">
        <v>602</v>
      </c>
      <c r="AA79" t="s">
        <v>607</v>
      </c>
      <c r="AC79" s="2"/>
    </row>
    <row r="80" spans="1:34" ht="15" hidden="1">
      <c r="A80" s="74" t="str">
        <f t="shared" si="46"/>
        <v>浙江省宁波三江2660-00</v>
      </c>
      <c r="B80" s="261" t="s">
        <v>619</v>
      </c>
      <c r="C80" s="72" t="s">
        <v>617</v>
      </c>
      <c r="D80" s="1" t="s">
        <v>47</v>
      </c>
      <c r="E80" s="1" t="s">
        <v>606</v>
      </c>
      <c r="F80" s="80">
        <f>VLOOKUP($D80,mapping!$F:$X,6,0)</f>
        <v>24</v>
      </c>
      <c r="G80" s="80">
        <f>VLOOKUP($D80,mapping!$F:$X,7,0)</f>
        <v>24</v>
      </c>
      <c r="H80" s="80">
        <f>VLOOKUP($D80,mapping!$F:$X,14,0)</f>
        <v>326.88</v>
      </c>
      <c r="I80" s="81"/>
      <c r="J80" s="113"/>
      <c r="K80" s="82"/>
      <c r="L80" s="83"/>
      <c r="M80" s="82"/>
      <c r="N80" s="143"/>
      <c r="O80" s="85"/>
      <c r="P80" s="135">
        <v>45652</v>
      </c>
      <c r="Q80" s="135">
        <v>45805</v>
      </c>
      <c r="R80" s="148"/>
      <c r="S80" s="86">
        <v>8707</v>
      </c>
      <c r="T80" s="96">
        <v>0.125</v>
      </c>
      <c r="U80" s="92" t="s">
        <v>317</v>
      </c>
      <c r="V80" s="92" t="s">
        <v>324</v>
      </c>
      <c r="Z80" s="75" t="s">
        <v>602</v>
      </c>
      <c r="AA80" t="s">
        <v>618</v>
      </c>
    </row>
    <row r="81" spans="1:33" ht="15" hidden="1">
      <c r="A81" s="74" t="str">
        <f t="shared" si="46"/>
        <v>浙江省宁波三江2694-40</v>
      </c>
      <c r="B81" s="261" t="s">
        <v>619</v>
      </c>
      <c r="C81" s="72" t="s">
        <v>617</v>
      </c>
      <c r="D81" s="1" t="s">
        <v>8</v>
      </c>
      <c r="E81" s="1" t="s">
        <v>9</v>
      </c>
      <c r="F81" s="80">
        <f>VLOOKUP($D81,mapping!$F:$X,6,0)</f>
        <v>4</v>
      </c>
      <c r="G81" s="80">
        <f>VLOOKUP($D81,mapping!$F:$X,7,0)</f>
        <v>40</v>
      </c>
      <c r="H81" s="80">
        <f>VLOOKUP($D81,mapping!$F:$X,14,0)</f>
        <v>330.25036</v>
      </c>
      <c r="I81" s="81"/>
      <c r="J81" s="113"/>
      <c r="K81" s="82"/>
      <c r="L81" s="83"/>
      <c r="M81" s="82"/>
      <c r="N81" s="143"/>
      <c r="O81" s="142"/>
      <c r="P81" s="135">
        <v>45743</v>
      </c>
      <c r="Q81" s="135">
        <v>45777</v>
      </c>
      <c r="R81" s="142"/>
      <c r="S81" s="86">
        <v>2593</v>
      </c>
      <c r="T81" s="96">
        <v>0.125</v>
      </c>
      <c r="U81" s="92" t="s">
        <v>317</v>
      </c>
      <c r="V81" s="92" t="s">
        <v>324</v>
      </c>
      <c r="Z81" s="75" t="s">
        <v>602</v>
      </c>
      <c r="AA81" t="s">
        <v>618</v>
      </c>
    </row>
    <row r="82" spans="1:33" ht="15">
      <c r="A82" s="142"/>
      <c r="B82" s="1"/>
      <c r="C82" s="142"/>
      <c r="D82" s="142"/>
      <c r="E82" s="142"/>
      <c r="F82" s="142"/>
      <c r="G82" s="142"/>
      <c r="H82" s="142"/>
      <c r="I82" s="142"/>
      <c r="J82" s="150"/>
      <c r="K82" s="142"/>
      <c r="L82" s="142"/>
      <c r="M82" s="142"/>
      <c r="N82" s="143"/>
      <c r="O82" s="142"/>
      <c r="P82" s="142"/>
      <c r="Q82" s="142"/>
      <c r="R82" s="142"/>
      <c r="S82" s="144"/>
      <c r="T82" s="145"/>
      <c r="Z82" s="75"/>
    </row>
    <row r="83" spans="1:33" ht="15">
      <c r="S83" s="101">
        <f>SUBTOTAL(9,S5:S82)</f>
        <v>72944.065423458538</v>
      </c>
      <c r="Z83" s="75"/>
      <c r="AG83" s="101">
        <f>SUBTOTAL(9,AG5:AG82)</f>
        <v>32847.938644647089</v>
      </c>
    </row>
    <row r="84" spans="1:33" ht="15">
      <c r="S84" s="101">
        <f>SUMIF($U$4:$U$82,$U84,S$4:S$82)</f>
        <v>58342.992909000001</v>
      </c>
      <c r="U84" s="92" t="s">
        <v>317</v>
      </c>
      <c r="V84" s="92" t="s">
        <v>324</v>
      </c>
      <c r="AG84" s="101">
        <f>SUMIF($V$4:$V$82,$V84,AG$4:AG$82)</f>
        <v>38835.958618741817</v>
      </c>
    </row>
    <row r="85" spans="1:33" ht="15">
      <c r="K85" s="31"/>
      <c r="S85" s="101">
        <f>SUMIF($U$4:$U$82,$U85,S$4:S$82)</f>
        <v>52774.007315630341</v>
      </c>
      <c r="U85" s="92" t="s">
        <v>319</v>
      </c>
      <c r="V85" s="92" t="s">
        <v>325</v>
      </c>
      <c r="AG85" s="101">
        <f>SUMIF($V$4:$V$82,$V85,AG$4:AG$82)</f>
        <v>93840.040688218578</v>
      </c>
    </row>
    <row r="86" spans="1:33">
      <c r="M86" s="31"/>
    </row>
    <row r="88" spans="1:33">
      <c r="S88" s="158"/>
    </row>
    <row r="90" spans="1:33">
      <c r="N90" s="157"/>
      <c r="S90" s="158"/>
    </row>
    <row r="93" spans="1:33">
      <c r="N93" s="66"/>
    </row>
    <row r="96" spans="1:33">
      <c r="N96" s="157"/>
    </row>
  </sheetData>
  <autoFilter ref="A4:AI81" xr:uid="{ACCF871D-C5C1-4FB9-9E79-F0541CA78514}">
    <filterColumn colId="2">
      <filters>
        <filter val="上海文鑫网络科技有限公司"/>
      </filters>
    </filterColumn>
  </autoFilter>
  <phoneticPr fontId="2" type="noConversion"/>
  <conditionalFormatting sqref="A1:A1048576">
    <cfRule type="duplicateValues" dxfId="28" priority="1"/>
  </conditionalFormatting>
  <conditionalFormatting sqref="B1:V1 A1:A1048576">
    <cfRule type="duplicateValues" dxfId="27" priority="3"/>
  </conditionalFormatting>
  <conditionalFormatting sqref="D1:D1048576">
    <cfRule type="duplicateValues" dxfId="26" priority="2"/>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D09947-38A8-49FA-AD67-E8290990AF85}">
  <dimension ref="C1:L5"/>
  <sheetViews>
    <sheetView zoomScale="80" zoomScaleNormal="80" workbookViewId="0">
      <selection activeCell="D19" sqref="D19"/>
    </sheetView>
  </sheetViews>
  <sheetFormatPr defaultRowHeight="14"/>
  <cols>
    <col min="3" max="3" width="10.6328125" customWidth="1"/>
    <col min="4" max="4" width="45.36328125" bestFit="1" customWidth="1"/>
    <col min="5" max="5" width="6.453125" style="2" customWidth="1"/>
    <col min="6" max="9" width="11.453125" customWidth="1"/>
    <col min="10" max="10" width="9.90625" bestFit="1" customWidth="1"/>
    <col min="11" max="13" width="9.90625" customWidth="1"/>
  </cols>
  <sheetData>
    <row r="1" spans="3:12">
      <c r="C1" s="142"/>
      <c r="D1" s="142"/>
      <c r="E1" s="1"/>
      <c r="F1" s="142" t="s">
        <v>587</v>
      </c>
      <c r="G1" s="142" t="s">
        <v>587</v>
      </c>
      <c r="H1" s="142" t="s">
        <v>587</v>
      </c>
      <c r="I1" s="142" t="s">
        <v>588</v>
      </c>
      <c r="J1" s="142" t="s">
        <v>588</v>
      </c>
      <c r="K1" s="142" t="s">
        <v>588</v>
      </c>
      <c r="L1" s="142" t="s">
        <v>590</v>
      </c>
    </row>
    <row r="2" spans="3:12">
      <c r="C2" s="142"/>
      <c r="D2" s="142"/>
      <c r="E2" s="1" t="s">
        <v>253</v>
      </c>
      <c r="F2" s="142" t="s">
        <v>267</v>
      </c>
      <c r="G2" s="142" t="s">
        <v>586</v>
      </c>
      <c r="H2" s="252" t="s">
        <v>589</v>
      </c>
      <c r="I2" s="142" t="s">
        <v>267</v>
      </c>
      <c r="J2" s="142" t="s">
        <v>586</v>
      </c>
      <c r="K2" s="252" t="s">
        <v>589</v>
      </c>
      <c r="L2" s="142" t="s">
        <v>586</v>
      </c>
    </row>
    <row r="3" spans="3:12">
      <c r="C3" s="142" t="s">
        <v>321</v>
      </c>
      <c r="D3" s="142" t="s">
        <v>277</v>
      </c>
      <c r="E3" s="1">
        <v>32</v>
      </c>
      <c r="F3" s="143">
        <v>0.29599999999999999</v>
      </c>
      <c r="G3" s="250">
        <f>'后补-填写标黄单元格'!M39</f>
        <v>68.84</v>
      </c>
      <c r="H3" s="250">
        <f>G3/$E3</f>
        <v>2.1512500000000001</v>
      </c>
      <c r="I3" s="143">
        <v>0.35010569236600936</v>
      </c>
      <c r="J3" s="142">
        <v>68.84</v>
      </c>
      <c r="K3" s="250">
        <f>J3/$E3</f>
        <v>2.1512500000000001</v>
      </c>
      <c r="L3" s="253">
        <f>J3-G3</f>
        <v>0</v>
      </c>
    </row>
    <row r="4" spans="3:12">
      <c r="C4" s="142" t="s">
        <v>320</v>
      </c>
      <c r="D4" s="142" t="s">
        <v>280</v>
      </c>
      <c r="E4" s="1">
        <v>32</v>
      </c>
      <c r="F4" s="143">
        <v>0.29599999999999999</v>
      </c>
      <c r="G4" s="250">
        <f>'后补-填写标黄单元格'!M38</f>
        <v>71.16</v>
      </c>
      <c r="H4" s="250">
        <f>G4/$E4</f>
        <v>2.2237499999999999</v>
      </c>
      <c r="I4" s="143">
        <v>0.29583796176940291</v>
      </c>
      <c r="J4" s="142">
        <v>71.16</v>
      </c>
      <c r="K4" s="250">
        <f>J4/$E4</f>
        <v>2.2237499999999999</v>
      </c>
      <c r="L4" s="253">
        <f t="shared" ref="L4:L5" si="0">J4-G4</f>
        <v>0</v>
      </c>
    </row>
    <row r="5" spans="3:12">
      <c r="C5" s="142" t="s">
        <v>294</v>
      </c>
      <c r="D5" s="142" t="s">
        <v>3</v>
      </c>
      <c r="E5" s="1">
        <v>6</v>
      </c>
      <c r="F5" s="143">
        <v>0.32800000000000001</v>
      </c>
      <c r="G5" s="250">
        <f>'后补-填写标黄单元格'!M40</f>
        <v>45</v>
      </c>
      <c r="H5" s="250">
        <f>G5/$E5</f>
        <v>7.5</v>
      </c>
      <c r="I5" s="143">
        <v>0.35264381746781698</v>
      </c>
      <c r="J5" s="142">
        <v>45</v>
      </c>
      <c r="K5" s="250">
        <f>J5/$E5</f>
        <v>7.5</v>
      </c>
      <c r="L5" s="253">
        <f t="shared" si="0"/>
        <v>0</v>
      </c>
    </row>
  </sheetData>
  <phoneticPr fontId="2" type="noConversion"/>
  <conditionalFormatting sqref="L3:L5">
    <cfRule type="cellIs" dxfId="25" priority="1" operator="lessThan">
      <formula>0</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C1E646-28F9-4DB6-9A21-521CC3C3D0B5}">
  <sheetPr>
    <tabColor rgb="FFFFFF00"/>
  </sheetPr>
  <dimension ref="A1:AC196"/>
  <sheetViews>
    <sheetView zoomScale="48" zoomScaleNormal="48" workbookViewId="0">
      <pane xSplit="5" ySplit="3" topLeftCell="J4" activePane="bottomRight" state="frozen"/>
      <selection activeCell="P6" sqref="P6"/>
      <selection pane="topRight" activeCell="P6" sqref="P6"/>
      <selection pane="bottomLeft" activeCell="P6" sqref="P6"/>
      <selection pane="bottomRight" activeCell="W3" sqref="W3"/>
    </sheetView>
  </sheetViews>
  <sheetFormatPr defaultRowHeight="14" outlineLevelCol="1"/>
  <cols>
    <col min="1" max="1" width="11.7265625" customWidth="1"/>
    <col min="2" max="3" width="14.6328125" style="5" customWidth="1"/>
    <col min="4" max="4" width="11.453125" style="5" customWidth="1"/>
    <col min="5" max="5" width="61.6328125" customWidth="1"/>
    <col min="6" max="7" width="8.6328125" customWidth="1" outlineLevel="1"/>
    <col min="8" max="8" width="7.6328125" customWidth="1" outlineLevel="1"/>
    <col min="9" max="9" width="8.90625" customWidth="1" outlineLevel="1"/>
    <col min="10" max="10" width="9.453125" customWidth="1" outlineLevel="1"/>
    <col min="11" max="13" width="8.6328125" customWidth="1" outlineLevel="1"/>
    <col min="14" max="14" width="9.453125" style="47" customWidth="1" outlineLevel="1"/>
    <col min="15" max="15" width="10.26953125" customWidth="1"/>
    <col min="16" max="16" width="9.36328125" style="47" customWidth="1"/>
    <col min="17" max="17" width="10.90625" style="47" customWidth="1"/>
    <col min="18" max="18" width="10.7265625" style="47" customWidth="1"/>
    <col min="19" max="20" width="11.08984375" bestFit="1" customWidth="1"/>
    <col min="21" max="21" width="10.81640625" customWidth="1"/>
    <col min="22" max="23" width="11.1796875" customWidth="1"/>
    <col min="24" max="24" width="18.453125" customWidth="1"/>
    <col min="25" max="25" width="10.453125" customWidth="1"/>
    <col min="26" max="26" width="8.6328125" style="2"/>
  </cols>
  <sheetData>
    <row r="1" spans="1:26" ht="23">
      <c r="A1" s="46" t="s">
        <v>269</v>
      </c>
      <c r="B1" s="47"/>
      <c r="U1" s="2" t="s">
        <v>22</v>
      </c>
      <c r="V1" s="2" t="s">
        <v>22</v>
      </c>
      <c r="W1" s="2" t="s">
        <v>22</v>
      </c>
    </row>
    <row r="2" spans="1:26" s="2" customFormat="1">
      <c r="A2"/>
      <c r="B2" s="5" t="s">
        <v>255</v>
      </c>
      <c r="C2" s="5" t="s">
        <v>255</v>
      </c>
      <c r="D2" s="5" t="s">
        <v>255</v>
      </c>
      <c r="E2" s="2" t="s">
        <v>22</v>
      </c>
      <c r="F2" s="2" t="s">
        <v>22</v>
      </c>
      <c r="G2" s="2" t="s">
        <v>22</v>
      </c>
      <c r="H2" s="2" t="s">
        <v>22</v>
      </c>
      <c r="I2" s="2" t="s">
        <v>22</v>
      </c>
      <c r="J2" s="2" t="s">
        <v>22</v>
      </c>
      <c r="K2" s="2" t="s">
        <v>22</v>
      </c>
      <c r="L2" s="2" t="s">
        <v>22</v>
      </c>
      <c r="M2" s="2" t="s">
        <v>22</v>
      </c>
      <c r="N2" s="5" t="s">
        <v>255</v>
      </c>
      <c r="O2" s="45" t="s">
        <v>22</v>
      </c>
      <c r="P2" s="5" t="s">
        <v>255</v>
      </c>
      <c r="Q2" s="5" t="s">
        <v>255</v>
      </c>
      <c r="R2" s="5" t="s">
        <v>255</v>
      </c>
      <c r="S2" s="2" t="s">
        <v>22</v>
      </c>
      <c r="T2" s="2" t="s">
        <v>22</v>
      </c>
      <c r="U2" s="2" t="s">
        <v>270</v>
      </c>
      <c r="V2" s="2" t="s">
        <v>270</v>
      </c>
      <c r="W2" s="2" t="s">
        <v>270</v>
      </c>
    </row>
    <row r="3" spans="1:26" s="64" customFormat="1" ht="68" customHeight="1">
      <c r="A3" s="51" t="s">
        <v>263</v>
      </c>
      <c r="B3" s="49" t="s">
        <v>259</v>
      </c>
      <c r="C3" s="50" t="s">
        <v>0</v>
      </c>
      <c r="D3" s="50" t="s">
        <v>5</v>
      </c>
      <c r="E3" s="51" t="s">
        <v>4</v>
      </c>
      <c r="F3" s="51" t="s">
        <v>6</v>
      </c>
      <c r="G3" s="51" t="s">
        <v>254</v>
      </c>
      <c r="H3" s="52" t="s">
        <v>252</v>
      </c>
      <c r="I3" s="53" t="s">
        <v>10</v>
      </c>
      <c r="J3" s="52" t="s">
        <v>11</v>
      </c>
      <c r="K3" s="52" t="s">
        <v>12</v>
      </c>
      <c r="L3" s="52" t="s">
        <v>14</v>
      </c>
      <c r="M3" s="52" t="s">
        <v>15</v>
      </c>
      <c r="N3" s="49" t="s">
        <v>13</v>
      </c>
      <c r="O3" s="54" t="s">
        <v>16</v>
      </c>
      <c r="P3" s="49" t="s">
        <v>256</v>
      </c>
      <c r="Q3" s="49" t="s">
        <v>258</v>
      </c>
      <c r="R3" s="49" t="s">
        <v>257</v>
      </c>
      <c r="S3" s="55" t="s">
        <v>1</v>
      </c>
      <c r="T3" s="55" t="s">
        <v>21</v>
      </c>
      <c r="U3" s="136" t="s">
        <v>426</v>
      </c>
      <c r="V3" s="136" t="s">
        <v>271</v>
      </c>
      <c r="W3" s="136" t="s">
        <v>272</v>
      </c>
      <c r="X3" s="64" t="s">
        <v>292</v>
      </c>
      <c r="Y3" s="64" t="s">
        <v>430</v>
      </c>
      <c r="Z3" s="64" t="s">
        <v>425</v>
      </c>
    </row>
    <row r="4" spans="1:26">
      <c r="D4" s="5" t="s">
        <v>150</v>
      </c>
      <c r="E4" s="59" t="str">
        <f>VLOOKUP($D4,mapping!$F:$X,5,0)</f>
        <v>216208舒洁®北海道牛乳系列乳霜纸面巾20抽8包装</v>
      </c>
      <c r="F4" s="59">
        <f>VLOOKUP($D4,mapping!$F:$X,6,0)</f>
        <v>4</v>
      </c>
      <c r="G4" s="59">
        <f>VLOOKUP($D4,mapping!$F:$X,7,0)</f>
        <v>32</v>
      </c>
      <c r="H4" s="59">
        <f>VLOOKUP($D4,mapping!$F:$X,14,0)</f>
        <v>100.5</v>
      </c>
      <c r="I4" s="56">
        <f t="shared" ref="I4:I6" si="0">H4/F4</f>
        <v>25.125</v>
      </c>
      <c r="J4" s="60">
        <f t="shared" ref="J4:J6" si="1">H4*0.935</f>
        <v>93.967500000000001</v>
      </c>
      <c r="K4" s="60">
        <f t="shared" ref="K4:K9" si="2">J4*1.13*0.966</f>
        <v>102.57304364999999</v>
      </c>
      <c r="L4" s="61">
        <f t="shared" ref="L4:L6" si="3">J4*N4*1.13</f>
        <v>26.121085649999998</v>
      </c>
      <c r="M4" s="60">
        <f t="shared" ref="M4:M5" si="4">K4-L4</f>
        <v>76.451957999999991</v>
      </c>
      <c r="N4" s="152">
        <v>0.246</v>
      </c>
      <c r="O4" s="62">
        <f t="shared" ref="O4" si="5">M4/G4</f>
        <v>2.3891236874999997</v>
      </c>
      <c r="P4" s="58">
        <v>62</v>
      </c>
      <c r="Q4" s="57"/>
      <c r="R4" s="57"/>
      <c r="T4" s="161">
        <f>O4*G4*P4/1.13</f>
        <v>4194.7091999999993</v>
      </c>
      <c r="U4" s="63"/>
      <c r="V4" s="63"/>
      <c r="W4" s="63"/>
      <c r="X4" s="59"/>
      <c r="Y4" s="159"/>
      <c r="Z4" s="159"/>
    </row>
    <row r="5" spans="1:26">
      <c r="D5" s="5" t="s">
        <v>127</v>
      </c>
      <c r="E5" s="59" t="str">
        <f>VLOOKUP($D5,mapping!$F:$X,5,0)</f>
        <v>215204舒洁鎏金系列乳霜纸巾40抽8包</v>
      </c>
      <c r="F5" s="59">
        <f>VLOOKUP($D5,mapping!$F:$X,6,0)</f>
        <v>4</v>
      </c>
      <c r="G5" s="59">
        <f>VLOOKUP($D5,mapping!$F:$X,7,0)</f>
        <v>32</v>
      </c>
      <c r="H5" s="59">
        <f>VLOOKUP($D5,mapping!$F:$X,14,0)</f>
        <v>105.79</v>
      </c>
      <c r="I5" s="56">
        <f t="shared" si="0"/>
        <v>26.447500000000002</v>
      </c>
      <c r="J5" s="60">
        <f>H5*0.935</f>
        <v>98.913650000000018</v>
      </c>
      <c r="K5" s="60">
        <f t="shared" si="2"/>
        <v>107.97216206700001</v>
      </c>
      <c r="L5" s="61">
        <f t="shared" si="3"/>
        <v>33.531727350000004</v>
      </c>
      <c r="M5" s="60">
        <f t="shared" si="4"/>
        <v>74.440434717000016</v>
      </c>
      <c r="N5" s="152">
        <v>0.3</v>
      </c>
      <c r="O5" s="62">
        <f>M5/G5</f>
        <v>2.3262635849062505</v>
      </c>
      <c r="P5" s="58">
        <v>65</v>
      </c>
      <c r="Q5" s="57"/>
      <c r="R5" s="57"/>
      <c r="T5" s="161">
        <f t="shared" ref="T5:T9" si="6">O5*G5*P5/1.13</f>
        <v>4281.9719085000015</v>
      </c>
      <c r="U5" s="63"/>
      <c r="V5" s="63"/>
      <c r="W5" s="63"/>
      <c r="X5" s="59"/>
      <c r="Y5" s="159"/>
      <c r="Z5" s="159"/>
    </row>
    <row r="6" spans="1:26">
      <c r="D6" s="5" t="s">
        <v>2</v>
      </c>
      <c r="E6" s="59" t="str">
        <f>VLOOKUP($D6,mapping!$F:$X,5,0)</f>
        <v xml:space="preserve">266200舒洁湿厕纸80片x6包 </v>
      </c>
      <c r="F6" s="59">
        <f>VLOOKUP($D6,mapping!$F:$X,6,0)</f>
        <v>1</v>
      </c>
      <c r="G6" s="59">
        <f>VLOOKUP($D6,mapping!$F:$X,7,0)</f>
        <v>6</v>
      </c>
      <c r="H6" s="59">
        <f>VLOOKUP($D6,mapping!$F:$X,14,0)</f>
        <v>69.44</v>
      </c>
      <c r="I6" s="56">
        <f t="shared" si="0"/>
        <v>69.44</v>
      </c>
      <c r="J6" s="60">
        <f t="shared" si="1"/>
        <v>64.926400000000001</v>
      </c>
      <c r="K6" s="60">
        <f t="shared" si="2"/>
        <v>70.872359711999991</v>
      </c>
      <c r="L6" s="61">
        <f t="shared" si="3"/>
        <v>21.349748111999997</v>
      </c>
      <c r="M6" s="60">
        <f>K6-L6</f>
        <v>49.522611599999991</v>
      </c>
      <c r="N6" s="152">
        <v>0.29099999999999998</v>
      </c>
      <c r="O6" s="62">
        <f>M6/G6</f>
        <v>8.253768599999999</v>
      </c>
      <c r="P6" s="58">
        <v>100</v>
      </c>
      <c r="Q6" s="57"/>
      <c r="R6" s="57"/>
      <c r="T6" s="161">
        <f t="shared" si="6"/>
        <v>4382.5319999999992</v>
      </c>
      <c r="U6" s="63"/>
      <c r="V6" s="63"/>
      <c r="W6" s="63"/>
      <c r="X6" s="59"/>
      <c r="Y6" s="159"/>
      <c r="Z6" s="159"/>
    </row>
    <row r="7" spans="1:26">
      <c r="D7" s="5" t="s">
        <v>150</v>
      </c>
      <c r="E7" s="59" t="str">
        <f>VLOOKUP($D7,mapping!$F:$X,5,0)</f>
        <v>216208舒洁®北海道牛乳系列乳霜纸面巾20抽8包装</v>
      </c>
      <c r="F7" s="59">
        <f>VLOOKUP($D7,mapping!$F:$X,6,0)</f>
        <v>4</v>
      </c>
      <c r="G7" s="59">
        <f>VLOOKUP($D7,mapping!$F:$X,7,0)</f>
        <v>32</v>
      </c>
      <c r="H7" s="59">
        <f>VLOOKUP($D7,mapping!$F:$X,14,0)</f>
        <v>100.5</v>
      </c>
      <c r="I7" s="56">
        <f t="shared" ref="I7:I9" si="7">H7/F7</f>
        <v>25.125</v>
      </c>
      <c r="J7" s="60">
        <f>H7*0.935</f>
        <v>93.967500000000001</v>
      </c>
      <c r="K7" s="60">
        <f>J7*1.13*0.966</f>
        <v>102.57304364999999</v>
      </c>
      <c r="L7" s="61">
        <f>J7*N7*1.13</f>
        <v>31.430249399999997</v>
      </c>
      <c r="M7" s="60">
        <f>K7-L7</f>
        <v>71.142794249999994</v>
      </c>
      <c r="N7" s="152">
        <v>0.29599999999999999</v>
      </c>
      <c r="O7" s="62">
        <f>M7/G7</f>
        <v>2.2232123203124998</v>
      </c>
      <c r="P7" s="58">
        <v>62</v>
      </c>
      <c r="Q7" s="57"/>
      <c r="R7" s="57"/>
      <c r="T7" s="161">
        <f>O7*G7*P7/1.13</f>
        <v>3903.4099500000002</v>
      </c>
      <c r="U7" s="63"/>
      <c r="V7" s="63"/>
      <c r="W7" s="63"/>
      <c r="X7" s="59"/>
      <c r="Y7" s="159"/>
      <c r="Z7" s="159"/>
    </row>
    <row r="8" spans="1:26">
      <c r="D8" s="5" t="s">
        <v>127</v>
      </c>
      <c r="E8" s="59" t="str">
        <f>VLOOKUP($D8,mapping!$F:$X,5,0)</f>
        <v>215204舒洁鎏金系列乳霜纸巾40抽8包</v>
      </c>
      <c r="F8" s="59">
        <f>VLOOKUP($D8,mapping!$F:$X,6,0)</f>
        <v>4</v>
      </c>
      <c r="G8" s="59">
        <f>VLOOKUP($D8,mapping!$F:$X,7,0)</f>
        <v>32</v>
      </c>
      <c r="H8" s="59">
        <f>VLOOKUP($D8,mapping!$F:$X,14,0)</f>
        <v>105.79</v>
      </c>
      <c r="I8" s="56">
        <f t="shared" si="7"/>
        <v>26.447500000000002</v>
      </c>
      <c r="J8" s="60">
        <f t="shared" ref="J8:J9" si="8">H8*0.935</f>
        <v>98.913650000000018</v>
      </c>
      <c r="K8" s="60">
        <f t="shared" si="2"/>
        <v>107.97216206700001</v>
      </c>
      <c r="L8" s="61">
        <f t="shared" ref="L8:L9" si="9">J8*N8*1.13</f>
        <v>33.084637652000005</v>
      </c>
      <c r="M8" s="60">
        <f t="shared" ref="M8:M9" si="10">K8-L8</f>
        <v>74.887524415000001</v>
      </c>
      <c r="N8" s="152">
        <v>0.29599999999999999</v>
      </c>
      <c r="O8" s="62">
        <f t="shared" ref="O8:O9" si="11">M8/G8</f>
        <v>2.34023513796875</v>
      </c>
      <c r="P8" s="58">
        <v>65</v>
      </c>
      <c r="Q8" s="57"/>
      <c r="R8" s="57"/>
      <c r="T8" s="161">
        <f t="shared" si="6"/>
        <v>4307.6894575000006</v>
      </c>
      <c r="U8" s="63"/>
      <c r="V8" s="63"/>
      <c r="W8" s="63"/>
      <c r="X8" s="59"/>
      <c r="Y8" s="159"/>
      <c r="Z8" s="159"/>
    </row>
    <row r="9" spans="1:26">
      <c r="D9" s="5" t="s">
        <v>2</v>
      </c>
      <c r="E9" s="59" t="str">
        <f>VLOOKUP($D9,mapping!$F:$X,5,0)</f>
        <v xml:space="preserve">266200舒洁湿厕纸80片x6包 </v>
      </c>
      <c r="F9" s="59">
        <f>VLOOKUP($D9,mapping!$F:$X,6,0)</f>
        <v>1</v>
      </c>
      <c r="G9" s="59">
        <f>VLOOKUP($D9,mapping!$F:$X,7,0)</f>
        <v>6</v>
      </c>
      <c r="H9" s="59">
        <f>VLOOKUP($D9,mapping!$F:$X,14,0)</f>
        <v>69.44</v>
      </c>
      <c r="I9" s="56">
        <f t="shared" si="7"/>
        <v>69.44</v>
      </c>
      <c r="J9" s="60">
        <f t="shared" si="8"/>
        <v>64.926400000000001</v>
      </c>
      <c r="K9" s="60">
        <f t="shared" si="2"/>
        <v>70.872359711999991</v>
      </c>
      <c r="L9" s="61">
        <f t="shared" si="9"/>
        <v>21.716582272</v>
      </c>
      <c r="M9" s="60">
        <f t="shared" si="10"/>
        <v>49.155777439999994</v>
      </c>
      <c r="N9" s="152">
        <v>0.29599999999999999</v>
      </c>
      <c r="O9" s="62">
        <f t="shared" si="11"/>
        <v>8.192629573333333</v>
      </c>
      <c r="P9" s="58">
        <v>100</v>
      </c>
      <c r="Q9" s="57"/>
      <c r="R9" s="57"/>
      <c r="T9" s="161">
        <f t="shared" si="6"/>
        <v>4350.0688</v>
      </c>
      <c r="U9" s="63"/>
      <c r="V9" s="63"/>
      <c r="W9" s="63"/>
      <c r="X9" s="59"/>
      <c r="Y9" s="159"/>
      <c r="Z9" s="159"/>
    </row>
    <row r="10" spans="1:26">
      <c r="E10" s="59"/>
      <c r="F10" s="59"/>
      <c r="G10" s="59"/>
      <c r="H10" s="59"/>
      <c r="I10" s="56"/>
      <c r="J10" s="60"/>
      <c r="K10" s="60"/>
      <c r="L10" s="61"/>
      <c r="M10" s="60"/>
      <c r="N10" s="152"/>
      <c r="O10" s="62"/>
      <c r="P10" s="58"/>
      <c r="Q10" s="57"/>
      <c r="R10" s="57"/>
      <c r="U10" s="63"/>
      <c r="V10" s="63"/>
      <c r="W10" s="63"/>
      <c r="X10" s="59"/>
      <c r="Y10" s="159"/>
      <c r="Z10" s="159"/>
    </row>
    <row r="11" spans="1:26">
      <c r="E11" s="59"/>
      <c r="F11" s="59"/>
      <c r="G11" s="59"/>
      <c r="H11" s="59"/>
      <c r="I11" s="56"/>
      <c r="J11" s="60"/>
      <c r="K11" s="60"/>
      <c r="L11" s="61"/>
      <c r="M11" s="60"/>
      <c r="N11" s="152"/>
      <c r="O11" s="62"/>
      <c r="P11" s="58"/>
      <c r="Q11" s="57"/>
      <c r="R11" s="57"/>
      <c r="U11" s="63"/>
      <c r="V11" s="63"/>
      <c r="W11" s="63"/>
      <c r="X11" s="59"/>
      <c r="Y11" s="159"/>
      <c r="Z11" s="159"/>
    </row>
    <row r="12" spans="1:26">
      <c r="E12" s="59"/>
      <c r="F12" s="59"/>
      <c r="G12" s="59"/>
      <c r="H12" s="59"/>
      <c r="I12" s="56"/>
      <c r="J12" s="60"/>
      <c r="K12" s="60"/>
      <c r="L12" s="61"/>
      <c r="M12" s="60"/>
      <c r="N12" s="152"/>
      <c r="O12" s="62"/>
      <c r="P12" s="58"/>
      <c r="Q12" s="57"/>
      <c r="R12" s="57"/>
      <c r="U12" s="63"/>
      <c r="V12" s="63"/>
      <c r="W12" s="63"/>
      <c r="X12" s="59"/>
      <c r="Y12" s="159"/>
      <c r="Z12" s="159"/>
    </row>
    <row r="13" spans="1:26">
      <c r="E13" s="59"/>
      <c r="F13" s="59"/>
      <c r="G13" s="59"/>
      <c r="H13" s="59"/>
      <c r="I13" s="56"/>
      <c r="J13" s="60"/>
      <c r="K13" s="60"/>
      <c r="L13" s="61"/>
      <c r="M13" s="60"/>
      <c r="N13" s="152"/>
      <c r="O13" s="62"/>
      <c r="P13" s="58"/>
      <c r="Q13" s="57"/>
      <c r="R13" s="57"/>
      <c r="U13" s="63"/>
      <c r="V13" s="63"/>
      <c r="W13" s="63"/>
      <c r="X13" s="59"/>
      <c r="Y13" s="159"/>
      <c r="Z13" s="159"/>
    </row>
    <row r="14" spans="1:26">
      <c r="E14" s="59"/>
      <c r="F14" s="59"/>
      <c r="G14" s="59"/>
      <c r="H14" s="59"/>
      <c r="I14" s="56"/>
      <c r="J14" s="60"/>
      <c r="K14" s="60"/>
      <c r="L14" s="61"/>
      <c r="M14" s="60"/>
      <c r="N14" s="152"/>
      <c r="O14" s="62"/>
      <c r="P14" s="58"/>
      <c r="Q14" s="57"/>
      <c r="R14" s="57"/>
      <c r="U14" s="63"/>
      <c r="V14" s="63"/>
      <c r="W14" s="63"/>
      <c r="X14" s="59"/>
      <c r="Y14" s="159"/>
      <c r="Z14" s="159"/>
    </row>
    <row r="15" spans="1:26">
      <c r="E15" s="59"/>
      <c r="F15" s="59"/>
      <c r="G15" s="59"/>
      <c r="H15" s="59"/>
      <c r="I15" s="56"/>
      <c r="J15" s="60"/>
      <c r="K15" s="60"/>
      <c r="L15" s="61"/>
      <c r="M15" s="60"/>
      <c r="N15" s="152"/>
      <c r="O15" s="62"/>
      <c r="P15" s="58"/>
      <c r="Q15" s="57"/>
      <c r="R15" s="57"/>
      <c r="U15" s="63"/>
      <c r="V15" s="63"/>
      <c r="W15" s="63"/>
      <c r="X15" s="59"/>
      <c r="Y15" s="159"/>
      <c r="Z15" s="159"/>
    </row>
    <row r="16" spans="1:26">
      <c r="E16" s="59"/>
      <c r="F16" s="59"/>
      <c r="G16" s="59"/>
      <c r="H16" s="59"/>
      <c r="I16" s="56"/>
      <c r="J16" s="60"/>
      <c r="K16" s="60"/>
      <c r="L16" s="61"/>
      <c r="M16" s="60"/>
      <c r="N16" s="152"/>
      <c r="O16" s="62"/>
      <c r="P16" s="58"/>
      <c r="Q16" s="57"/>
      <c r="R16" s="57"/>
      <c r="U16" s="63"/>
      <c r="V16" s="63"/>
      <c r="W16" s="63"/>
      <c r="X16" s="59"/>
      <c r="Y16" s="159"/>
      <c r="Z16" s="159"/>
    </row>
    <row r="17" spans="5:26">
      <c r="E17" s="59"/>
      <c r="F17" s="59"/>
      <c r="G17" s="59"/>
      <c r="H17" s="59"/>
      <c r="I17" s="56"/>
      <c r="J17" s="60"/>
      <c r="K17" s="60"/>
      <c r="L17" s="61"/>
      <c r="M17" s="60"/>
      <c r="N17" s="152"/>
      <c r="O17" s="62"/>
      <c r="P17" s="58"/>
      <c r="Q17" s="57"/>
      <c r="R17" s="57"/>
      <c r="U17" s="63"/>
      <c r="V17" s="63"/>
      <c r="W17" s="63"/>
      <c r="X17" s="59"/>
      <c r="Y17" s="159"/>
      <c r="Z17" s="159"/>
    </row>
    <row r="18" spans="5:26">
      <c r="E18" s="59"/>
      <c r="F18" s="59"/>
      <c r="G18" s="59"/>
      <c r="H18" s="59"/>
      <c r="I18" s="56"/>
      <c r="J18" s="60"/>
      <c r="K18" s="60"/>
      <c r="L18" s="61"/>
      <c r="M18" s="60"/>
      <c r="N18" s="152"/>
      <c r="O18" s="62"/>
      <c r="P18" s="58"/>
      <c r="Q18" s="57"/>
      <c r="R18" s="57"/>
      <c r="U18" s="63"/>
      <c r="V18" s="63"/>
      <c r="W18" s="63"/>
      <c r="X18" s="59"/>
      <c r="Y18" s="159"/>
      <c r="Z18" s="159"/>
    </row>
    <row r="19" spans="5:26">
      <c r="E19" s="59"/>
      <c r="F19" s="59"/>
      <c r="G19" s="59"/>
      <c r="H19" s="59"/>
      <c r="I19" s="56"/>
      <c r="J19" s="60"/>
      <c r="K19" s="60"/>
      <c r="L19" s="61"/>
      <c r="M19" s="60"/>
      <c r="N19" s="152"/>
      <c r="O19" s="62"/>
      <c r="P19" s="58"/>
      <c r="Q19" s="57"/>
      <c r="R19" s="57"/>
      <c r="U19" s="63"/>
      <c r="V19" s="63"/>
      <c r="W19" s="63"/>
      <c r="X19" s="59"/>
      <c r="Y19" s="159"/>
      <c r="Z19" s="159"/>
    </row>
    <row r="20" spans="5:26">
      <c r="E20" s="59"/>
      <c r="F20" s="59"/>
      <c r="G20" s="59"/>
      <c r="H20" s="59"/>
      <c r="I20" s="56"/>
      <c r="J20" s="60"/>
      <c r="K20" s="60"/>
      <c r="L20" s="61"/>
      <c r="M20" s="60"/>
      <c r="N20" s="152"/>
      <c r="O20" s="62"/>
      <c r="P20" s="58"/>
      <c r="Q20" s="57"/>
      <c r="R20" s="57"/>
      <c r="U20" s="63"/>
      <c r="V20" s="63"/>
      <c r="W20" s="63"/>
      <c r="X20" s="59"/>
      <c r="Y20" s="159"/>
      <c r="Z20" s="159"/>
    </row>
    <row r="21" spans="5:26">
      <c r="E21" s="59"/>
      <c r="F21" s="59"/>
      <c r="G21" s="59"/>
      <c r="H21" s="59"/>
      <c r="I21" s="56"/>
      <c r="J21" s="60"/>
      <c r="K21" s="60"/>
      <c r="L21" s="61"/>
      <c r="M21" s="60"/>
      <c r="N21" s="152"/>
      <c r="O21" s="62"/>
      <c r="P21" s="58"/>
      <c r="Q21" s="57"/>
      <c r="R21" s="57"/>
      <c r="U21" s="63"/>
      <c r="V21" s="63"/>
      <c r="W21" s="63"/>
      <c r="X21" s="59"/>
      <c r="Y21" s="159"/>
      <c r="Z21" s="159"/>
    </row>
    <row r="22" spans="5:26">
      <c r="E22" s="59"/>
      <c r="F22" s="59"/>
      <c r="G22" s="59"/>
      <c r="H22" s="59"/>
      <c r="I22" s="56"/>
      <c r="J22" s="60"/>
      <c r="K22" s="60"/>
      <c r="L22" s="61"/>
      <c r="M22" s="60"/>
      <c r="N22" s="152"/>
      <c r="O22" s="62"/>
      <c r="P22" s="58"/>
      <c r="Q22" s="57"/>
      <c r="R22" s="57"/>
      <c r="U22" s="63"/>
      <c r="V22" s="63"/>
      <c r="W22" s="63"/>
      <c r="X22" s="59"/>
      <c r="Y22" s="159"/>
      <c r="Z22" s="159"/>
    </row>
    <row r="23" spans="5:26">
      <c r="E23" s="59"/>
      <c r="F23" s="59"/>
      <c r="G23" s="59"/>
      <c r="H23" s="59"/>
      <c r="I23" s="56"/>
      <c r="J23" s="60"/>
      <c r="K23" s="60"/>
      <c r="L23" s="61"/>
      <c r="M23" s="60"/>
      <c r="N23" s="152"/>
      <c r="O23" s="62"/>
      <c r="P23" s="58"/>
      <c r="Q23" s="57"/>
      <c r="R23" s="57"/>
      <c r="U23" s="63"/>
      <c r="V23" s="63"/>
      <c r="W23" s="63"/>
      <c r="X23" s="59"/>
      <c r="Y23" s="159"/>
      <c r="Z23" s="159"/>
    </row>
    <row r="24" spans="5:26">
      <c r="E24" s="59"/>
      <c r="F24" s="59"/>
      <c r="G24" s="59"/>
      <c r="H24" s="59"/>
      <c r="I24" s="56"/>
      <c r="J24" s="60"/>
      <c r="K24" s="60"/>
      <c r="L24" s="61"/>
      <c r="M24" s="60"/>
      <c r="N24" s="152"/>
      <c r="O24" s="62"/>
      <c r="P24" s="58"/>
      <c r="Q24" s="57"/>
      <c r="R24" s="57"/>
      <c r="U24" s="63"/>
      <c r="V24" s="63"/>
      <c r="W24" s="63"/>
      <c r="X24" s="59"/>
      <c r="Y24" s="159"/>
      <c r="Z24" s="159"/>
    </row>
    <row r="25" spans="5:26">
      <c r="E25" s="59"/>
      <c r="F25" s="59"/>
      <c r="G25" s="59"/>
      <c r="H25" s="59"/>
      <c r="I25" s="56"/>
      <c r="J25" s="60"/>
      <c r="K25" s="60"/>
      <c r="L25" s="61"/>
      <c r="M25" s="60"/>
      <c r="N25" s="152"/>
      <c r="O25" s="62"/>
      <c r="P25" s="58"/>
      <c r="Q25" s="57"/>
      <c r="R25" s="57"/>
      <c r="U25" s="63"/>
      <c r="V25" s="63"/>
      <c r="W25" s="63"/>
      <c r="X25" s="59"/>
      <c r="Y25" s="159"/>
      <c r="Z25" s="159"/>
    </row>
    <row r="26" spans="5:26">
      <c r="E26" s="59"/>
      <c r="F26" s="59"/>
      <c r="G26" s="59"/>
      <c r="H26" s="59"/>
      <c r="I26" s="56"/>
      <c r="J26" s="60"/>
      <c r="K26" s="60"/>
      <c r="L26" s="61"/>
      <c r="M26" s="60"/>
      <c r="N26" s="152"/>
      <c r="O26" s="62"/>
      <c r="P26" s="58"/>
      <c r="Q26" s="57"/>
      <c r="R26" s="57"/>
      <c r="U26" s="63"/>
      <c r="V26" s="63"/>
      <c r="W26" s="63"/>
      <c r="X26" s="59"/>
      <c r="Y26" s="159"/>
      <c r="Z26" s="159"/>
    </row>
    <row r="27" spans="5:26">
      <c r="E27" s="59"/>
      <c r="F27" s="59"/>
      <c r="G27" s="59"/>
      <c r="H27" s="59"/>
      <c r="I27" s="56"/>
      <c r="J27" s="60"/>
      <c r="K27" s="60"/>
      <c r="L27" s="61"/>
      <c r="M27" s="60"/>
      <c r="N27" s="152"/>
      <c r="O27" s="62"/>
      <c r="P27" s="58"/>
      <c r="Q27" s="57"/>
      <c r="R27" s="57"/>
      <c r="U27" s="63"/>
      <c r="V27" s="63"/>
      <c r="W27" s="63"/>
      <c r="X27" s="59"/>
      <c r="Y27" s="159"/>
      <c r="Z27" s="159"/>
    </row>
    <row r="28" spans="5:26">
      <c r="E28" s="59"/>
      <c r="F28" s="59"/>
      <c r="G28" s="59"/>
      <c r="H28" s="59"/>
      <c r="I28" s="56"/>
      <c r="J28" s="60"/>
      <c r="K28" s="60"/>
      <c r="L28" s="61"/>
      <c r="M28" s="60"/>
      <c r="N28" s="152"/>
      <c r="O28" s="62"/>
      <c r="P28" s="58"/>
      <c r="Q28" s="57"/>
      <c r="R28" s="57"/>
      <c r="U28" s="63"/>
      <c r="V28" s="63"/>
      <c r="W28" s="63"/>
      <c r="X28" s="59"/>
      <c r="Y28" s="159"/>
      <c r="Z28" s="159"/>
    </row>
    <row r="29" spans="5:26">
      <c r="E29" s="59"/>
      <c r="F29" s="59"/>
      <c r="G29" s="59"/>
      <c r="H29" s="59"/>
      <c r="I29" s="56"/>
      <c r="J29" s="60"/>
      <c r="K29" s="60"/>
      <c r="L29" s="61"/>
      <c r="M29" s="60"/>
      <c r="N29" s="152"/>
      <c r="O29" s="62"/>
      <c r="P29" s="58"/>
      <c r="Q29" s="57"/>
      <c r="R29" s="57"/>
      <c r="U29" s="63"/>
      <c r="V29" s="63"/>
      <c r="W29" s="63"/>
      <c r="X29" s="59"/>
      <c r="Y29" s="159"/>
      <c r="Z29" s="159"/>
    </row>
    <row r="30" spans="5:26">
      <c r="E30" s="59"/>
      <c r="F30" s="59"/>
      <c r="G30" s="59"/>
      <c r="H30" s="59"/>
      <c r="I30" s="56"/>
      <c r="J30" s="60"/>
      <c r="K30" s="60"/>
      <c r="L30" s="61"/>
      <c r="M30" s="60"/>
      <c r="N30" s="152"/>
      <c r="O30" s="62"/>
      <c r="P30" s="58"/>
      <c r="Q30" s="57"/>
      <c r="R30" s="57"/>
      <c r="U30" s="63"/>
      <c r="V30" s="63"/>
      <c r="W30" s="63"/>
      <c r="X30" s="59"/>
      <c r="Y30" s="159"/>
      <c r="Z30" s="159"/>
    </row>
    <row r="31" spans="5:26">
      <c r="E31" s="59"/>
      <c r="F31" s="59"/>
      <c r="G31" s="59"/>
      <c r="H31" s="59"/>
      <c r="I31" s="56"/>
      <c r="J31" s="60"/>
      <c r="K31" s="60"/>
      <c r="L31" s="61"/>
      <c r="M31" s="60"/>
      <c r="N31" s="152"/>
      <c r="O31" s="62"/>
      <c r="P31" s="58"/>
      <c r="Q31" s="57"/>
      <c r="R31" s="57"/>
      <c r="U31" s="63"/>
      <c r="V31" s="63"/>
      <c r="W31" s="63"/>
      <c r="X31" s="59"/>
      <c r="Y31" s="159"/>
      <c r="Z31" s="159"/>
    </row>
    <row r="32" spans="5:26">
      <c r="E32" s="59"/>
      <c r="F32" s="59"/>
      <c r="G32" s="59"/>
      <c r="H32" s="59"/>
      <c r="I32" s="56"/>
      <c r="J32" s="60"/>
      <c r="K32" s="60"/>
      <c r="L32" s="61"/>
      <c r="M32" s="60"/>
      <c r="N32" s="152"/>
      <c r="O32" s="62"/>
      <c r="P32" s="58"/>
      <c r="Q32" s="57"/>
      <c r="R32" s="57"/>
      <c r="U32" s="63"/>
      <c r="V32" s="63"/>
      <c r="W32" s="63"/>
      <c r="X32" s="59"/>
      <c r="Y32" s="159"/>
      <c r="Z32" s="159"/>
    </row>
    <row r="33" spans="5:26">
      <c r="E33" s="59"/>
      <c r="F33" s="59"/>
      <c r="G33" s="59"/>
      <c r="H33" s="59"/>
      <c r="I33" s="56"/>
      <c r="J33" s="60"/>
      <c r="K33" s="60"/>
      <c r="L33" s="61"/>
      <c r="M33" s="60"/>
      <c r="N33" s="152"/>
      <c r="O33" s="62"/>
      <c r="P33" s="58"/>
      <c r="Q33" s="57"/>
      <c r="R33" s="57"/>
      <c r="U33" s="63"/>
      <c r="V33" s="63"/>
      <c r="W33" s="63"/>
      <c r="X33" s="59"/>
      <c r="Y33" s="159"/>
      <c r="Z33" s="159"/>
    </row>
    <row r="34" spans="5:26">
      <c r="E34" s="59"/>
      <c r="F34" s="59"/>
      <c r="G34" s="59"/>
      <c r="H34" s="59"/>
      <c r="I34" s="56"/>
      <c r="J34" s="60"/>
      <c r="K34" s="60"/>
      <c r="L34" s="61"/>
      <c r="M34" s="60"/>
      <c r="N34" s="152"/>
      <c r="O34" s="62"/>
      <c r="P34" s="58"/>
      <c r="Q34" s="57"/>
      <c r="R34" s="57"/>
      <c r="U34" s="63"/>
      <c r="V34" s="63"/>
      <c r="W34" s="63"/>
      <c r="X34" s="59"/>
      <c r="Y34" s="159"/>
      <c r="Z34" s="159"/>
    </row>
    <row r="35" spans="5:26">
      <c r="E35" s="59"/>
      <c r="F35" s="59"/>
      <c r="G35" s="59"/>
      <c r="H35" s="59"/>
      <c r="I35" s="56"/>
      <c r="J35" s="60"/>
      <c r="K35" s="60"/>
      <c r="L35" s="61"/>
      <c r="M35" s="60"/>
      <c r="N35" s="152"/>
      <c r="O35" s="62"/>
      <c r="P35" s="58"/>
      <c r="Q35" s="57"/>
      <c r="R35" s="57"/>
      <c r="U35" s="63"/>
      <c r="V35" s="63"/>
      <c r="W35" s="63"/>
      <c r="X35" s="59"/>
      <c r="Y35" s="159"/>
      <c r="Z35" s="159"/>
    </row>
    <row r="36" spans="5:26">
      <c r="E36" s="59"/>
      <c r="F36" s="59"/>
      <c r="G36" s="59"/>
      <c r="H36" s="59"/>
      <c r="I36" s="56"/>
      <c r="J36" s="60"/>
      <c r="K36" s="60"/>
      <c r="L36" s="61"/>
      <c r="M36" s="60"/>
      <c r="N36" s="152"/>
      <c r="O36" s="62"/>
      <c r="P36" s="58"/>
      <c r="Q36" s="57"/>
      <c r="R36" s="57"/>
      <c r="U36" s="63"/>
      <c r="V36" s="63"/>
      <c r="W36" s="63"/>
      <c r="X36" s="59"/>
      <c r="Y36" s="159"/>
      <c r="Z36" s="159"/>
    </row>
    <row r="37" spans="5:26">
      <c r="E37" s="59"/>
      <c r="F37" s="59"/>
      <c r="G37" s="59"/>
      <c r="H37" s="59"/>
      <c r="I37" s="56"/>
      <c r="J37" s="60"/>
      <c r="K37" s="60"/>
      <c r="L37" s="61"/>
      <c r="M37" s="60"/>
      <c r="N37" s="152"/>
      <c r="O37" s="62"/>
      <c r="P37" s="58"/>
      <c r="Q37" s="57"/>
      <c r="R37" s="57"/>
      <c r="U37" s="63"/>
      <c r="V37" s="63"/>
      <c r="W37" s="63"/>
      <c r="X37" s="59"/>
      <c r="Y37" s="159"/>
      <c r="Z37" s="159"/>
    </row>
    <row r="38" spans="5:26">
      <c r="E38" s="59"/>
      <c r="F38" s="59"/>
      <c r="G38" s="59"/>
      <c r="H38" s="59"/>
      <c r="I38" s="56"/>
      <c r="J38" s="60"/>
      <c r="K38" s="60"/>
      <c r="L38" s="61"/>
      <c r="M38" s="60"/>
      <c r="N38" s="152"/>
      <c r="O38" s="62"/>
      <c r="P38" s="58"/>
      <c r="Q38" s="57"/>
      <c r="R38" s="57"/>
      <c r="U38" s="63"/>
      <c r="V38" s="63"/>
      <c r="W38" s="63"/>
      <c r="X38" s="59"/>
      <c r="Y38" s="159"/>
      <c r="Z38" s="159"/>
    </row>
    <row r="39" spans="5:26">
      <c r="E39" s="59"/>
      <c r="F39" s="59"/>
      <c r="G39" s="59"/>
      <c r="H39" s="59"/>
      <c r="I39" s="56"/>
      <c r="J39" s="60"/>
      <c r="K39" s="60"/>
      <c r="L39" s="61"/>
      <c r="M39" s="60"/>
      <c r="N39" s="152"/>
      <c r="O39" s="62"/>
      <c r="P39" s="58"/>
      <c r="Q39" s="57"/>
      <c r="R39" s="57"/>
      <c r="U39" s="63"/>
      <c r="V39" s="63"/>
      <c r="W39" s="63"/>
      <c r="X39" s="59"/>
      <c r="Y39" s="159"/>
      <c r="Z39" s="159"/>
    </row>
    <row r="40" spans="5:26">
      <c r="E40" s="59"/>
      <c r="F40" s="59"/>
      <c r="G40" s="59"/>
      <c r="H40" s="59"/>
      <c r="I40" s="56"/>
      <c r="J40" s="60"/>
      <c r="K40" s="60"/>
      <c r="L40" s="61"/>
      <c r="M40" s="60"/>
      <c r="N40" s="152"/>
      <c r="O40" s="62"/>
      <c r="P40" s="58"/>
      <c r="Q40" s="57"/>
      <c r="R40" s="57"/>
      <c r="U40" s="63"/>
      <c r="V40" s="63"/>
      <c r="W40" s="63"/>
      <c r="X40" s="59"/>
      <c r="Y40" s="159"/>
      <c r="Z40" s="159"/>
    </row>
    <row r="41" spans="5:26">
      <c r="E41" s="59"/>
      <c r="F41" s="59"/>
      <c r="G41" s="59"/>
      <c r="H41" s="59"/>
      <c r="I41" s="56"/>
      <c r="J41" s="60"/>
      <c r="K41" s="60"/>
      <c r="L41" s="61"/>
      <c r="M41" s="60"/>
      <c r="N41" s="152"/>
      <c r="O41" s="62"/>
      <c r="P41" s="58"/>
      <c r="Q41" s="57"/>
      <c r="R41" s="57"/>
      <c r="U41" s="63"/>
      <c r="V41" s="63"/>
      <c r="W41" s="63"/>
      <c r="X41" s="59"/>
      <c r="Y41" s="159"/>
      <c r="Z41" s="159"/>
    </row>
    <row r="42" spans="5:26">
      <c r="E42" s="59"/>
      <c r="F42" s="59"/>
      <c r="G42" s="59"/>
      <c r="H42" s="59"/>
      <c r="I42" s="56"/>
      <c r="J42" s="60"/>
      <c r="K42" s="60"/>
      <c r="L42" s="61"/>
      <c r="M42" s="60"/>
      <c r="N42" s="152"/>
      <c r="O42" s="62"/>
      <c r="P42" s="58"/>
      <c r="Q42" s="57"/>
      <c r="R42" s="57"/>
      <c r="U42" s="63"/>
      <c r="V42" s="63"/>
      <c r="W42" s="63"/>
      <c r="X42" s="59"/>
      <c r="Y42" s="159"/>
      <c r="Z42" s="159"/>
    </row>
    <row r="43" spans="5:26">
      <c r="E43" s="59"/>
      <c r="F43" s="59"/>
      <c r="G43" s="59"/>
      <c r="H43" s="59"/>
      <c r="I43" s="56"/>
      <c r="J43" s="60"/>
      <c r="K43" s="60"/>
      <c r="L43" s="61"/>
      <c r="M43" s="60"/>
      <c r="N43" s="152"/>
      <c r="O43" s="62"/>
      <c r="P43" s="58"/>
      <c r="Q43" s="57"/>
      <c r="R43" s="57"/>
      <c r="U43" s="63"/>
      <c r="V43" s="63"/>
      <c r="W43" s="63"/>
      <c r="X43" s="59"/>
      <c r="Y43" s="159"/>
      <c r="Z43" s="159"/>
    </row>
    <row r="44" spans="5:26">
      <c r="E44" s="59"/>
      <c r="F44" s="59"/>
      <c r="G44" s="59"/>
      <c r="H44" s="59"/>
      <c r="I44" s="56"/>
      <c r="J44" s="60"/>
      <c r="K44" s="60"/>
      <c r="L44" s="61"/>
      <c r="M44" s="60"/>
      <c r="N44" s="152"/>
      <c r="O44" s="62"/>
      <c r="P44" s="58"/>
      <c r="Q44" s="57"/>
      <c r="R44" s="57"/>
      <c r="U44" s="63"/>
      <c r="V44" s="63"/>
      <c r="W44" s="63"/>
      <c r="X44" s="59"/>
      <c r="Y44" s="159"/>
      <c r="Z44" s="159"/>
    </row>
    <row r="45" spans="5:26">
      <c r="E45" s="59"/>
      <c r="F45" s="59"/>
      <c r="G45" s="59"/>
      <c r="H45" s="59"/>
      <c r="I45" s="56"/>
      <c r="J45" s="60"/>
      <c r="K45" s="60"/>
      <c r="L45" s="61"/>
      <c r="M45" s="60"/>
      <c r="N45" s="152"/>
      <c r="O45" s="62"/>
      <c r="P45" s="58"/>
      <c r="Q45" s="57"/>
      <c r="R45" s="57"/>
      <c r="U45" s="63"/>
      <c r="V45" s="63"/>
      <c r="W45" s="63"/>
      <c r="X45" s="59"/>
      <c r="Y45" s="159"/>
      <c r="Z45" s="159"/>
    </row>
    <row r="46" spans="5:26">
      <c r="E46" s="59"/>
      <c r="F46" s="59"/>
      <c r="G46" s="59"/>
      <c r="H46" s="59"/>
      <c r="I46" s="56"/>
      <c r="J46" s="60"/>
      <c r="K46" s="60"/>
      <c r="L46" s="61"/>
      <c r="M46" s="60"/>
      <c r="N46" s="152"/>
      <c r="O46" s="62"/>
      <c r="P46" s="58"/>
      <c r="Q46" s="57"/>
      <c r="R46" s="57"/>
      <c r="U46" s="63"/>
      <c r="V46" s="63"/>
      <c r="W46" s="63"/>
      <c r="X46" s="59"/>
      <c r="Y46" s="159"/>
      <c r="Z46" s="159"/>
    </row>
    <row r="47" spans="5:26">
      <c r="E47" s="59"/>
      <c r="F47" s="59"/>
      <c r="G47" s="59"/>
      <c r="H47" s="59"/>
      <c r="I47" s="56"/>
      <c r="J47" s="60"/>
      <c r="K47" s="60"/>
      <c r="L47" s="61"/>
      <c r="M47" s="60"/>
      <c r="N47" s="152"/>
      <c r="O47" s="62"/>
      <c r="P47" s="58"/>
      <c r="Q47" s="57"/>
      <c r="R47" s="57"/>
      <c r="U47" s="63"/>
      <c r="V47" s="63"/>
      <c r="W47" s="63"/>
      <c r="X47" s="59"/>
      <c r="Y47" s="159"/>
      <c r="Z47" s="159"/>
    </row>
    <row r="48" spans="5:26">
      <c r="E48" s="59"/>
      <c r="F48" s="59"/>
      <c r="G48" s="59"/>
      <c r="H48" s="59"/>
      <c r="I48" s="56"/>
      <c r="J48" s="60"/>
      <c r="K48" s="60"/>
      <c r="L48" s="61"/>
      <c r="M48" s="60"/>
      <c r="N48" s="152"/>
      <c r="O48" s="62"/>
      <c r="P48" s="58"/>
      <c r="Q48" s="57"/>
      <c r="R48" s="57"/>
      <c r="U48" s="63"/>
      <c r="V48" s="63"/>
      <c r="W48" s="63"/>
      <c r="X48" s="59"/>
      <c r="Y48" s="159"/>
      <c r="Z48" s="159"/>
    </row>
    <row r="49" spans="1:26">
      <c r="E49" s="59"/>
      <c r="F49" s="59"/>
      <c r="G49" s="59"/>
      <c r="H49" s="59"/>
      <c r="I49" s="56"/>
      <c r="J49" s="60"/>
      <c r="K49" s="60"/>
      <c r="L49" s="61"/>
      <c r="M49" s="60"/>
      <c r="N49" s="152"/>
      <c r="O49" s="62"/>
      <c r="P49" s="58"/>
      <c r="Q49" s="57"/>
      <c r="R49" s="57"/>
      <c r="U49" s="63"/>
      <c r="V49" s="63"/>
      <c r="W49" s="63"/>
      <c r="X49" s="59"/>
      <c r="Y49" s="159"/>
      <c r="Z49" s="159"/>
    </row>
    <row r="50" spans="1:26">
      <c r="E50" s="59"/>
      <c r="F50" s="59"/>
      <c r="G50" s="59"/>
      <c r="H50" s="59"/>
      <c r="I50" s="56"/>
      <c r="J50" s="60"/>
      <c r="K50" s="60"/>
      <c r="L50" s="61"/>
      <c r="M50" s="60"/>
      <c r="N50" s="152"/>
      <c r="O50" s="62"/>
      <c r="P50" s="58"/>
      <c r="Q50" s="57"/>
      <c r="R50" s="57"/>
      <c r="U50" s="63"/>
      <c r="V50" s="63"/>
      <c r="W50" s="63"/>
      <c r="X50" s="59"/>
      <c r="Y50" s="159"/>
      <c r="Z50" s="159"/>
    </row>
    <row r="51" spans="1:26">
      <c r="E51" s="59"/>
      <c r="F51" s="59"/>
      <c r="G51" s="59"/>
      <c r="H51" s="59"/>
      <c r="I51" s="56"/>
      <c r="J51" s="60"/>
      <c r="K51" s="60"/>
      <c r="L51" s="61"/>
      <c r="M51" s="60"/>
      <c r="N51" s="153"/>
      <c r="O51" s="62"/>
      <c r="P51" s="58"/>
      <c r="Q51" s="57"/>
      <c r="R51" s="57"/>
      <c r="U51" s="63"/>
      <c r="V51" s="63"/>
      <c r="W51" s="63"/>
      <c r="X51" s="59"/>
      <c r="Y51" s="159"/>
      <c r="Z51" s="159"/>
    </row>
    <row r="52" spans="1:26">
      <c r="E52" s="59"/>
      <c r="F52" s="59"/>
      <c r="G52" s="59"/>
      <c r="H52" s="59"/>
      <c r="I52" s="56"/>
      <c r="J52" s="60"/>
      <c r="K52" s="60"/>
      <c r="L52" s="61"/>
      <c r="M52" s="60"/>
      <c r="N52" s="154"/>
      <c r="O52" s="62"/>
      <c r="P52" s="58"/>
      <c r="Q52" s="57"/>
      <c r="R52" s="57"/>
      <c r="U52" s="63"/>
      <c r="V52" s="63"/>
      <c r="W52" s="63"/>
      <c r="X52" s="59"/>
      <c r="Y52" s="159"/>
      <c r="Z52" s="159"/>
    </row>
    <row r="53" spans="1:26">
      <c r="E53" s="59"/>
      <c r="F53" s="59"/>
      <c r="G53" s="59"/>
      <c r="H53" s="59"/>
      <c r="I53" s="56"/>
      <c r="J53" s="60"/>
      <c r="K53" s="60"/>
      <c r="L53" s="61"/>
      <c r="M53" s="60"/>
      <c r="N53" s="154"/>
      <c r="O53" s="62"/>
      <c r="P53" s="58"/>
      <c r="Q53" s="57"/>
      <c r="R53" s="57"/>
      <c r="U53" s="63"/>
      <c r="V53" s="63"/>
      <c r="W53" s="63"/>
      <c r="X53" s="59"/>
      <c r="Y53" s="159"/>
      <c r="Z53" s="159"/>
    </row>
    <row r="54" spans="1:26">
      <c r="B54" s="5" t="s">
        <v>393</v>
      </c>
      <c r="C54" s="5" t="s">
        <v>394</v>
      </c>
      <c r="D54" s="5" t="s">
        <v>118</v>
      </c>
      <c r="E54" s="59" t="str">
        <f>VLOOKUP($D54,mapping!$F:$X,5,0)</f>
        <v>268220舒洁女性湿厕纸10包装</v>
      </c>
      <c r="F54" s="59">
        <f>VLOOKUP($D54,mapping!$F:$X,6,0)</f>
        <v>4</v>
      </c>
      <c r="G54" s="59">
        <f>VLOOKUP($D54,mapping!$F:$X,7,0)</f>
        <v>40</v>
      </c>
      <c r="H54" s="59">
        <f>VLOOKUP($D54,mapping!$F:$X,14,0)</f>
        <v>255.40530999999999</v>
      </c>
      <c r="I54" s="56">
        <f t="shared" ref="I54:I75" si="12">H54/F54</f>
        <v>63.851327499999996</v>
      </c>
      <c r="J54" s="60">
        <f t="shared" ref="J54:J75" si="13">H54*0.935</f>
        <v>238.80396485</v>
      </c>
      <c r="K54" s="60">
        <f t="shared" ref="K54:K75" si="14">J54*1.13*0.966</f>
        <v>260.673631950963</v>
      </c>
      <c r="L54" s="61">
        <f t="shared" ref="L54:L75" si="15">J54*N54*1.13</f>
        <v>80.954544084150001</v>
      </c>
      <c r="M54" s="60">
        <f t="shared" ref="M54:M75" si="16">K54-L54</f>
        <v>179.719087866813</v>
      </c>
      <c r="N54" s="154">
        <v>0.3</v>
      </c>
      <c r="O54" s="62">
        <f t="shared" ref="O54:O66" si="17">M54/G54</f>
        <v>4.4929771966703251</v>
      </c>
      <c r="P54" s="58">
        <v>1</v>
      </c>
      <c r="Q54" s="57">
        <v>45839</v>
      </c>
      <c r="R54" s="57">
        <v>45930</v>
      </c>
      <c r="U54" s="63">
        <f t="shared" ref="U54:U67" si="18">M54/0.966</f>
        <v>186.04460441699069</v>
      </c>
      <c r="V54" s="63">
        <f t="shared" ref="V54:V67" si="19">U54/1.13</f>
        <v>164.64124284689444</v>
      </c>
      <c r="W54" s="63">
        <f t="shared" ref="W54:W67" si="20">(H54-V54)*1000</f>
        <v>90764.067153105541</v>
      </c>
      <c r="X54" s="59" t="str">
        <f>VLOOKUP($D54,mapping!F:X,18,0)</f>
        <v>舒洁湿厕纸巾</v>
      </c>
      <c r="Y54" s="159">
        <v>6.5000000000000002E-2</v>
      </c>
      <c r="Z54" s="159">
        <v>3.4000000000000002E-2</v>
      </c>
    </row>
    <row r="55" spans="1:26">
      <c r="B55" s="5" t="s">
        <v>393</v>
      </c>
      <c r="C55" s="5" t="s">
        <v>394</v>
      </c>
      <c r="D55" s="5" t="s">
        <v>104</v>
      </c>
      <c r="E55" s="59" t="str">
        <f>VLOOKUP($D55,mapping!$F:$X,5,0)</f>
        <v>267300舒洁山茶花系列湿厕纸60片</v>
      </c>
      <c r="F55" s="59">
        <f>VLOOKUP($D55,mapping!$F:$X,6,0)</f>
        <v>24</v>
      </c>
      <c r="G55" s="59">
        <f>VLOOKUP($D55,mapping!$F:$X,7,0)</f>
        <v>24</v>
      </c>
      <c r="H55" s="59">
        <f>VLOOKUP($D55,mapping!$F:$X,14,0)</f>
        <v>244.8</v>
      </c>
      <c r="I55" s="56">
        <f t="shared" si="12"/>
        <v>10.200000000000001</v>
      </c>
      <c r="J55" s="60">
        <f t="shared" si="13"/>
        <v>228.88800000000003</v>
      </c>
      <c r="K55" s="60">
        <f t="shared" si="14"/>
        <v>249.84956303999999</v>
      </c>
      <c r="L55" s="61">
        <f t="shared" si="15"/>
        <v>51.728688000000005</v>
      </c>
      <c r="M55" s="60">
        <f t="shared" si="16"/>
        <v>198.12087503999999</v>
      </c>
      <c r="N55" s="154">
        <v>0.2</v>
      </c>
      <c r="O55" s="62">
        <f t="shared" si="17"/>
        <v>8.2550364599999995</v>
      </c>
      <c r="P55" s="58">
        <v>1</v>
      </c>
      <c r="Q55" s="57">
        <v>45839</v>
      </c>
      <c r="R55" s="57">
        <v>45930</v>
      </c>
      <c r="U55" s="63">
        <f t="shared" si="18"/>
        <v>205.09407354037268</v>
      </c>
      <c r="V55" s="63">
        <f t="shared" si="19"/>
        <v>181.49918012422361</v>
      </c>
      <c r="W55" s="63">
        <f t="shared" si="20"/>
        <v>63300.819875776397</v>
      </c>
      <c r="X55" s="59" t="str">
        <f>VLOOKUP($D55,mapping!F:X,18,0)</f>
        <v>舒洁湿厕纸巾</v>
      </c>
      <c r="Y55" s="159">
        <v>6.5000000000000002E-2</v>
      </c>
      <c r="Z55" s="159">
        <v>3.4000000000000002E-2</v>
      </c>
    </row>
    <row r="56" spans="1:26">
      <c r="B56" s="5" t="s">
        <v>393</v>
      </c>
      <c r="C56" s="5" t="s">
        <v>394</v>
      </c>
      <c r="D56" s="5" t="s">
        <v>77</v>
      </c>
      <c r="E56" s="59" t="str">
        <f>VLOOKUP($D56,mapping!$F:$X,5,0)</f>
        <v>267030舒洁湿厕纸旅行装10包装</v>
      </c>
      <c r="F56" s="59">
        <f>VLOOKUP($D56,mapping!$F:$X,6,0)</f>
        <v>4</v>
      </c>
      <c r="G56" s="59">
        <f>VLOOKUP($D56,mapping!$F:$X,7,0)</f>
        <v>40</v>
      </c>
      <c r="H56" s="59">
        <f>VLOOKUP($D56,mapping!$F:$X,14,0)</f>
        <v>151.33257</v>
      </c>
      <c r="I56" s="56">
        <f t="shared" si="12"/>
        <v>37.833142500000001</v>
      </c>
      <c r="J56" s="60">
        <f t="shared" si="13"/>
        <v>141.49595295</v>
      </c>
      <c r="K56" s="60">
        <f t="shared" si="14"/>
        <v>154.45415232116099</v>
      </c>
      <c r="L56" s="61">
        <f t="shared" si="15"/>
        <v>55.96164939172499</v>
      </c>
      <c r="M56" s="60">
        <f t="shared" si="16"/>
        <v>98.492502929436</v>
      </c>
      <c r="N56" s="154">
        <v>0.35</v>
      </c>
      <c r="O56" s="62">
        <f t="shared" si="17"/>
        <v>2.4623125732358999</v>
      </c>
      <c r="P56" s="58">
        <v>1</v>
      </c>
      <c r="Q56" s="57">
        <v>45839</v>
      </c>
      <c r="R56" s="57">
        <v>45930</v>
      </c>
      <c r="U56" s="63">
        <f t="shared" si="18"/>
        <v>101.9591127633913</v>
      </c>
      <c r="V56" s="63">
        <f t="shared" si="19"/>
        <v>90.229303330434789</v>
      </c>
      <c r="W56" s="63">
        <f t="shared" si="20"/>
        <v>61103.266669565215</v>
      </c>
      <c r="X56" s="59" t="str">
        <f>VLOOKUP($D56,mapping!F:X,18,0)</f>
        <v>舒洁湿厕纸巾</v>
      </c>
      <c r="Y56" s="159">
        <v>6.5000000000000002E-2</v>
      </c>
      <c r="Z56" s="159">
        <v>3.4000000000000002E-2</v>
      </c>
    </row>
    <row r="57" spans="1:26">
      <c r="B57" s="5" t="s">
        <v>393</v>
      </c>
      <c r="C57" s="5" t="s">
        <v>394</v>
      </c>
      <c r="D57" s="5" t="s">
        <v>70</v>
      </c>
      <c r="E57" s="59" t="str">
        <f>VLOOKUP($D57,mapping!$F:$X,5,0)</f>
        <v>266600舒洁湿厕纸100片x6包-植物双萃</v>
      </c>
      <c r="F57" s="59">
        <f>VLOOKUP($D57,mapping!$F:$X,6,0)</f>
        <v>1</v>
      </c>
      <c r="G57" s="59">
        <f>VLOOKUP($D57,mapping!$F:$X,7,0)</f>
        <v>6</v>
      </c>
      <c r="H57" s="59">
        <f>VLOOKUP($D57,mapping!$F:$X,14,0)</f>
        <v>86.75</v>
      </c>
      <c r="I57" s="56">
        <f t="shared" si="12"/>
        <v>86.75</v>
      </c>
      <c r="J57" s="60">
        <f t="shared" si="13"/>
        <v>81.111249999999998</v>
      </c>
      <c r="K57" s="60">
        <f t="shared" si="14"/>
        <v>88.539418274999989</v>
      </c>
      <c r="L57" s="61">
        <f t="shared" si="15"/>
        <v>18.331142499999999</v>
      </c>
      <c r="M57" s="60">
        <f t="shared" si="16"/>
        <v>70.20827577499999</v>
      </c>
      <c r="N57" s="154">
        <v>0.2</v>
      </c>
      <c r="O57" s="62">
        <f t="shared" si="17"/>
        <v>11.701379295833332</v>
      </c>
      <c r="P57" s="58">
        <v>1</v>
      </c>
      <c r="Q57" s="57">
        <v>45839</v>
      </c>
      <c r="R57" s="57">
        <v>45930</v>
      </c>
      <c r="U57" s="63">
        <f t="shared" si="18"/>
        <v>72.679374508281569</v>
      </c>
      <c r="V57" s="63">
        <f t="shared" si="19"/>
        <v>64.318030538302281</v>
      </c>
      <c r="W57" s="63">
        <f t="shared" si="20"/>
        <v>22431.969461697718</v>
      </c>
      <c r="X57" s="59" t="str">
        <f>VLOOKUP($D57,mapping!F:X,18,0)</f>
        <v>舒洁湿厕纸巾</v>
      </c>
      <c r="Y57" s="159">
        <v>6.5000000000000002E-2</v>
      </c>
      <c r="Z57" s="159">
        <v>3.4000000000000002E-2</v>
      </c>
    </row>
    <row r="58" spans="1:26">
      <c r="A58" t="s">
        <v>391</v>
      </c>
      <c r="B58" s="5" t="s">
        <v>393</v>
      </c>
      <c r="C58" s="5" t="s">
        <v>394</v>
      </c>
      <c r="D58" s="5" t="s">
        <v>47</v>
      </c>
      <c r="E58" s="59" t="str">
        <f>VLOOKUP($D58,mapping!$F:$X,5,0)</f>
        <v>266000舒洁湿厕纸80片</v>
      </c>
      <c r="F58" s="59">
        <f>VLOOKUP($D58,mapping!$F:$X,6,0)</f>
        <v>24</v>
      </c>
      <c r="G58" s="59">
        <f>VLOOKUP($D58,mapping!$F:$X,7,0)</f>
        <v>24</v>
      </c>
      <c r="H58" s="59">
        <f>VLOOKUP($D58,mapping!$F:$X,14,0)</f>
        <v>326.88</v>
      </c>
      <c r="I58" s="56">
        <f t="shared" si="12"/>
        <v>13.62</v>
      </c>
      <c r="J58" s="60">
        <f t="shared" si="13"/>
        <v>305.63280000000003</v>
      </c>
      <c r="K58" s="60">
        <f t="shared" si="14"/>
        <v>333.622651824</v>
      </c>
      <c r="L58" s="61">
        <f t="shared" si="15"/>
        <v>103.60951919999999</v>
      </c>
      <c r="M58" s="60">
        <f t="shared" si="16"/>
        <v>230.01313262400001</v>
      </c>
      <c r="N58" s="154">
        <v>0.3</v>
      </c>
      <c r="O58" s="62">
        <f t="shared" si="17"/>
        <v>9.5838805259999997</v>
      </c>
      <c r="P58" s="58">
        <v>1</v>
      </c>
      <c r="Q58" s="57">
        <v>45839</v>
      </c>
      <c r="R58" s="57">
        <v>45930</v>
      </c>
      <c r="U58" s="63">
        <f t="shared" si="18"/>
        <v>238.10883294409939</v>
      </c>
      <c r="V58" s="63">
        <f t="shared" si="19"/>
        <v>210.71578136645965</v>
      </c>
      <c r="W58" s="63">
        <f t="shared" si="20"/>
        <v>116164.21863354034</v>
      </c>
      <c r="X58" s="59" t="str">
        <f>VLOOKUP($D58,mapping!F:X,18,0)</f>
        <v>舒洁湿厕纸巾</v>
      </c>
      <c r="Y58" s="159">
        <v>6.5000000000000002E-2</v>
      </c>
      <c r="Z58" s="159">
        <v>3.4000000000000002E-2</v>
      </c>
    </row>
    <row r="59" spans="1:26">
      <c r="B59" s="5" t="s">
        <v>393</v>
      </c>
      <c r="C59" s="5" t="s">
        <v>394</v>
      </c>
      <c r="D59" s="5" t="s">
        <v>244</v>
      </c>
      <c r="E59" s="59" t="str">
        <f>VLOOKUP($D59,mapping!$F:$X,5,0)</f>
        <v>261300舒洁无香湿巾单包装</v>
      </c>
      <c r="F59" s="59">
        <f>VLOOKUP($D59,mapping!$F:$X,6,0)</f>
        <v>30</v>
      </c>
      <c r="G59" s="59">
        <f>VLOOKUP($D59,mapping!$F:$X,7,0)</f>
        <v>30</v>
      </c>
      <c r="H59" s="59">
        <f>VLOOKUP($D59,mapping!$F:$X,14,0)</f>
        <v>91.362830000000002</v>
      </c>
      <c r="I59" s="56">
        <f t="shared" si="12"/>
        <v>3.0454276666666669</v>
      </c>
      <c r="J59" s="60">
        <f t="shared" si="13"/>
        <v>85.424246050000008</v>
      </c>
      <c r="K59" s="60">
        <f t="shared" si="14"/>
        <v>93.247398503258992</v>
      </c>
      <c r="L59" s="61">
        <f t="shared" si="15"/>
        <v>21.236467568030001</v>
      </c>
      <c r="M59" s="60">
        <f t="shared" si="16"/>
        <v>72.010930935228998</v>
      </c>
      <c r="N59" s="154">
        <v>0.22</v>
      </c>
      <c r="O59" s="62">
        <f t="shared" si="17"/>
        <v>2.4003643645076331</v>
      </c>
      <c r="P59" s="58">
        <v>1</v>
      </c>
      <c r="Q59" s="57">
        <v>45839</v>
      </c>
      <c r="R59" s="57">
        <v>45930</v>
      </c>
      <c r="U59" s="63">
        <f t="shared" si="18"/>
        <v>74.545477158622148</v>
      </c>
      <c r="V59" s="63">
        <f t="shared" si="19"/>
        <v>65.969448812939959</v>
      </c>
      <c r="W59" s="63">
        <f t="shared" si="20"/>
        <v>25393.381187060044</v>
      </c>
      <c r="X59" s="59" t="str">
        <f>VLOOKUP($D59,mapping!F:X,18,0)</f>
        <v>舒洁湿巾</v>
      </c>
      <c r="Y59" s="159">
        <v>6.5000000000000002E-2</v>
      </c>
      <c r="Z59" s="159">
        <v>3.4000000000000002E-2</v>
      </c>
    </row>
    <row r="60" spans="1:26">
      <c r="B60" s="5" t="s">
        <v>393</v>
      </c>
      <c r="C60" s="5" t="s">
        <v>394</v>
      </c>
      <c r="D60" s="5" t="s">
        <v>236</v>
      </c>
      <c r="E60" s="59" t="str">
        <f>VLOOKUP($D60,mapping!$F:$X,5,0)</f>
        <v>253000舒洁蚕丝洗脸巾80抽3包装</v>
      </c>
      <c r="F60" s="59">
        <f>VLOOKUP($D60,mapping!$F:$X,6,0)</f>
        <v>6</v>
      </c>
      <c r="G60" s="59">
        <f>VLOOKUP($D60,mapping!$F:$X,7,0)</f>
        <v>18</v>
      </c>
      <c r="H60" s="59">
        <f>VLOOKUP($D60,mapping!$F:$X,14,0)</f>
        <v>358.2</v>
      </c>
      <c r="I60" s="56">
        <f t="shared" si="12"/>
        <v>59.699999999999996</v>
      </c>
      <c r="J60" s="60">
        <f t="shared" si="13"/>
        <v>334.91700000000003</v>
      </c>
      <c r="K60" s="60">
        <f t="shared" si="14"/>
        <v>365.58869885999997</v>
      </c>
      <c r="L60" s="61">
        <f t="shared" si="15"/>
        <v>113.536863</v>
      </c>
      <c r="M60" s="60">
        <f t="shared" si="16"/>
        <v>252.05183585999998</v>
      </c>
      <c r="N60" s="154">
        <v>0.3</v>
      </c>
      <c r="O60" s="62">
        <f t="shared" si="17"/>
        <v>14.00287977</v>
      </c>
      <c r="P60" s="58">
        <v>1</v>
      </c>
      <c r="Q60" s="57">
        <v>45839</v>
      </c>
      <c r="R60" s="57">
        <v>45930</v>
      </c>
      <c r="U60" s="63">
        <f t="shared" si="18"/>
        <v>260.92322552795031</v>
      </c>
      <c r="V60" s="63">
        <f t="shared" si="19"/>
        <v>230.90550931677021</v>
      </c>
      <c r="W60" s="63">
        <f t="shared" si="20"/>
        <v>127294.49068322979</v>
      </c>
      <c r="X60" s="59" t="str">
        <f>VLOOKUP($D60,mapping!F:X,18,0)</f>
        <v>舒洁棉柔巾</v>
      </c>
      <c r="Y60" s="159">
        <v>6.5000000000000002E-2</v>
      </c>
      <c r="Z60" s="159">
        <v>3.4000000000000002E-2</v>
      </c>
    </row>
    <row r="61" spans="1:26">
      <c r="B61" s="5" t="s">
        <v>393</v>
      </c>
      <c r="C61" s="5" t="s">
        <v>394</v>
      </c>
      <c r="D61" s="5" t="s">
        <v>219</v>
      </c>
      <c r="E61" s="59" t="str">
        <f>VLOOKUP($D61,mapping!$F:$X,5,0)</f>
        <v>229160舒洁绿茶洋甘菊印花清香卷纸10粒</v>
      </c>
      <c r="F61" s="59">
        <f>VLOOKUP($D61,mapping!$F:$X,6,0)</f>
        <v>5</v>
      </c>
      <c r="G61" s="59">
        <f>VLOOKUP($D61,mapping!$F:$X,7,0)</f>
        <v>50</v>
      </c>
      <c r="H61" s="59">
        <f>VLOOKUP($D61,mapping!$F:$X,14,0)</f>
        <v>153.64888999999999</v>
      </c>
      <c r="I61" s="56">
        <f t="shared" si="12"/>
        <v>30.729778</v>
      </c>
      <c r="J61" s="60">
        <f t="shared" si="13"/>
        <v>143.66171215</v>
      </c>
      <c r="K61" s="60">
        <f t="shared" si="14"/>
        <v>156.81825174869698</v>
      </c>
      <c r="L61" s="61">
        <f t="shared" si="15"/>
        <v>19.480528167539997</v>
      </c>
      <c r="M61" s="60">
        <f t="shared" si="16"/>
        <v>137.33772358115698</v>
      </c>
      <c r="N61" s="154">
        <v>0.12</v>
      </c>
      <c r="O61" s="62">
        <f t="shared" si="17"/>
        <v>2.7467544716231398</v>
      </c>
      <c r="P61" s="58">
        <v>1</v>
      </c>
      <c r="Q61" s="57">
        <v>45839</v>
      </c>
      <c r="R61" s="57">
        <v>45930</v>
      </c>
      <c r="U61" s="63">
        <f t="shared" si="18"/>
        <v>142.1715565022329</v>
      </c>
      <c r="V61" s="63">
        <f t="shared" si="19"/>
        <v>125.81553672763975</v>
      </c>
      <c r="W61" s="63">
        <f t="shared" si="20"/>
        <v>27833.35327236024</v>
      </c>
      <c r="X61" s="59" t="str">
        <f>VLOOKUP($D61,mapping!F:X,18,0)</f>
        <v>卷纸</v>
      </c>
      <c r="Y61" s="159">
        <v>6.5000000000000002E-2</v>
      </c>
      <c r="Z61" s="159">
        <v>3.4000000000000002E-2</v>
      </c>
    </row>
    <row r="62" spans="1:26">
      <c r="B62" s="5" t="s">
        <v>393</v>
      </c>
      <c r="C62" s="5" t="s">
        <v>394</v>
      </c>
      <c r="D62" s="5" t="s">
        <v>211</v>
      </c>
      <c r="E62" s="59" t="str">
        <f>VLOOKUP($D62,mapping!$F:$X,5,0)</f>
        <v>221635舒洁卷纸3层纯白10粒（蓝色）</v>
      </c>
      <c r="F62" s="59">
        <f>VLOOKUP($D62,mapping!$F:$X,6,0)</f>
        <v>10</v>
      </c>
      <c r="G62" s="59">
        <f>VLOOKUP($D62,mapping!$F:$X,7,0)</f>
        <v>100</v>
      </c>
      <c r="H62" s="59">
        <f>VLOOKUP($D62,mapping!$F:$X,14,0)</f>
        <v>240.89676</v>
      </c>
      <c r="I62" s="56">
        <f t="shared" si="12"/>
        <v>24.089676000000001</v>
      </c>
      <c r="J62" s="60">
        <f t="shared" si="13"/>
        <v>225.2384706</v>
      </c>
      <c r="K62" s="60">
        <f t="shared" si="14"/>
        <v>245.86580973754795</v>
      </c>
      <c r="L62" s="61">
        <f t="shared" si="15"/>
        <v>30.542336613359996</v>
      </c>
      <c r="M62" s="60">
        <f t="shared" si="16"/>
        <v>215.32347312418796</v>
      </c>
      <c r="N62" s="154">
        <v>0.12</v>
      </c>
      <c r="O62" s="62">
        <f t="shared" si="17"/>
        <v>2.1532347312418794</v>
      </c>
      <c r="P62" s="58">
        <v>1</v>
      </c>
      <c r="Q62" s="57">
        <v>45839</v>
      </c>
      <c r="R62" s="57">
        <v>45930</v>
      </c>
      <c r="U62" s="63">
        <f t="shared" si="18"/>
        <v>222.90214609129188</v>
      </c>
      <c r="V62" s="63">
        <f t="shared" si="19"/>
        <v>197.25853636397514</v>
      </c>
      <c r="W62" s="63">
        <f t="shared" si="20"/>
        <v>43638.223636024864</v>
      </c>
      <c r="X62" s="59" t="str">
        <f>VLOOKUP($D62,mapping!F:X,18,0)</f>
        <v>卷纸</v>
      </c>
      <c r="Y62" s="159">
        <v>6.5000000000000002E-2</v>
      </c>
      <c r="Z62" s="159">
        <v>3.4000000000000002E-2</v>
      </c>
    </row>
    <row r="63" spans="1:26">
      <c r="B63" s="5" t="s">
        <v>393</v>
      </c>
      <c r="C63" s="5" t="s">
        <v>394</v>
      </c>
      <c r="D63" s="5" t="s">
        <v>164</v>
      </c>
      <c r="E63" s="59" t="str">
        <f>VLOOKUP($D63,mapping!$F:$X,5,0)</f>
        <v>216805舒洁®北海道牛乳系列乳霜纸面巾80抽5包装</v>
      </c>
      <c r="F63" s="59">
        <f>VLOOKUP($D63,mapping!$F:$X,6,0)</f>
        <v>3</v>
      </c>
      <c r="G63" s="59">
        <f>VLOOKUP($D63,mapping!$F:$X,7,0)</f>
        <v>15</v>
      </c>
      <c r="H63" s="59">
        <f>VLOOKUP($D63,mapping!$F:$X,14,0)</f>
        <v>215.57</v>
      </c>
      <c r="I63" s="56">
        <f t="shared" si="12"/>
        <v>71.856666666666669</v>
      </c>
      <c r="J63" s="60">
        <f t="shared" si="13"/>
        <v>201.55795000000001</v>
      </c>
      <c r="K63" s="60">
        <f t="shared" si="14"/>
        <v>220.01662706099998</v>
      </c>
      <c r="L63" s="61">
        <f t="shared" si="15"/>
        <v>68.328145049999989</v>
      </c>
      <c r="M63" s="60">
        <f t="shared" si="16"/>
        <v>151.68848201099999</v>
      </c>
      <c r="N63" s="154">
        <v>0.3</v>
      </c>
      <c r="O63" s="62">
        <f t="shared" si="17"/>
        <v>10.1125654674</v>
      </c>
      <c r="P63" s="58">
        <v>1</v>
      </c>
      <c r="Q63" s="57">
        <v>45839</v>
      </c>
      <c r="R63" s="57">
        <v>45930</v>
      </c>
      <c r="U63" s="63">
        <f t="shared" si="18"/>
        <v>157.02741409006211</v>
      </c>
      <c r="V63" s="63">
        <f t="shared" si="19"/>
        <v>138.96231335403729</v>
      </c>
      <c r="W63" s="63">
        <f t="shared" si="20"/>
        <v>76607.686645962705</v>
      </c>
      <c r="X63" s="59" t="str">
        <f>VLOOKUP($D63,mapping!F:X,18,0)</f>
        <v>高端抽纸</v>
      </c>
      <c r="Y63" s="159">
        <v>6.5000000000000002E-2</v>
      </c>
      <c r="Z63" s="159">
        <v>3.4000000000000002E-2</v>
      </c>
    </row>
    <row r="64" spans="1:26">
      <c r="B64" s="5" t="s">
        <v>393</v>
      </c>
      <c r="C64" s="5" t="s">
        <v>394</v>
      </c>
      <c r="D64" s="5" t="s">
        <v>157</v>
      </c>
      <c r="E64" s="59" t="str">
        <f>VLOOKUP($D64,mapping!$F:$X,5,0)</f>
        <v>216710舒洁®牛乳系列乳霜纸面巾口袋包7抽10包装</v>
      </c>
      <c r="F64" s="59">
        <f>VLOOKUP($D64,mapping!$F:$X,6,0)</f>
        <v>12</v>
      </c>
      <c r="G64" s="59">
        <f>VLOOKUP($D64,mapping!$F:$X,7,0)</f>
        <v>120</v>
      </c>
      <c r="H64" s="59">
        <f>VLOOKUP($D64,mapping!$F:$X,14,0)</f>
        <v>202.8</v>
      </c>
      <c r="I64" s="56">
        <f t="shared" si="12"/>
        <v>16.900000000000002</v>
      </c>
      <c r="J64" s="60">
        <f t="shared" si="13"/>
        <v>189.61800000000002</v>
      </c>
      <c r="K64" s="60">
        <f t="shared" si="14"/>
        <v>206.98321643999998</v>
      </c>
      <c r="L64" s="61">
        <f t="shared" si="15"/>
        <v>53.567084999999999</v>
      </c>
      <c r="M64" s="60">
        <f t="shared" si="16"/>
        <v>153.41613143999999</v>
      </c>
      <c r="N64" s="154">
        <v>0.25</v>
      </c>
      <c r="O64" s="62">
        <f t="shared" si="17"/>
        <v>1.2784677619999998</v>
      </c>
      <c r="P64" s="58">
        <v>1</v>
      </c>
      <c r="Q64" s="57">
        <v>45839</v>
      </c>
      <c r="R64" s="57">
        <v>45930</v>
      </c>
      <c r="U64" s="63">
        <f t="shared" si="18"/>
        <v>158.8158710559006</v>
      </c>
      <c r="V64" s="63">
        <f t="shared" si="19"/>
        <v>140.54501863354037</v>
      </c>
      <c r="W64" s="63">
        <f t="shared" si="20"/>
        <v>62254.981366459644</v>
      </c>
      <c r="X64" s="59" t="str">
        <f>VLOOKUP($D64,mapping!F:X,18,0)</f>
        <v>高端抽纸</v>
      </c>
      <c r="Y64" s="159">
        <v>6.5000000000000002E-2</v>
      </c>
      <c r="Z64" s="159">
        <v>3.4000000000000002E-2</v>
      </c>
    </row>
    <row r="65" spans="1:26">
      <c r="B65" s="5" t="s">
        <v>393</v>
      </c>
      <c r="C65" s="5" t="s">
        <v>394</v>
      </c>
      <c r="D65" s="5" t="s">
        <v>150</v>
      </c>
      <c r="E65" s="59" t="str">
        <f>VLOOKUP($D65,mapping!$F:$X,5,0)</f>
        <v>216208舒洁®北海道牛乳系列乳霜纸面巾20抽8包装</v>
      </c>
      <c r="F65" s="59">
        <f>VLOOKUP($D65,mapping!$F:$X,6,0)</f>
        <v>4</v>
      </c>
      <c r="G65" s="59">
        <f>VLOOKUP($D65,mapping!$F:$X,7,0)</f>
        <v>32</v>
      </c>
      <c r="H65" s="59">
        <f>VLOOKUP($D65,mapping!$F:$X,14,0)</f>
        <v>100.5</v>
      </c>
      <c r="I65" s="56">
        <f t="shared" si="12"/>
        <v>25.125</v>
      </c>
      <c r="J65" s="60">
        <f t="shared" si="13"/>
        <v>93.967500000000001</v>
      </c>
      <c r="K65" s="60">
        <f t="shared" si="14"/>
        <v>102.57304364999999</v>
      </c>
      <c r="L65" s="61">
        <f t="shared" si="15"/>
        <v>21.236654999999999</v>
      </c>
      <c r="M65" s="60">
        <f t="shared" si="16"/>
        <v>81.336388649999989</v>
      </c>
      <c r="N65" s="154">
        <v>0.2</v>
      </c>
      <c r="O65" s="62">
        <f t="shared" si="17"/>
        <v>2.5417621453124997</v>
      </c>
      <c r="P65" s="58">
        <v>1</v>
      </c>
      <c r="Q65" s="57">
        <v>45839</v>
      </c>
      <c r="R65" s="57">
        <v>45930</v>
      </c>
      <c r="U65" s="63">
        <f t="shared" si="18"/>
        <v>84.199160093167691</v>
      </c>
      <c r="V65" s="63">
        <f t="shared" si="19"/>
        <v>74.512531055900624</v>
      </c>
      <c r="W65" s="63">
        <f t="shared" si="20"/>
        <v>25987.468944099375</v>
      </c>
      <c r="X65" s="59" t="str">
        <f>VLOOKUP($D65,mapping!F:X,18,0)</f>
        <v>高端抽纸</v>
      </c>
      <c r="Y65" s="159">
        <v>6.5000000000000002E-2</v>
      </c>
      <c r="Z65" s="159">
        <v>3.4000000000000002E-2</v>
      </c>
    </row>
    <row r="66" spans="1:26">
      <c r="B66" s="5" t="s">
        <v>393</v>
      </c>
      <c r="C66" s="5" t="s">
        <v>394</v>
      </c>
      <c r="D66" s="5" t="s">
        <v>136</v>
      </c>
      <c r="E66" s="59" t="str">
        <f>VLOOKUP($D66,mapping!$F:$X,5,0)</f>
        <v>215503舒洁®北海道轻牛乳系列乳霜纸面巾40抽3包装</v>
      </c>
      <c r="F66" s="59">
        <f>VLOOKUP($D66,mapping!$F:$X,6,0)</f>
        <v>16</v>
      </c>
      <c r="G66" s="59">
        <f>VLOOKUP($D66,mapping!$F:$X,7,0)</f>
        <v>48</v>
      </c>
      <c r="H66" s="59">
        <f>VLOOKUP($D66,mapping!$F:$X,14,0)</f>
        <v>222.4</v>
      </c>
      <c r="I66" s="56">
        <f t="shared" si="12"/>
        <v>13.9</v>
      </c>
      <c r="J66" s="60">
        <f t="shared" si="13"/>
        <v>207.94400000000002</v>
      </c>
      <c r="K66" s="60">
        <f t="shared" si="14"/>
        <v>226.98751152</v>
      </c>
      <c r="L66" s="61">
        <f t="shared" si="15"/>
        <v>58.74418</v>
      </c>
      <c r="M66" s="60">
        <f t="shared" si="16"/>
        <v>168.24333152</v>
      </c>
      <c r="N66" s="154">
        <v>0.25</v>
      </c>
      <c r="O66" s="62">
        <f t="shared" si="17"/>
        <v>3.5050694066666668</v>
      </c>
      <c r="P66" s="58">
        <v>1</v>
      </c>
      <c r="Q66" s="57">
        <v>45839</v>
      </c>
      <c r="R66" s="57">
        <v>45930</v>
      </c>
      <c r="U66" s="63">
        <f t="shared" si="18"/>
        <v>174.16493946169771</v>
      </c>
      <c r="V66" s="63">
        <f t="shared" si="19"/>
        <v>154.12826501035198</v>
      </c>
      <c r="W66" s="63">
        <f t="shared" si="20"/>
        <v>68271.73498964803</v>
      </c>
      <c r="X66" s="59" t="str">
        <f>VLOOKUP($D66,mapping!F:X,18,0)</f>
        <v>高端抽纸</v>
      </c>
      <c r="Y66" s="159">
        <v>6.5000000000000002E-2</v>
      </c>
      <c r="Z66" s="159">
        <v>3.4000000000000002E-2</v>
      </c>
    </row>
    <row r="67" spans="1:26">
      <c r="B67" s="5" t="s">
        <v>393</v>
      </c>
      <c r="C67" s="5" t="s">
        <v>394</v>
      </c>
      <c r="D67" s="5" t="s">
        <v>127</v>
      </c>
      <c r="E67" s="59" t="str">
        <f>VLOOKUP($D67,mapping!$F:$X,5,0)</f>
        <v>215204舒洁鎏金系列乳霜纸巾40抽8包</v>
      </c>
      <c r="F67" s="59">
        <f>VLOOKUP($D67,mapping!$F:$X,6,0)</f>
        <v>4</v>
      </c>
      <c r="G67" s="59">
        <f>VLOOKUP($D67,mapping!$F:$X,7,0)</f>
        <v>32</v>
      </c>
      <c r="H67" s="59">
        <f>VLOOKUP($D67,mapping!$F:$X,14,0)</f>
        <v>105.79</v>
      </c>
      <c r="I67" s="56">
        <f t="shared" si="12"/>
        <v>26.447500000000002</v>
      </c>
      <c r="J67" s="60">
        <f t="shared" si="13"/>
        <v>98.913650000000018</v>
      </c>
      <c r="K67" s="60">
        <f t="shared" si="14"/>
        <v>107.97216206700001</v>
      </c>
      <c r="L67" s="61">
        <f t="shared" si="15"/>
        <v>27.943106125000003</v>
      </c>
      <c r="M67" s="60">
        <f t="shared" si="16"/>
        <v>80.029055942000014</v>
      </c>
      <c r="N67" s="154">
        <v>0.25</v>
      </c>
      <c r="O67" s="62">
        <f t="shared" ref="O67:O130" si="21">M67/G67</f>
        <v>2.5009079981875004</v>
      </c>
      <c r="P67" s="58">
        <v>1</v>
      </c>
      <c r="Q67" s="57">
        <v>45839</v>
      </c>
      <c r="R67" s="57">
        <v>45930</v>
      </c>
      <c r="U67" s="63">
        <f t="shared" si="18"/>
        <v>82.845813604554877</v>
      </c>
      <c r="V67" s="63">
        <f t="shared" si="19"/>
        <v>73.314879296066266</v>
      </c>
      <c r="W67" s="63">
        <f t="shared" si="20"/>
        <v>32475.120703933739</v>
      </c>
      <c r="X67" s="59" t="str">
        <f>VLOOKUP($D67,mapping!F:X,18,0)</f>
        <v>高端抽纸</v>
      </c>
      <c r="Y67" s="159">
        <v>6.5000000000000002E-2</v>
      </c>
      <c r="Z67" s="159">
        <v>3.4000000000000002E-2</v>
      </c>
    </row>
    <row r="68" spans="1:26">
      <c r="B68" s="5" t="s">
        <v>393</v>
      </c>
      <c r="C68" s="5" t="s">
        <v>394</v>
      </c>
      <c r="D68" s="5" t="s">
        <v>187</v>
      </c>
      <c r="E68" s="59" t="str">
        <f>VLOOKUP($D68,mapping!$F:$X,5,0)</f>
        <v>210761舒洁卡通系列抽纸200抽3包 FSC mix70%</v>
      </c>
      <c r="F68" s="59">
        <f>VLOOKUP($D68,mapping!$F:$X,6,0)</f>
        <v>20</v>
      </c>
      <c r="G68" s="59">
        <f>VLOOKUP($D68,mapping!$F:$X,7,0)</f>
        <v>60</v>
      </c>
      <c r="H68" s="59">
        <f>VLOOKUP($D68,mapping!$F:$X,14,0)</f>
        <v>338.18198999999998</v>
      </c>
      <c r="I68" s="56">
        <f t="shared" si="12"/>
        <v>16.9090995</v>
      </c>
      <c r="J68" s="60">
        <f t="shared" si="13"/>
        <v>316.20016064999999</v>
      </c>
      <c r="K68" s="60">
        <f t="shared" si="14"/>
        <v>345.15777136232697</v>
      </c>
      <c r="L68" s="61">
        <f t="shared" si="15"/>
        <v>60.742050860864993</v>
      </c>
      <c r="M68" s="60">
        <f t="shared" si="16"/>
        <v>284.41572050146198</v>
      </c>
      <c r="N68" s="154">
        <v>0.17</v>
      </c>
      <c r="O68" s="62">
        <f t="shared" si="21"/>
        <v>4.7402620083576998</v>
      </c>
      <c r="P68" s="58">
        <v>1</v>
      </c>
      <c r="Q68" s="57">
        <v>45839</v>
      </c>
      <c r="R68" s="57">
        <v>45930</v>
      </c>
      <c r="U68" s="63">
        <f t="shared" ref="U68:U131" si="22">M68/0.966</f>
        <v>294.42621169923603</v>
      </c>
      <c r="V68" s="63">
        <f t="shared" ref="V68:V131" si="23">U68/1.13</f>
        <v>260.55416964534163</v>
      </c>
      <c r="W68" s="63">
        <f t="shared" ref="W68:W131" si="24">(H68-V68)*1000</f>
        <v>77627.820354658354</v>
      </c>
      <c r="X68" s="59" t="str">
        <f>VLOOKUP($D68,mapping!F:X,18,0)</f>
        <v>高端抽纸</v>
      </c>
      <c r="Y68" s="159">
        <v>6.5000000000000002E-2</v>
      </c>
      <c r="Z68" s="159">
        <v>3.4000000000000002E-2</v>
      </c>
    </row>
    <row r="69" spans="1:26">
      <c r="B69" s="5" t="s">
        <v>393</v>
      </c>
      <c r="C69" s="5" t="s">
        <v>394</v>
      </c>
      <c r="D69" s="5" t="s">
        <v>172</v>
      </c>
      <c r="E69" s="59" t="str">
        <f>VLOOKUP($D69,mapping!$F:$X,5,0)</f>
        <v>210390舒洁小熊印花抽纸3层80抽4包FSC mix70%</v>
      </c>
      <c r="F69" s="59">
        <f>VLOOKUP($D69,mapping!$F:$X,6,0)</f>
        <v>24</v>
      </c>
      <c r="G69" s="59">
        <f>VLOOKUP($D69,mapping!$F:$X,7,0)</f>
        <v>96</v>
      </c>
      <c r="H69" s="59">
        <f>VLOOKUP($D69,mapping!$F:$X,14,0)</f>
        <v>287.22000000000003</v>
      </c>
      <c r="I69" s="56">
        <f t="shared" si="12"/>
        <v>11.967500000000001</v>
      </c>
      <c r="J69" s="60">
        <f t="shared" si="13"/>
        <v>268.55070000000006</v>
      </c>
      <c r="K69" s="60">
        <f t="shared" si="14"/>
        <v>293.14457310600005</v>
      </c>
      <c r="L69" s="61">
        <f t="shared" si="15"/>
        <v>30.346229100000006</v>
      </c>
      <c r="M69" s="60">
        <f t="shared" si="16"/>
        <v>262.79834400600004</v>
      </c>
      <c r="N69" s="154">
        <v>0.1</v>
      </c>
      <c r="O69" s="62">
        <f t="shared" si="21"/>
        <v>2.7374827500625005</v>
      </c>
      <c r="P69" s="58">
        <v>1</v>
      </c>
      <c r="Q69" s="57">
        <v>45839</v>
      </c>
      <c r="R69" s="57">
        <v>45930</v>
      </c>
      <c r="U69" s="63">
        <f t="shared" si="22"/>
        <v>272.04797516149074</v>
      </c>
      <c r="V69" s="63">
        <f t="shared" si="23"/>
        <v>240.75042049689449</v>
      </c>
      <c r="W69" s="63">
        <f t="shared" si="24"/>
        <v>46469.579503105539</v>
      </c>
      <c r="X69" s="59" t="str">
        <f>VLOOKUP($D69,mapping!F:X,18,0)</f>
        <v>高端抽纸</v>
      </c>
      <c r="Y69" s="159">
        <v>6.5000000000000002E-2</v>
      </c>
      <c r="Z69" s="159">
        <v>3.4000000000000002E-2</v>
      </c>
    </row>
    <row r="70" spans="1:26">
      <c r="A70" t="s">
        <v>67</v>
      </c>
      <c r="B70" s="5" t="s">
        <v>395</v>
      </c>
      <c r="C70" s="5" t="s">
        <v>396</v>
      </c>
      <c r="D70" s="5" t="s">
        <v>2</v>
      </c>
      <c r="E70" s="59" t="str">
        <f>VLOOKUP($D70,mapping!$F:$X,5,0)</f>
        <v xml:space="preserve">266200舒洁湿厕纸80片x6包 </v>
      </c>
      <c r="F70" s="59">
        <f>VLOOKUP($D70,mapping!$F:$X,6,0)</f>
        <v>1</v>
      </c>
      <c r="G70" s="59">
        <f>VLOOKUP($D70,mapping!$F:$X,7,0)</f>
        <v>6</v>
      </c>
      <c r="H70" s="59">
        <f>VLOOKUP($D70,mapping!$F:$X,14,0)</f>
        <v>69.44</v>
      </c>
      <c r="I70" s="56">
        <f t="shared" si="12"/>
        <v>69.44</v>
      </c>
      <c r="J70" s="60">
        <f t="shared" si="13"/>
        <v>64.926400000000001</v>
      </c>
      <c r="K70" s="60">
        <f t="shared" si="14"/>
        <v>70.872359711999991</v>
      </c>
      <c r="L70" s="61">
        <f t="shared" si="15"/>
        <v>25.898491695999994</v>
      </c>
      <c r="M70" s="60">
        <f t="shared" si="16"/>
        <v>44.973868015999997</v>
      </c>
      <c r="N70" s="154">
        <v>0.35299999999999998</v>
      </c>
      <c r="O70" s="62">
        <f t="shared" si="21"/>
        <v>7.4956446693333332</v>
      </c>
      <c r="P70" s="58">
        <v>1</v>
      </c>
      <c r="Q70" s="57">
        <v>45839</v>
      </c>
      <c r="R70" s="57">
        <v>45930</v>
      </c>
      <c r="U70" s="63">
        <f t="shared" si="22"/>
        <v>46.556799188405797</v>
      </c>
      <c r="V70" s="63">
        <f t="shared" si="23"/>
        <v>41.200707246376815</v>
      </c>
      <c r="W70" s="63">
        <f t="shared" si="24"/>
        <v>28239.292753623184</v>
      </c>
      <c r="X70" s="59" t="str">
        <f>VLOOKUP($D70,mapping!F:X,18,0)</f>
        <v>舒洁湿厕纸巾</v>
      </c>
      <c r="Y70" s="159">
        <v>6.5000000000000002E-2</v>
      </c>
      <c r="Z70" s="159">
        <v>3.4000000000000002E-2</v>
      </c>
    </row>
    <row r="71" spans="1:26">
      <c r="A71" t="s">
        <v>391</v>
      </c>
      <c r="B71" s="5" t="s">
        <v>397</v>
      </c>
      <c r="C71" s="5" t="s">
        <v>398</v>
      </c>
      <c r="D71" s="5" t="s">
        <v>47</v>
      </c>
      <c r="E71" s="59" t="str">
        <f>VLOOKUP($D71,mapping!$F:$X,5,0)</f>
        <v>266000舒洁湿厕纸80片</v>
      </c>
      <c r="F71" s="59">
        <f>VLOOKUP($D71,mapping!$F:$X,6,0)</f>
        <v>24</v>
      </c>
      <c r="G71" s="59">
        <f>VLOOKUP($D71,mapping!$F:$X,7,0)</f>
        <v>24</v>
      </c>
      <c r="H71" s="59">
        <f>VLOOKUP($D71,mapping!$F:$X,14,0)</f>
        <v>326.88</v>
      </c>
      <c r="I71" s="56">
        <f t="shared" si="12"/>
        <v>13.62</v>
      </c>
      <c r="J71" s="60">
        <f t="shared" si="13"/>
        <v>305.63280000000003</v>
      </c>
      <c r="K71" s="60">
        <f t="shared" si="14"/>
        <v>333.622651824</v>
      </c>
      <c r="L71" s="61">
        <f t="shared" si="15"/>
        <v>153.68745348000002</v>
      </c>
      <c r="M71" s="60">
        <f t="shared" si="16"/>
        <v>179.93519834399999</v>
      </c>
      <c r="N71" s="154">
        <v>0.44500000000000001</v>
      </c>
      <c r="O71" s="62">
        <f t="shared" si="21"/>
        <v>7.4972999309999997</v>
      </c>
      <c r="P71" s="58">
        <v>1</v>
      </c>
      <c r="Q71" s="57">
        <v>45839</v>
      </c>
      <c r="R71" s="57">
        <v>45930</v>
      </c>
      <c r="U71" s="63">
        <f t="shared" si="22"/>
        <v>186.26832126708072</v>
      </c>
      <c r="V71" s="63">
        <f t="shared" si="23"/>
        <v>164.83922236024844</v>
      </c>
      <c r="W71" s="63">
        <f t="shared" si="24"/>
        <v>162040.77763975156</v>
      </c>
      <c r="X71" s="59" t="str">
        <f>VLOOKUP($D71,mapping!F:X,18,0)</f>
        <v>舒洁湿厕纸巾</v>
      </c>
      <c r="Y71" s="159">
        <v>6.5000000000000002E-2</v>
      </c>
      <c r="Z71" s="159">
        <v>3.4000000000000002E-2</v>
      </c>
    </row>
    <row r="72" spans="1:26">
      <c r="B72" s="5" t="s">
        <v>399</v>
      </c>
      <c r="C72" s="5" t="s">
        <v>314</v>
      </c>
      <c r="D72" s="5" t="s">
        <v>172</v>
      </c>
      <c r="E72" s="59" t="str">
        <f>VLOOKUP($D72,mapping!$F:$X,5,0)</f>
        <v>210390舒洁小熊印花抽纸3层80抽4包FSC mix70%</v>
      </c>
      <c r="F72" s="59">
        <f>VLOOKUP($D72,mapping!$F:$X,6,0)</f>
        <v>24</v>
      </c>
      <c r="G72" s="59">
        <f>VLOOKUP($D72,mapping!$F:$X,7,0)</f>
        <v>96</v>
      </c>
      <c r="H72" s="59">
        <f>VLOOKUP($D72,mapping!$F:$X,14,0)</f>
        <v>287.22000000000003</v>
      </c>
      <c r="I72" s="56">
        <f t="shared" si="12"/>
        <v>11.967500000000001</v>
      </c>
      <c r="J72" s="60">
        <f t="shared" si="13"/>
        <v>268.55070000000006</v>
      </c>
      <c r="K72" s="60">
        <f t="shared" si="14"/>
        <v>293.14457310600005</v>
      </c>
      <c r="L72" s="61">
        <f t="shared" si="15"/>
        <v>15.173114550000003</v>
      </c>
      <c r="M72" s="60">
        <f t="shared" si="16"/>
        <v>277.97145855600007</v>
      </c>
      <c r="N72" s="154">
        <v>0.05</v>
      </c>
      <c r="O72" s="62">
        <f t="shared" si="21"/>
        <v>2.8955360266250008</v>
      </c>
      <c r="P72" s="58">
        <v>1</v>
      </c>
      <c r="Q72" s="57">
        <v>45839</v>
      </c>
      <c r="R72" s="57">
        <v>45930</v>
      </c>
      <c r="U72" s="63">
        <f t="shared" si="22"/>
        <v>287.75513308074545</v>
      </c>
      <c r="V72" s="63">
        <f t="shared" si="23"/>
        <v>254.65056024844733</v>
      </c>
      <c r="W72" s="63">
        <f t="shared" si="24"/>
        <v>32569.439751552694</v>
      </c>
      <c r="X72" s="59" t="str">
        <f>VLOOKUP($D72,mapping!F:X,18,0)</f>
        <v>高端抽纸</v>
      </c>
      <c r="Y72" s="159">
        <v>6.5000000000000002E-2</v>
      </c>
      <c r="Z72" s="159">
        <v>3.4000000000000002E-2</v>
      </c>
    </row>
    <row r="73" spans="1:26">
      <c r="B73" s="5" t="s">
        <v>399</v>
      </c>
      <c r="C73" s="5" t="s">
        <v>314</v>
      </c>
      <c r="D73" s="5" t="s">
        <v>187</v>
      </c>
      <c r="E73" s="59" t="str">
        <f>VLOOKUP($D73,mapping!$F:$X,5,0)</f>
        <v>210761舒洁卡通系列抽纸200抽3包 FSC mix70%</v>
      </c>
      <c r="F73" s="59">
        <f>VLOOKUP($D73,mapping!$F:$X,6,0)</f>
        <v>20</v>
      </c>
      <c r="G73" s="59">
        <f>VLOOKUP($D73,mapping!$F:$X,7,0)</f>
        <v>60</v>
      </c>
      <c r="H73" s="59">
        <f>VLOOKUP($D73,mapping!$F:$X,14,0)</f>
        <v>338.18198999999998</v>
      </c>
      <c r="I73" s="56">
        <f t="shared" si="12"/>
        <v>16.9090995</v>
      </c>
      <c r="J73" s="60">
        <f t="shared" si="13"/>
        <v>316.20016064999999</v>
      </c>
      <c r="K73" s="60">
        <f t="shared" si="14"/>
        <v>345.15777136232697</v>
      </c>
      <c r="L73" s="61">
        <f t="shared" si="15"/>
        <v>28.584494522759996</v>
      </c>
      <c r="M73" s="60">
        <f t="shared" si="16"/>
        <v>316.57327683956697</v>
      </c>
      <c r="N73" s="154">
        <v>0.08</v>
      </c>
      <c r="O73" s="62">
        <f t="shared" si="21"/>
        <v>5.27622128065945</v>
      </c>
      <c r="P73" s="58">
        <v>1</v>
      </c>
      <c r="Q73" s="57">
        <v>45839</v>
      </c>
      <c r="R73" s="57">
        <v>45930</v>
      </c>
      <c r="U73" s="63">
        <f t="shared" si="22"/>
        <v>327.71560749437577</v>
      </c>
      <c r="V73" s="63">
        <f t="shared" si="23"/>
        <v>290.0138119419255</v>
      </c>
      <c r="W73" s="63">
        <f t="shared" si="24"/>
        <v>48168.178058074489</v>
      </c>
      <c r="X73" s="59" t="str">
        <f>VLOOKUP($D73,mapping!F:X,18,0)</f>
        <v>高端抽纸</v>
      </c>
      <c r="Y73" s="159">
        <v>6.5000000000000002E-2</v>
      </c>
      <c r="Z73" s="159">
        <v>3.4000000000000002E-2</v>
      </c>
    </row>
    <row r="74" spans="1:26">
      <c r="B74" s="5" t="s">
        <v>399</v>
      </c>
      <c r="C74" s="5" t="s">
        <v>314</v>
      </c>
      <c r="D74" s="5" t="s">
        <v>180</v>
      </c>
      <c r="E74" s="59" t="str">
        <f>VLOOKUP($D74,mapping!$F:$X,5,0)</f>
        <v>214890舒洁小熊印花抽纸3层80抽16包FSC mix70%</v>
      </c>
      <c r="F74" s="59">
        <f>VLOOKUP($D74,mapping!$F:$X,6,0)</f>
        <v>6</v>
      </c>
      <c r="G74" s="59">
        <f>VLOOKUP($D74,mapping!$F:$X,7,0)</f>
        <v>96</v>
      </c>
      <c r="H74" s="59">
        <f>VLOOKUP($D74,mapping!$F:$X,14,0)</f>
        <v>283.80122999999998</v>
      </c>
      <c r="I74" s="56">
        <f t="shared" si="12"/>
        <v>47.300204999999998</v>
      </c>
      <c r="J74" s="60">
        <f t="shared" si="13"/>
        <v>265.35415004999999</v>
      </c>
      <c r="K74" s="60">
        <f t="shared" si="14"/>
        <v>289.65528311157897</v>
      </c>
      <c r="L74" s="61">
        <f t="shared" si="15"/>
        <v>8.9955056866949974</v>
      </c>
      <c r="M74" s="60">
        <f t="shared" si="16"/>
        <v>280.65977742488394</v>
      </c>
      <c r="N74" s="154">
        <v>0.03</v>
      </c>
      <c r="O74" s="62">
        <f t="shared" si="21"/>
        <v>2.9235393481758742</v>
      </c>
      <c r="P74" s="58">
        <v>1</v>
      </c>
      <c r="Q74" s="57">
        <v>45839</v>
      </c>
      <c r="R74" s="57">
        <v>45930</v>
      </c>
      <c r="U74" s="63">
        <f t="shared" si="22"/>
        <v>290.53807186840987</v>
      </c>
      <c r="V74" s="63">
        <f t="shared" si="23"/>
        <v>257.11333793664591</v>
      </c>
      <c r="W74" s="63">
        <f t="shared" si="24"/>
        <v>26687.892063354069</v>
      </c>
      <c r="X74" s="59" t="str">
        <f>VLOOKUP($D74,mapping!F:X,18,0)</f>
        <v>高端抽纸</v>
      </c>
      <c r="Y74" s="159">
        <v>6.5000000000000002E-2</v>
      </c>
      <c r="Z74" s="159">
        <v>3.4000000000000002E-2</v>
      </c>
    </row>
    <row r="75" spans="1:26">
      <c r="B75" s="5" t="s">
        <v>399</v>
      </c>
      <c r="C75" s="5" t="s">
        <v>314</v>
      </c>
      <c r="D75" s="5" t="s">
        <v>211</v>
      </c>
      <c r="E75" s="59" t="str">
        <f>VLOOKUP($D75,mapping!$F:$X,5,0)</f>
        <v>221635舒洁卷纸3层纯白10粒（蓝色）</v>
      </c>
      <c r="F75" s="59">
        <f>VLOOKUP($D75,mapping!$F:$X,6,0)</f>
        <v>10</v>
      </c>
      <c r="G75" s="59">
        <f>VLOOKUP($D75,mapping!$F:$X,7,0)</f>
        <v>100</v>
      </c>
      <c r="H75" s="59">
        <f>VLOOKUP($D75,mapping!$F:$X,14,0)</f>
        <v>240.89676</v>
      </c>
      <c r="I75" s="56">
        <f t="shared" si="12"/>
        <v>24.089676000000001</v>
      </c>
      <c r="J75" s="60">
        <f t="shared" si="13"/>
        <v>225.2384706</v>
      </c>
      <c r="K75" s="60">
        <f t="shared" si="14"/>
        <v>245.86580973754795</v>
      </c>
      <c r="L75" s="61">
        <f t="shared" si="15"/>
        <v>12.725973588899999</v>
      </c>
      <c r="M75" s="60">
        <f t="shared" si="16"/>
        <v>233.13983614864796</v>
      </c>
      <c r="N75" s="154">
        <v>0.05</v>
      </c>
      <c r="O75" s="62">
        <f t="shared" si="21"/>
        <v>2.3313983614864795</v>
      </c>
      <c r="P75" s="58">
        <v>1</v>
      </c>
      <c r="Q75" s="57">
        <v>45839</v>
      </c>
      <c r="R75" s="57">
        <v>45930</v>
      </c>
      <c r="U75" s="63">
        <f t="shared" si="22"/>
        <v>241.34558607520492</v>
      </c>
      <c r="V75" s="63">
        <f t="shared" si="23"/>
        <v>213.58016466832296</v>
      </c>
      <c r="W75" s="63">
        <f t="shared" si="24"/>
        <v>27316.595331677036</v>
      </c>
      <c r="X75" s="59" t="str">
        <f>VLOOKUP($D75,mapping!F:X,18,0)</f>
        <v>卷纸</v>
      </c>
      <c r="Y75" s="159">
        <v>6.5000000000000002E-2</v>
      </c>
      <c r="Z75" s="159">
        <v>3.4000000000000002E-2</v>
      </c>
    </row>
    <row r="76" spans="1:26">
      <c r="B76" s="5" t="s">
        <v>399</v>
      </c>
      <c r="C76" s="5" t="s">
        <v>314</v>
      </c>
      <c r="D76" s="5" t="s">
        <v>219</v>
      </c>
      <c r="E76" s="59" t="str">
        <f>VLOOKUP($D76,mapping!$F:$X,5,0)</f>
        <v>229160舒洁绿茶洋甘菊印花清香卷纸10粒</v>
      </c>
      <c r="F76" s="59">
        <f>VLOOKUP($D76,mapping!$F:$X,6,0)</f>
        <v>5</v>
      </c>
      <c r="G76" s="59">
        <f>VLOOKUP($D76,mapping!$F:$X,7,0)</f>
        <v>50</v>
      </c>
      <c r="H76" s="59">
        <f>VLOOKUP($D76,mapping!$F:$X,14,0)</f>
        <v>153.64888999999999</v>
      </c>
      <c r="I76" s="56">
        <f t="shared" ref="I76:I139" si="25">H76/F76</f>
        <v>30.729778</v>
      </c>
      <c r="J76" s="60">
        <f t="shared" ref="J76:J139" si="26">H76*0.935</f>
        <v>143.66171215</v>
      </c>
      <c r="K76" s="60">
        <f t="shared" ref="K76:K139" si="27">J76*1.13*0.966</f>
        <v>156.81825174869698</v>
      </c>
      <c r="L76" s="61">
        <f t="shared" ref="L76:L139" si="28">J76*N76*1.13</f>
        <v>8.1168867364749993</v>
      </c>
      <c r="M76" s="60">
        <f t="shared" ref="M76:M139" si="29">K76-L76</f>
        <v>148.70136501222197</v>
      </c>
      <c r="N76" s="154">
        <v>0.05</v>
      </c>
      <c r="O76" s="62">
        <f t="shared" si="21"/>
        <v>2.9740273002444395</v>
      </c>
      <c r="P76" s="58">
        <v>1</v>
      </c>
      <c r="Q76" s="57">
        <v>45839</v>
      </c>
      <c r="R76" s="57">
        <v>45930</v>
      </c>
      <c r="U76" s="63">
        <f t="shared" si="22"/>
        <v>153.93516046813869</v>
      </c>
      <c r="V76" s="63">
        <f t="shared" si="23"/>
        <v>136.22580572401657</v>
      </c>
      <c r="W76" s="63">
        <f t="shared" si="24"/>
        <v>17423.084275983427</v>
      </c>
      <c r="X76" s="59" t="str">
        <f>VLOOKUP($D76,mapping!F:X,18,0)</f>
        <v>卷纸</v>
      </c>
      <c r="Y76" s="159">
        <v>6.5000000000000002E-2</v>
      </c>
      <c r="Z76" s="159">
        <v>3.4000000000000002E-2</v>
      </c>
    </row>
    <row r="77" spans="1:26">
      <c r="B77" s="5" t="s">
        <v>399</v>
      </c>
      <c r="C77" s="5" t="s">
        <v>314</v>
      </c>
      <c r="D77" s="5" t="s">
        <v>195</v>
      </c>
      <c r="E77" s="59" t="str">
        <f>VLOOKUP($D77,mapping!$F:$X,5,0)</f>
        <v>231216 舒洁马蹄莲盒面纸200抽3盒 FSC mix70%</v>
      </c>
      <c r="F77" s="59">
        <f>VLOOKUP($D77,mapping!$F:$X,6,0)</f>
        <v>10</v>
      </c>
      <c r="G77" s="59">
        <f>VLOOKUP($D77,mapping!$F:$X,7,0)</f>
        <v>30</v>
      </c>
      <c r="H77" s="59">
        <f>VLOOKUP($D77,mapping!$F:$X,14,0)</f>
        <v>243.21306999999999</v>
      </c>
      <c r="I77" s="56">
        <f t="shared" si="25"/>
        <v>24.321306999999997</v>
      </c>
      <c r="J77" s="60">
        <f t="shared" si="26"/>
        <v>227.40422045</v>
      </c>
      <c r="K77" s="60">
        <f t="shared" si="27"/>
        <v>248.22989895881099</v>
      </c>
      <c r="L77" s="61">
        <f t="shared" si="28"/>
        <v>12.848338455425001</v>
      </c>
      <c r="M77" s="60">
        <f t="shared" si="29"/>
        <v>235.381560503386</v>
      </c>
      <c r="N77" s="154">
        <v>0.05</v>
      </c>
      <c r="O77" s="62">
        <f t="shared" si="21"/>
        <v>7.8460520167795336</v>
      </c>
      <c r="P77" s="58">
        <v>1</v>
      </c>
      <c r="Q77" s="57">
        <v>45839</v>
      </c>
      <c r="R77" s="57">
        <v>45930</v>
      </c>
      <c r="U77" s="63">
        <f t="shared" si="22"/>
        <v>243.66621170122775</v>
      </c>
      <c r="V77" s="63">
        <f t="shared" si="23"/>
        <v>215.63381566480334</v>
      </c>
      <c r="W77" s="63">
        <f t="shared" si="24"/>
        <v>27579.254335196652</v>
      </c>
      <c r="X77" s="59" t="str">
        <f>VLOOKUP($D77,mapping!F:X,18,0)</f>
        <v>盒纸</v>
      </c>
      <c r="Y77" s="159">
        <v>6.5000000000000002E-2</v>
      </c>
      <c r="Z77" s="159">
        <v>3.4000000000000002E-2</v>
      </c>
    </row>
    <row r="78" spans="1:26">
      <c r="B78" s="5" t="s">
        <v>399</v>
      </c>
      <c r="C78" s="5" t="s">
        <v>314</v>
      </c>
      <c r="D78" s="5" t="s">
        <v>244</v>
      </c>
      <c r="E78" s="59" t="str">
        <f>VLOOKUP($D78,mapping!$F:$X,5,0)</f>
        <v>261300舒洁无香湿巾单包装</v>
      </c>
      <c r="F78" s="59">
        <f>VLOOKUP($D78,mapping!$F:$X,6,0)</f>
        <v>30</v>
      </c>
      <c r="G78" s="59">
        <f>VLOOKUP($D78,mapping!$F:$X,7,0)</f>
        <v>30</v>
      </c>
      <c r="H78" s="59">
        <f>VLOOKUP($D78,mapping!$F:$X,14,0)</f>
        <v>91.362830000000002</v>
      </c>
      <c r="I78" s="56">
        <f t="shared" si="25"/>
        <v>3.0454276666666669</v>
      </c>
      <c r="J78" s="60">
        <f t="shared" si="26"/>
        <v>85.424246050000008</v>
      </c>
      <c r="K78" s="60">
        <f t="shared" si="27"/>
        <v>93.247398503258992</v>
      </c>
      <c r="L78" s="61">
        <f t="shared" si="28"/>
        <v>9.6529398036499998</v>
      </c>
      <c r="M78" s="60">
        <f t="shared" si="29"/>
        <v>83.594458699608992</v>
      </c>
      <c r="N78" s="154">
        <v>0.1</v>
      </c>
      <c r="O78" s="62">
        <f t="shared" si="21"/>
        <v>2.786481956653633</v>
      </c>
      <c r="P78" s="58">
        <v>1</v>
      </c>
      <c r="Q78" s="57">
        <v>45839</v>
      </c>
      <c r="R78" s="57">
        <v>45930</v>
      </c>
      <c r="U78" s="63">
        <f t="shared" si="22"/>
        <v>86.536706728373701</v>
      </c>
      <c r="V78" s="63">
        <f t="shared" si="23"/>
        <v>76.581156396790888</v>
      </c>
      <c r="W78" s="63">
        <f t="shared" si="24"/>
        <v>14781.673603209114</v>
      </c>
      <c r="X78" s="59" t="str">
        <f>VLOOKUP($D78,mapping!F:X,18,0)</f>
        <v>舒洁湿巾</v>
      </c>
      <c r="Y78" s="159">
        <v>6.5000000000000002E-2</v>
      </c>
      <c r="Z78" s="159">
        <v>3.4000000000000002E-2</v>
      </c>
    </row>
    <row r="79" spans="1:26">
      <c r="A79" t="s">
        <v>391</v>
      </c>
      <c r="B79" s="5" t="s">
        <v>399</v>
      </c>
      <c r="C79" s="5" t="s">
        <v>314</v>
      </c>
      <c r="D79" s="5" t="s">
        <v>47</v>
      </c>
      <c r="E79" s="59" t="str">
        <f>VLOOKUP($D79,mapping!$F:$X,5,0)</f>
        <v>266000舒洁湿厕纸80片</v>
      </c>
      <c r="F79" s="59">
        <f>VLOOKUP($D79,mapping!$F:$X,6,0)</f>
        <v>24</v>
      </c>
      <c r="G79" s="59">
        <f>VLOOKUP($D79,mapping!$F:$X,7,0)</f>
        <v>24</v>
      </c>
      <c r="H79" s="59">
        <f>VLOOKUP($D79,mapping!$F:$X,14,0)</f>
        <v>326.88</v>
      </c>
      <c r="I79" s="56">
        <f t="shared" si="25"/>
        <v>13.62</v>
      </c>
      <c r="J79" s="60">
        <f t="shared" si="26"/>
        <v>305.63280000000003</v>
      </c>
      <c r="K79" s="60">
        <f t="shared" si="27"/>
        <v>333.622651824</v>
      </c>
      <c r="L79" s="61">
        <f t="shared" si="28"/>
        <v>62.165711519999995</v>
      </c>
      <c r="M79" s="60">
        <f t="shared" si="29"/>
        <v>271.456940304</v>
      </c>
      <c r="N79" s="154">
        <v>0.18</v>
      </c>
      <c r="O79" s="62">
        <f t="shared" si="21"/>
        <v>11.310705845999999</v>
      </c>
      <c r="P79" s="58">
        <v>1</v>
      </c>
      <c r="Q79" s="57">
        <v>45839</v>
      </c>
      <c r="R79" s="57">
        <v>45930</v>
      </c>
      <c r="U79" s="63">
        <f t="shared" si="22"/>
        <v>281.01132536645963</v>
      </c>
      <c r="V79" s="63">
        <f t="shared" si="23"/>
        <v>248.6825888198758</v>
      </c>
      <c r="W79" s="63">
        <f t="shared" si="24"/>
        <v>78197.411180124196</v>
      </c>
      <c r="X79" s="59" t="str">
        <f>VLOOKUP($D79,mapping!F:X,18,0)</f>
        <v>舒洁湿厕纸巾</v>
      </c>
      <c r="Y79" s="159">
        <v>6.5000000000000002E-2</v>
      </c>
      <c r="Z79" s="159">
        <v>3.4000000000000002E-2</v>
      </c>
    </row>
    <row r="80" spans="1:26">
      <c r="B80" s="5" t="s">
        <v>399</v>
      </c>
      <c r="C80" s="5" t="s">
        <v>314</v>
      </c>
      <c r="D80" s="5" t="s">
        <v>227</v>
      </c>
      <c r="E80" s="59" t="str">
        <f>VLOOKUP($D80,mapping!$F:$X,5,0)</f>
        <v>270190舒洁小熊印花手帕纸3层10包FSC mix70%</v>
      </c>
      <c r="F80" s="59">
        <f>VLOOKUP($D80,mapping!$F:$X,6,0)</f>
        <v>36</v>
      </c>
      <c r="G80" s="59">
        <f>VLOOKUP($D80,mapping!$F:$X,7,0)</f>
        <v>360</v>
      </c>
      <c r="H80" s="59">
        <f>VLOOKUP($D80,mapping!$F:$X,14,0)</f>
        <v>208.46834000000001</v>
      </c>
      <c r="I80" s="56">
        <f t="shared" si="25"/>
        <v>5.7907872222222228</v>
      </c>
      <c r="J80" s="60">
        <f t="shared" si="26"/>
        <v>194.91789790000001</v>
      </c>
      <c r="K80" s="60">
        <f t="shared" si="27"/>
        <v>212.768478989682</v>
      </c>
      <c r="L80" s="61">
        <f t="shared" si="28"/>
        <v>6.6077167388099998</v>
      </c>
      <c r="M80" s="60">
        <f t="shared" si="29"/>
        <v>206.16076225087198</v>
      </c>
      <c r="N80" s="154">
        <v>0.03</v>
      </c>
      <c r="O80" s="62">
        <f t="shared" si="21"/>
        <v>0.57266878403019994</v>
      </c>
      <c r="P80" s="58">
        <v>1</v>
      </c>
      <c r="Q80" s="57">
        <v>45839</v>
      </c>
      <c r="R80" s="57">
        <v>45930</v>
      </c>
      <c r="U80" s="63">
        <f t="shared" si="22"/>
        <v>213.41693814790062</v>
      </c>
      <c r="V80" s="63">
        <f t="shared" si="23"/>
        <v>188.86454703354039</v>
      </c>
      <c r="W80" s="63">
        <f t="shared" si="24"/>
        <v>19603.792966459623</v>
      </c>
      <c r="X80" s="59" t="str">
        <f>VLOOKUP($D80,mapping!F:X,18,0)</f>
        <v>手帕纸</v>
      </c>
      <c r="Y80" s="159">
        <v>6.5000000000000002E-2</v>
      </c>
      <c r="Z80" s="159">
        <v>3.4000000000000002E-2</v>
      </c>
    </row>
    <row r="81" spans="1:26">
      <c r="A81" t="s">
        <v>392</v>
      </c>
      <c r="B81" s="5" t="s">
        <v>399</v>
      </c>
      <c r="C81" s="5" t="s">
        <v>314</v>
      </c>
      <c r="D81" s="5" t="s">
        <v>19</v>
      </c>
      <c r="E81" s="59" t="str">
        <f>VLOOKUP($D81,mapping!$F:$X,5,0)</f>
        <v>269430舒洁湿厕纸家庭装40抽</v>
      </c>
      <c r="F81" s="59">
        <f>VLOOKUP($D81,mapping!$F:$X,6,0)</f>
        <v>40</v>
      </c>
      <c r="G81" s="59">
        <f>VLOOKUP($D81,mapping!$F:$X,7,0)</f>
        <v>40</v>
      </c>
      <c r="H81" s="59">
        <f>VLOOKUP($D81,mapping!$F:$X,14,0)</f>
        <v>367.52197000000001</v>
      </c>
      <c r="I81" s="56">
        <f t="shared" si="25"/>
        <v>9.1880492500000006</v>
      </c>
      <c r="J81" s="60">
        <f t="shared" si="26"/>
        <v>343.63304195000001</v>
      </c>
      <c r="K81" s="60">
        <f t="shared" si="27"/>
        <v>375.10295593178091</v>
      </c>
      <c r="L81" s="61">
        <f t="shared" si="28"/>
        <v>174.73740183157497</v>
      </c>
      <c r="M81" s="60">
        <f t="shared" si="29"/>
        <v>200.36555410020594</v>
      </c>
      <c r="N81" s="154">
        <v>0.45</v>
      </c>
      <c r="O81" s="62">
        <f t="shared" si="21"/>
        <v>5.0091388525051483</v>
      </c>
      <c r="P81" s="58">
        <v>1</v>
      </c>
      <c r="Q81" s="57">
        <v>45839</v>
      </c>
      <c r="R81" s="57">
        <v>45930</v>
      </c>
      <c r="U81" s="63">
        <f t="shared" si="22"/>
        <v>207.41775786770802</v>
      </c>
      <c r="V81" s="63">
        <f t="shared" si="23"/>
        <v>183.55553793602482</v>
      </c>
      <c r="W81" s="63">
        <f t="shared" si="24"/>
        <v>183966.4320639752</v>
      </c>
      <c r="X81" s="59" t="str">
        <f>VLOOKUP($D81,mapping!F:X,18,0)</f>
        <v>舒洁湿厕纸巾</v>
      </c>
      <c r="Y81" s="159">
        <v>6.5000000000000002E-2</v>
      </c>
      <c r="Z81" s="159">
        <v>3.4000000000000002E-2</v>
      </c>
    </row>
    <row r="82" spans="1:26">
      <c r="B82" s="5" t="s">
        <v>400</v>
      </c>
      <c r="C82" s="5" t="s">
        <v>342</v>
      </c>
      <c r="D82" s="5" t="s">
        <v>143</v>
      </c>
      <c r="E82" s="59" t="str">
        <f>VLOOKUP($D82,mapping!$F:$X,5,0)</f>
        <v>215610舒洁®北海道轻牛乳系列乳霜纸面巾100抽3包装</v>
      </c>
      <c r="F82" s="59">
        <f>VLOOKUP($D82,mapping!$F:$X,6,0)</f>
        <v>6</v>
      </c>
      <c r="G82" s="59">
        <f>VLOOKUP($D82,mapping!$F:$X,7,0)</f>
        <v>18</v>
      </c>
      <c r="H82" s="59">
        <f>VLOOKUP($D82,mapping!$F:$X,14,0)</f>
        <v>215.4</v>
      </c>
      <c r="I82" s="56">
        <f t="shared" si="25"/>
        <v>35.9</v>
      </c>
      <c r="J82" s="60">
        <f t="shared" si="26"/>
        <v>201.39900000000003</v>
      </c>
      <c r="K82" s="60">
        <f t="shared" si="27"/>
        <v>219.84312041999999</v>
      </c>
      <c r="L82" s="61">
        <f t="shared" si="28"/>
        <v>75.101687100000007</v>
      </c>
      <c r="M82" s="60">
        <f t="shared" si="29"/>
        <v>144.74143332</v>
      </c>
      <c r="N82" s="154">
        <v>0.33</v>
      </c>
      <c r="O82" s="62">
        <f t="shared" si="21"/>
        <v>8.0411907399999993</v>
      </c>
      <c r="P82" s="58">
        <v>1</v>
      </c>
      <c r="Q82" s="57">
        <v>45839</v>
      </c>
      <c r="R82" s="57">
        <v>45930</v>
      </c>
      <c r="U82" s="63">
        <f t="shared" si="22"/>
        <v>149.83585229813664</v>
      </c>
      <c r="V82" s="63">
        <f t="shared" si="23"/>
        <v>132.59809937888201</v>
      </c>
      <c r="W82" s="63">
        <f t="shared" si="24"/>
        <v>82801.900621117995</v>
      </c>
      <c r="X82" s="59" t="str">
        <f>VLOOKUP($D82,mapping!F:X,18,0)</f>
        <v>高端抽纸</v>
      </c>
      <c r="Y82" s="159">
        <v>6.5000000000000002E-2</v>
      </c>
      <c r="Z82" s="159">
        <v>3.4000000000000002E-2</v>
      </c>
    </row>
    <row r="83" spans="1:26">
      <c r="B83" s="5" t="s">
        <v>400</v>
      </c>
      <c r="C83" s="5" t="s">
        <v>342</v>
      </c>
      <c r="D83" s="5" t="s">
        <v>136</v>
      </c>
      <c r="E83" s="59" t="str">
        <f>VLOOKUP($D83,mapping!$F:$X,5,0)</f>
        <v>215503舒洁®北海道轻牛乳系列乳霜纸面巾40抽3包装</v>
      </c>
      <c r="F83" s="59">
        <f>VLOOKUP($D83,mapping!$F:$X,6,0)</f>
        <v>16</v>
      </c>
      <c r="G83" s="59">
        <f>VLOOKUP($D83,mapping!$F:$X,7,0)</f>
        <v>48</v>
      </c>
      <c r="H83" s="59">
        <f>VLOOKUP($D83,mapping!$F:$X,14,0)</f>
        <v>222.4</v>
      </c>
      <c r="I83" s="56">
        <f t="shared" si="25"/>
        <v>13.9</v>
      </c>
      <c r="J83" s="60">
        <f t="shared" si="26"/>
        <v>207.94400000000002</v>
      </c>
      <c r="K83" s="60">
        <f t="shared" si="27"/>
        <v>226.98751152</v>
      </c>
      <c r="L83" s="61">
        <f t="shared" si="28"/>
        <v>89.291153599999987</v>
      </c>
      <c r="M83" s="60">
        <f t="shared" si="29"/>
        <v>137.69635792000003</v>
      </c>
      <c r="N83" s="154">
        <v>0.38</v>
      </c>
      <c r="O83" s="62">
        <f t="shared" si="21"/>
        <v>2.8686741233333337</v>
      </c>
      <c r="P83" s="58">
        <v>1</v>
      </c>
      <c r="Q83" s="57">
        <v>45839</v>
      </c>
      <c r="R83" s="57">
        <v>45930</v>
      </c>
      <c r="U83" s="63">
        <f t="shared" si="22"/>
        <v>142.54281358178056</v>
      </c>
      <c r="V83" s="63">
        <f t="shared" si="23"/>
        <v>126.14408281573502</v>
      </c>
      <c r="W83" s="63">
        <f t="shared" si="24"/>
        <v>96255.917184264981</v>
      </c>
      <c r="X83" s="59" t="str">
        <f>VLOOKUP($D83,mapping!F:X,18,0)</f>
        <v>高端抽纸</v>
      </c>
      <c r="Y83" s="159">
        <v>6.5000000000000002E-2</v>
      </c>
      <c r="Z83" s="159">
        <v>3.4000000000000002E-2</v>
      </c>
    </row>
    <row r="84" spans="1:26">
      <c r="B84" s="5" t="s">
        <v>401</v>
      </c>
      <c r="C84" s="5" t="s">
        <v>312</v>
      </c>
      <c r="D84" s="5" t="s">
        <v>172</v>
      </c>
      <c r="E84" s="59" t="str">
        <f>VLOOKUP($D84,mapping!$F:$X,5,0)</f>
        <v>210390舒洁小熊印花抽纸3层80抽4包FSC mix70%</v>
      </c>
      <c r="F84" s="59">
        <f>VLOOKUP($D84,mapping!$F:$X,6,0)</f>
        <v>24</v>
      </c>
      <c r="G84" s="59">
        <f>VLOOKUP($D84,mapping!$F:$X,7,0)</f>
        <v>96</v>
      </c>
      <c r="H84" s="59">
        <f>VLOOKUP($D84,mapping!$F:$X,14,0)</f>
        <v>287.22000000000003</v>
      </c>
      <c r="I84" s="56">
        <f t="shared" si="25"/>
        <v>11.967500000000001</v>
      </c>
      <c r="J84" s="60">
        <f t="shared" si="26"/>
        <v>268.55070000000006</v>
      </c>
      <c r="K84" s="60">
        <f t="shared" si="27"/>
        <v>293.14457310600005</v>
      </c>
      <c r="L84" s="61">
        <f t="shared" si="28"/>
        <v>45.51934365000001</v>
      </c>
      <c r="M84" s="60">
        <f t="shared" si="29"/>
        <v>247.62522945600006</v>
      </c>
      <c r="N84" s="154">
        <v>0.15</v>
      </c>
      <c r="O84" s="62">
        <f t="shared" si="21"/>
        <v>2.5794294735000007</v>
      </c>
      <c r="P84" s="58">
        <v>1</v>
      </c>
      <c r="Q84" s="57">
        <v>45839</v>
      </c>
      <c r="R84" s="57">
        <v>45930</v>
      </c>
      <c r="U84" s="63">
        <f t="shared" si="22"/>
        <v>256.34081724223608</v>
      </c>
      <c r="V84" s="63">
        <f t="shared" si="23"/>
        <v>226.85028074534168</v>
      </c>
      <c r="W84" s="63">
        <f t="shared" si="24"/>
        <v>60369.719254658346</v>
      </c>
      <c r="X84" s="59" t="str">
        <f>VLOOKUP($D84,mapping!F:X,18,0)</f>
        <v>高端抽纸</v>
      </c>
      <c r="Y84" s="159">
        <v>6.5000000000000002E-2</v>
      </c>
      <c r="Z84" s="159">
        <v>3.4000000000000002E-2</v>
      </c>
    </row>
    <row r="85" spans="1:26">
      <c r="A85" t="s">
        <v>392</v>
      </c>
      <c r="B85" s="5" t="s">
        <v>401</v>
      </c>
      <c r="C85" s="5" t="s">
        <v>312</v>
      </c>
      <c r="D85" s="5" t="s">
        <v>19</v>
      </c>
      <c r="E85" s="59" t="str">
        <f>VLOOKUP($D85,mapping!$F:$X,5,0)</f>
        <v>269430舒洁湿厕纸家庭装40抽</v>
      </c>
      <c r="F85" s="59">
        <f>VLOOKUP($D85,mapping!$F:$X,6,0)</f>
        <v>40</v>
      </c>
      <c r="G85" s="59">
        <f>VLOOKUP($D85,mapping!$F:$X,7,0)</f>
        <v>40</v>
      </c>
      <c r="H85" s="59">
        <f>VLOOKUP($D85,mapping!$F:$X,14,0)</f>
        <v>367.52197000000001</v>
      </c>
      <c r="I85" s="56">
        <f t="shared" si="25"/>
        <v>9.1880492500000006</v>
      </c>
      <c r="J85" s="60">
        <f t="shared" si="26"/>
        <v>343.63304195000001</v>
      </c>
      <c r="K85" s="60">
        <f t="shared" si="27"/>
        <v>375.10295593178091</v>
      </c>
      <c r="L85" s="61">
        <f t="shared" si="28"/>
        <v>174.73740183157497</v>
      </c>
      <c r="M85" s="60">
        <f t="shared" si="29"/>
        <v>200.36555410020594</v>
      </c>
      <c r="N85" s="154">
        <v>0.45</v>
      </c>
      <c r="O85" s="62">
        <f t="shared" si="21"/>
        <v>5.0091388525051483</v>
      </c>
      <c r="P85" s="58">
        <v>1</v>
      </c>
      <c r="Q85" s="57">
        <v>45839</v>
      </c>
      <c r="R85" s="57">
        <v>45930</v>
      </c>
      <c r="U85" s="63">
        <f t="shared" si="22"/>
        <v>207.41775786770802</v>
      </c>
      <c r="V85" s="63">
        <f t="shared" si="23"/>
        <v>183.55553793602482</v>
      </c>
      <c r="W85" s="63">
        <f t="shared" si="24"/>
        <v>183966.4320639752</v>
      </c>
      <c r="X85" s="59" t="str">
        <f>VLOOKUP($D85,mapping!F:X,18,0)</f>
        <v>舒洁湿厕纸巾</v>
      </c>
      <c r="Y85" s="159">
        <v>6.5000000000000002E-2</v>
      </c>
      <c r="Z85" s="159">
        <v>3.4000000000000002E-2</v>
      </c>
    </row>
    <row r="86" spans="1:26">
      <c r="B86" s="5" t="s">
        <v>402</v>
      </c>
      <c r="C86" s="5" t="s">
        <v>311</v>
      </c>
      <c r="D86" s="5" t="s">
        <v>172</v>
      </c>
      <c r="E86" s="59" t="str">
        <f>VLOOKUP($D86,mapping!$F:$X,5,0)</f>
        <v>210390舒洁小熊印花抽纸3层80抽4包FSC mix70%</v>
      </c>
      <c r="F86" s="59">
        <f>VLOOKUP($D86,mapping!$F:$X,6,0)</f>
        <v>24</v>
      </c>
      <c r="G86" s="59">
        <f>VLOOKUP($D86,mapping!$F:$X,7,0)</f>
        <v>96</v>
      </c>
      <c r="H86" s="59">
        <f>VLOOKUP($D86,mapping!$F:$X,14,0)</f>
        <v>287.22000000000003</v>
      </c>
      <c r="I86" s="56">
        <f t="shared" si="25"/>
        <v>11.967500000000001</v>
      </c>
      <c r="J86" s="60">
        <f t="shared" si="26"/>
        <v>268.55070000000006</v>
      </c>
      <c r="K86" s="60">
        <f t="shared" si="27"/>
        <v>293.14457310600005</v>
      </c>
      <c r="L86" s="61">
        <f t="shared" si="28"/>
        <v>15.173114550000003</v>
      </c>
      <c r="M86" s="60">
        <f t="shared" si="29"/>
        <v>277.97145855600007</v>
      </c>
      <c r="N86" s="154">
        <v>0.05</v>
      </c>
      <c r="O86" s="62">
        <f t="shared" si="21"/>
        <v>2.8955360266250008</v>
      </c>
      <c r="P86" s="58">
        <v>1</v>
      </c>
      <c r="Q86" s="57">
        <v>45839</v>
      </c>
      <c r="R86" s="57">
        <v>45930</v>
      </c>
      <c r="U86" s="63">
        <f t="shared" si="22"/>
        <v>287.75513308074545</v>
      </c>
      <c r="V86" s="63">
        <f t="shared" si="23"/>
        <v>254.65056024844733</v>
      </c>
      <c r="W86" s="63">
        <f t="shared" si="24"/>
        <v>32569.439751552694</v>
      </c>
      <c r="X86" s="59" t="str">
        <f>VLOOKUP($D86,mapping!F:X,18,0)</f>
        <v>高端抽纸</v>
      </c>
      <c r="Y86" s="159">
        <v>6.5000000000000002E-2</v>
      </c>
      <c r="Z86" s="159">
        <v>3.4000000000000002E-2</v>
      </c>
    </row>
    <row r="87" spans="1:26">
      <c r="B87" s="5" t="s">
        <v>402</v>
      </c>
      <c r="C87" s="5" t="s">
        <v>311</v>
      </c>
      <c r="D87" s="5" t="s">
        <v>187</v>
      </c>
      <c r="E87" s="59" t="str">
        <f>VLOOKUP($D87,mapping!$F:$X,5,0)</f>
        <v>210761舒洁卡通系列抽纸200抽3包 FSC mix70%</v>
      </c>
      <c r="F87" s="59">
        <f>VLOOKUP($D87,mapping!$F:$X,6,0)</f>
        <v>20</v>
      </c>
      <c r="G87" s="59">
        <f>VLOOKUP($D87,mapping!$F:$X,7,0)</f>
        <v>60</v>
      </c>
      <c r="H87" s="59">
        <f>VLOOKUP($D87,mapping!$F:$X,14,0)</f>
        <v>338.18198999999998</v>
      </c>
      <c r="I87" s="56">
        <f t="shared" si="25"/>
        <v>16.9090995</v>
      </c>
      <c r="J87" s="60">
        <f t="shared" si="26"/>
        <v>316.20016064999999</v>
      </c>
      <c r="K87" s="60">
        <f t="shared" si="27"/>
        <v>345.15777136232697</v>
      </c>
      <c r="L87" s="61">
        <f t="shared" si="28"/>
        <v>28.584494522759996</v>
      </c>
      <c r="M87" s="60">
        <f t="shared" si="29"/>
        <v>316.57327683956697</v>
      </c>
      <c r="N87" s="154">
        <v>0.08</v>
      </c>
      <c r="O87" s="62">
        <f t="shared" si="21"/>
        <v>5.27622128065945</v>
      </c>
      <c r="P87" s="58">
        <v>1</v>
      </c>
      <c r="Q87" s="57">
        <v>45839</v>
      </c>
      <c r="R87" s="57">
        <v>45930</v>
      </c>
      <c r="U87" s="63">
        <f t="shared" si="22"/>
        <v>327.71560749437577</v>
      </c>
      <c r="V87" s="63">
        <f t="shared" si="23"/>
        <v>290.0138119419255</v>
      </c>
      <c r="W87" s="63">
        <f t="shared" si="24"/>
        <v>48168.178058074489</v>
      </c>
      <c r="X87" s="59" t="str">
        <f>VLOOKUP($D87,mapping!F:X,18,0)</f>
        <v>高端抽纸</v>
      </c>
      <c r="Y87" s="159">
        <v>6.5000000000000002E-2</v>
      </c>
      <c r="Z87" s="159">
        <v>3.4000000000000002E-2</v>
      </c>
    </row>
    <row r="88" spans="1:26">
      <c r="B88" s="5" t="s">
        <v>402</v>
      </c>
      <c r="C88" s="5" t="s">
        <v>311</v>
      </c>
      <c r="D88" s="5" t="s">
        <v>136</v>
      </c>
      <c r="E88" s="59" t="str">
        <f>VLOOKUP($D88,mapping!$F:$X,5,0)</f>
        <v>215503舒洁®北海道轻牛乳系列乳霜纸面巾40抽3包装</v>
      </c>
      <c r="F88" s="59">
        <f>VLOOKUP($D88,mapping!$F:$X,6,0)</f>
        <v>16</v>
      </c>
      <c r="G88" s="59">
        <f>VLOOKUP($D88,mapping!$F:$X,7,0)</f>
        <v>48</v>
      </c>
      <c r="H88" s="59">
        <f>VLOOKUP($D88,mapping!$F:$X,14,0)</f>
        <v>222.4</v>
      </c>
      <c r="I88" s="56">
        <f t="shared" si="25"/>
        <v>13.9</v>
      </c>
      <c r="J88" s="60">
        <f t="shared" si="26"/>
        <v>207.94400000000002</v>
      </c>
      <c r="K88" s="60">
        <f t="shared" si="27"/>
        <v>226.98751152</v>
      </c>
      <c r="L88" s="61">
        <f t="shared" si="28"/>
        <v>28.197206399999995</v>
      </c>
      <c r="M88" s="60">
        <f t="shared" si="29"/>
        <v>198.79030512</v>
      </c>
      <c r="N88" s="154">
        <v>0.12</v>
      </c>
      <c r="O88" s="62">
        <f t="shared" si="21"/>
        <v>4.1414646900000003</v>
      </c>
      <c r="P88" s="58">
        <v>1</v>
      </c>
      <c r="Q88" s="57">
        <v>45839</v>
      </c>
      <c r="R88" s="57">
        <v>45930</v>
      </c>
      <c r="U88" s="63">
        <f t="shared" si="22"/>
        <v>205.78706534161492</v>
      </c>
      <c r="V88" s="63">
        <f t="shared" si="23"/>
        <v>182.11244720496896</v>
      </c>
      <c r="W88" s="63">
        <f t="shared" si="24"/>
        <v>40287.55279503105</v>
      </c>
      <c r="X88" s="59" t="str">
        <f>VLOOKUP($D88,mapping!F:X,18,0)</f>
        <v>高端抽纸</v>
      </c>
      <c r="Y88" s="159">
        <v>6.5000000000000002E-2</v>
      </c>
      <c r="Z88" s="159">
        <v>3.4000000000000002E-2</v>
      </c>
    </row>
    <row r="89" spans="1:26">
      <c r="B89" s="5" t="s">
        <v>402</v>
      </c>
      <c r="C89" s="5" t="s">
        <v>311</v>
      </c>
      <c r="D89" s="5" t="s">
        <v>143</v>
      </c>
      <c r="E89" s="59" t="str">
        <f>VLOOKUP($D89,mapping!$F:$X,5,0)</f>
        <v>215610舒洁®北海道轻牛乳系列乳霜纸面巾100抽3包装</v>
      </c>
      <c r="F89" s="59">
        <f>VLOOKUP($D89,mapping!$F:$X,6,0)</f>
        <v>6</v>
      </c>
      <c r="G89" s="59">
        <f>VLOOKUP($D89,mapping!$F:$X,7,0)</f>
        <v>18</v>
      </c>
      <c r="H89" s="59">
        <f>VLOOKUP($D89,mapping!$F:$X,14,0)</f>
        <v>215.4</v>
      </c>
      <c r="I89" s="56">
        <f t="shared" si="25"/>
        <v>35.9</v>
      </c>
      <c r="J89" s="60">
        <f t="shared" si="26"/>
        <v>201.39900000000003</v>
      </c>
      <c r="K89" s="60">
        <f t="shared" si="27"/>
        <v>219.84312041999999</v>
      </c>
      <c r="L89" s="61">
        <f t="shared" si="28"/>
        <v>40.964556600000002</v>
      </c>
      <c r="M89" s="60">
        <f t="shared" si="29"/>
        <v>178.87856381999998</v>
      </c>
      <c r="N89" s="154">
        <v>0.18</v>
      </c>
      <c r="O89" s="62">
        <f t="shared" si="21"/>
        <v>9.9376979899999984</v>
      </c>
      <c r="P89" s="58">
        <v>1</v>
      </c>
      <c r="Q89" s="57">
        <v>45839</v>
      </c>
      <c r="R89" s="57">
        <v>45930</v>
      </c>
      <c r="U89" s="63">
        <f t="shared" si="22"/>
        <v>185.17449670807451</v>
      </c>
      <c r="V89" s="63">
        <f t="shared" si="23"/>
        <v>163.87123602484471</v>
      </c>
      <c r="W89" s="63">
        <f t="shared" si="24"/>
        <v>51528.7639751553</v>
      </c>
      <c r="X89" s="59" t="str">
        <f>VLOOKUP($D89,mapping!F:X,18,0)</f>
        <v>高端抽纸</v>
      </c>
      <c r="Y89" s="159">
        <v>6.5000000000000002E-2</v>
      </c>
      <c r="Z89" s="159">
        <v>3.4000000000000002E-2</v>
      </c>
    </row>
    <row r="90" spans="1:26">
      <c r="B90" s="5" t="s">
        <v>402</v>
      </c>
      <c r="C90" s="5" t="s">
        <v>311</v>
      </c>
      <c r="D90" s="5" t="s">
        <v>219</v>
      </c>
      <c r="E90" s="59" t="str">
        <f>VLOOKUP($D90,mapping!$F:$X,5,0)</f>
        <v>229160舒洁绿茶洋甘菊印花清香卷纸10粒</v>
      </c>
      <c r="F90" s="59">
        <f>VLOOKUP($D90,mapping!$F:$X,6,0)</f>
        <v>5</v>
      </c>
      <c r="G90" s="59">
        <f>VLOOKUP($D90,mapping!$F:$X,7,0)</f>
        <v>50</v>
      </c>
      <c r="H90" s="59">
        <f>VLOOKUP($D90,mapping!$F:$X,14,0)</f>
        <v>153.64888999999999</v>
      </c>
      <c r="I90" s="56">
        <f t="shared" si="25"/>
        <v>30.729778</v>
      </c>
      <c r="J90" s="60">
        <f t="shared" si="26"/>
        <v>143.66171215</v>
      </c>
      <c r="K90" s="60">
        <f t="shared" si="27"/>
        <v>156.81825174869698</v>
      </c>
      <c r="L90" s="61">
        <f t="shared" si="28"/>
        <v>8.1168867364749993</v>
      </c>
      <c r="M90" s="60">
        <f t="shared" si="29"/>
        <v>148.70136501222197</v>
      </c>
      <c r="N90" s="154">
        <v>0.05</v>
      </c>
      <c r="O90" s="62">
        <f t="shared" si="21"/>
        <v>2.9740273002444395</v>
      </c>
      <c r="P90" s="58">
        <v>1</v>
      </c>
      <c r="Q90" s="57">
        <v>45839</v>
      </c>
      <c r="R90" s="57">
        <v>45930</v>
      </c>
      <c r="U90" s="63">
        <f t="shared" si="22"/>
        <v>153.93516046813869</v>
      </c>
      <c r="V90" s="63">
        <f t="shared" si="23"/>
        <v>136.22580572401657</v>
      </c>
      <c r="W90" s="63">
        <f t="shared" si="24"/>
        <v>17423.084275983427</v>
      </c>
      <c r="X90" s="59" t="str">
        <f>VLOOKUP($D90,mapping!F:X,18,0)</f>
        <v>卷纸</v>
      </c>
      <c r="Y90" s="159">
        <v>6.5000000000000002E-2</v>
      </c>
      <c r="Z90" s="159">
        <v>3.4000000000000002E-2</v>
      </c>
    </row>
    <row r="91" spans="1:26">
      <c r="B91" s="5" t="s">
        <v>402</v>
      </c>
      <c r="C91" s="5" t="s">
        <v>311</v>
      </c>
      <c r="D91" s="5" t="s">
        <v>195</v>
      </c>
      <c r="E91" s="59" t="str">
        <f>VLOOKUP($D91,mapping!$F:$X,5,0)</f>
        <v>231216 舒洁马蹄莲盒面纸200抽3盒 FSC mix70%</v>
      </c>
      <c r="F91" s="59">
        <f>VLOOKUP($D91,mapping!$F:$X,6,0)</f>
        <v>10</v>
      </c>
      <c r="G91" s="59">
        <f>VLOOKUP($D91,mapping!$F:$X,7,0)</f>
        <v>30</v>
      </c>
      <c r="H91" s="59">
        <f>VLOOKUP($D91,mapping!$F:$X,14,0)</f>
        <v>243.21306999999999</v>
      </c>
      <c r="I91" s="56">
        <f t="shared" si="25"/>
        <v>24.321306999999997</v>
      </c>
      <c r="J91" s="60">
        <f t="shared" si="26"/>
        <v>227.40422045</v>
      </c>
      <c r="K91" s="60">
        <f t="shared" si="27"/>
        <v>248.22989895881099</v>
      </c>
      <c r="L91" s="61">
        <f t="shared" si="28"/>
        <v>12.848338455425001</v>
      </c>
      <c r="M91" s="60">
        <f t="shared" si="29"/>
        <v>235.381560503386</v>
      </c>
      <c r="N91" s="154">
        <v>0.05</v>
      </c>
      <c r="O91" s="62">
        <f t="shared" si="21"/>
        <v>7.8460520167795336</v>
      </c>
      <c r="P91" s="58">
        <v>1</v>
      </c>
      <c r="Q91" s="57">
        <v>45839</v>
      </c>
      <c r="R91" s="57">
        <v>45930</v>
      </c>
      <c r="U91" s="63">
        <f t="shared" si="22"/>
        <v>243.66621170122775</v>
      </c>
      <c r="V91" s="63">
        <f t="shared" si="23"/>
        <v>215.63381566480334</v>
      </c>
      <c r="W91" s="63">
        <f t="shared" si="24"/>
        <v>27579.254335196652</v>
      </c>
      <c r="X91" s="59" t="str">
        <f>VLOOKUP($D91,mapping!F:X,18,0)</f>
        <v>盒纸</v>
      </c>
      <c r="Y91" s="159">
        <v>6.5000000000000002E-2</v>
      </c>
      <c r="Z91" s="159">
        <v>3.4000000000000002E-2</v>
      </c>
    </row>
    <row r="92" spans="1:26">
      <c r="B92" s="5" t="s">
        <v>402</v>
      </c>
      <c r="C92" s="5" t="s">
        <v>311</v>
      </c>
      <c r="D92" s="5" t="s">
        <v>244</v>
      </c>
      <c r="E92" s="59" t="str">
        <f>VLOOKUP($D92,mapping!$F:$X,5,0)</f>
        <v>261300舒洁无香湿巾单包装</v>
      </c>
      <c r="F92" s="59">
        <f>VLOOKUP($D92,mapping!$F:$X,6,0)</f>
        <v>30</v>
      </c>
      <c r="G92" s="59">
        <f>VLOOKUP($D92,mapping!$F:$X,7,0)</f>
        <v>30</v>
      </c>
      <c r="H92" s="59">
        <f>VLOOKUP($D92,mapping!$F:$X,14,0)</f>
        <v>91.362830000000002</v>
      </c>
      <c r="I92" s="56">
        <f t="shared" si="25"/>
        <v>3.0454276666666669</v>
      </c>
      <c r="J92" s="60">
        <f t="shared" si="26"/>
        <v>85.424246050000008</v>
      </c>
      <c r="K92" s="60">
        <f t="shared" si="27"/>
        <v>93.247398503258992</v>
      </c>
      <c r="L92" s="61">
        <f t="shared" si="28"/>
        <v>9.6529398036499998</v>
      </c>
      <c r="M92" s="60">
        <f t="shared" si="29"/>
        <v>83.594458699608992</v>
      </c>
      <c r="N92" s="154">
        <v>0.1</v>
      </c>
      <c r="O92" s="62">
        <f t="shared" si="21"/>
        <v>2.786481956653633</v>
      </c>
      <c r="P92" s="58">
        <v>1</v>
      </c>
      <c r="Q92" s="57">
        <v>45839</v>
      </c>
      <c r="R92" s="57">
        <v>45930</v>
      </c>
      <c r="U92" s="63">
        <f t="shared" si="22"/>
        <v>86.536706728373701</v>
      </c>
      <c r="V92" s="63">
        <f t="shared" si="23"/>
        <v>76.581156396790888</v>
      </c>
      <c r="W92" s="63">
        <f t="shared" si="24"/>
        <v>14781.673603209114</v>
      </c>
      <c r="X92" s="59" t="str">
        <f>VLOOKUP($D92,mapping!F:X,18,0)</f>
        <v>舒洁湿巾</v>
      </c>
      <c r="Y92" s="159">
        <v>6.5000000000000002E-2</v>
      </c>
      <c r="Z92" s="159">
        <v>3.4000000000000002E-2</v>
      </c>
    </row>
    <row r="93" spans="1:26">
      <c r="A93" t="s">
        <v>391</v>
      </c>
      <c r="B93" s="5" t="s">
        <v>402</v>
      </c>
      <c r="C93" s="5" t="s">
        <v>311</v>
      </c>
      <c r="D93" s="5" t="s">
        <v>47</v>
      </c>
      <c r="E93" s="59" t="str">
        <f>VLOOKUP($D93,mapping!$F:$X,5,0)</f>
        <v>266000舒洁湿厕纸80片</v>
      </c>
      <c r="F93" s="59">
        <f>VLOOKUP($D93,mapping!$F:$X,6,0)</f>
        <v>24</v>
      </c>
      <c r="G93" s="59">
        <f>VLOOKUP($D93,mapping!$F:$X,7,0)</f>
        <v>24</v>
      </c>
      <c r="H93" s="59">
        <f>VLOOKUP($D93,mapping!$F:$X,14,0)</f>
        <v>326.88</v>
      </c>
      <c r="I93" s="56">
        <f t="shared" si="25"/>
        <v>13.62</v>
      </c>
      <c r="J93" s="60">
        <f t="shared" si="26"/>
        <v>305.63280000000003</v>
      </c>
      <c r="K93" s="60">
        <f t="shared" si="27"/>
        <v>333.622651824</v>
      </c>
      <c r="L93" s="61">
        <f t="shared" si="28"/>
        <v>62.165711519999995</v>
      </c>
      <c r="M93" s="60">
        <f t="shared" si="29"/>
        <v>271.456940304</v>
      </c>
      <c r="N93" s="154">
        <v>0.18</v>
      </c>
      <c r="O93" s="62">
        <f t="shared" si="21"/>
        <v>11.310705845999999</v>
      </c>
      <c r="P93" s="58">
        <v>1</v>
      </c>
      <c r="Q93" s="57">
        <v>45839</v>
      </c>
      <c r="R93" s="57">
        <v>45930</v>
      </c>
      <c r="U93" s="63">
        <f t="shared" si="22"/>
        <v>281.01132536645963</v>
      </c>
      <c r="V93" s="63">
        <f t="shared" si="23"/>
        <v>248.6825888198758</v>
      </c>
      <c r="W93" s="63">
        <f t="shared" si="24"/>
        <v>78197.411180124196</v>
      </c>
      <c r="X93" s="59" t="str">
        <f>VLOOKUP($D93,mapping!F:X,18,0)</f>
        <v>舒洁湿厕纸巾</v>
      </c>
      <c r="Y93" s="159">
        <v>6.5000000000000002E-2</v>
      </c>
      <c r="Z93" s="159">
        <v>3.4000000000000002E-2</v>
      </c>
    </row>
    <row r="94" spans="1:26">
      <c r="A94" t="s">
        <v>392</v>
      </c>
      <c r="B94" s="5" t="s">
        <v>402</v>
      </c>
      <c r="C94" s="5" t="s">
        <v>311</v>
      </c>
      <c r="D94" s="5" t="s">
        <v>19</v>
      </c>
      <c r="E94" s="59" t="str">
        <f>VLOOKUP($D94,mapping!$F:$X,5,0)</f>
        <v>269430舒洁湿厕纸家庭装40抽</v>
      </c>
      <c r="F94" s="59">
        <f>VLOOKUP($D94,mapping!$F:$X,6,0)</f>
        <v>40</v>
      </c>
      <c r="G94" s="59">
        <f>VLOOKUP($D94,mapping!$F:$X,7,0)</f>
        <v>40</v>
      </c>
      <c r="H94" s="59">
        <f>VLOOKUP($D94,mapping!$F:$X,14,0)</f>
        <v>367.52197000000001</v>
      </c>
      <c r="I94" s="56">
        <f t="shared" si="25"/>
        <v>9.1880492500000006</v>
      </c>
      <c r="J94" s="60">
        <f t="shared" si="26"/>
        <v>343.63304195000001</v>
      </c>
      <c r="K94" s="60">
        <f t="shared" si="27"/>
        <v>375.10295593178091</v>
      </c>
      <c r="L94" s="61">
        <f t="shared" si="28"/>
        <v>116.49160122104998</v>
      </c>
      <c r="M94" s="60">
        <f t="shared" si="29"/>
        <v>258.61135471073095</v>
      </c>
      <c r="N94" s="154">
        <v>0.3</v>
      </c>
      <c r="O94" s="62">
        <f t="shared" si="21"/>
        <v>6.4652838677682736</v>
      </c>
      <c r="P94" s="58">
        <v>1</v>
      </c>
      <c r="Q94" s="57">
        <v>45839</v>
      </c>
      <c r="R94" s="57">
        <v>45930</v>
      </c>
      <c r="U94" s="63">
        <f t="shared" si="22"/>
        <v>267.713617712972</v>
      </c>
      <c r="V94" s="63">
        <f t="shared" si="23"/>
        <v>236.91470594068321</v>
      </c>
      <c r="W94" s="63">
        <f t="shared" si="24"/>
        <v>130607.2640593168</v>
      </c>
      <c r="X94" s="59" t="str">
        <f>VLOOKUP($D94,mapping!F:X,18,0)</f>
        <v>舒洁湿厕纸巾</v>
      </c>
      <c r="Y94" s="159">
        <v>6.5000000000000002E-2</v>
      </c>
      <c r="Z94" s="159">
        <v>3.4000000000000002E-2</v>
      </c>
    </row>
    <row r="95" spans="1:26">
      <c r="B95" s="5" t="s">
        <v>402</v>
      </c>
      <c r="C95" s="5" t="s">
        <v>311</v>
      </c>
      <c r="D95" s="5" t="s">
        <v>227</v>
      </c>
      <c r="E95" s="59" t="str">
        <f>VLOOKUP($D95,mapping!$F:$X,5,0)</f>
        <v>270190舒洁小熊印花手帕纸3层10包FSC mix70%</v>
      </c>
      <c r="F95" s="59">
        <f>VLOOKUP($D95,mapping!$F:$X,6,0)</f>
        <v>36</v>
      </c>
      <c r="G95" s="59">
        <f>VLOOKUP($D95,mapping!$F:$X,7,0)</f>
        <v>360</v>
      </c>
      <c r="H95" s="59">
        <f>VLOOKUP($D95,mapping!$F:$X,14,0)</f>
        <v>208.46834000000001</v>
      </c>
      <c r="I95" s="56">
        <f t="shared" si="25"/>
        <v>5.7907872222222228</v>
      </c>
      <c r="J95" s="60">
        <f t="shared" si="26"/>
        <v>194.91789790000001</v>
      </c>
      <c r="K95" s="60">
        <f t="shared" si="27"/>
        <v>212.768478989682</v>
      </c>
      <c r="L95" s="61">
        <f t="shared" si="28"/>
        <v>6.6077167388099998</v>
      </c>
      <c r="M95" s="60">
        <f t="shared" si="29"/>
        <v>206.16076225087198</v>
      </c>
      <c r="N95" s="154">
        <v>0.03</v>
      </c>
      <c r="O95" s="62">
        <f t="shared" si="21"/>
        <v>0.57266878403019994</v>
      </c>
      <c r="P95" s="58">
        <v>1</v>
      </c>
      <c r="Q95" s="57">
        <v>45839</v>
      </c>
      <c r="R95" s="57">
        <v>45930</v>
      </c>
      <c r="U95" s="63">
        <f t="shared" si="22"/>
        <v>213.41693814790062</v>
      </c>
      <c r="V95" s="63">
        <f t="shared" si="23"/>
        <v>188.86454703354039</v>
      </c>
      <c r="W95" s="63">
        <f t="shared" si="24"/>
        <v>19603.792966459623</v>
      </c>
      <c r="X95" s="59" t="str">
        <f>VLOOKUP($D95,mapping!F:X,18,0)</f>
        <v>手帕纸</v>
      </c>
      <c r="Y95" s="159">
        <v>6.5000000000000002E-2</v>
      </c>
      <c r="Z95" s="159">
        <v>3.4000000000000002E-2</v>
      </c>
    </row>
    <row r="96" spans="1:26">
      <c r="B96" s="5" t="s">
        <v>403</v>
      </c>
      <c r="C96" s="5" t="s">
        <v>310</v>
      </c>
      <c r="D96" s="5" t="s">
        <v>172</v>
      </c>
      <c r="E96" s="59" t="str">
        <f>VLOOKUP($D96,mapping!$F:$X,5,0)</f>
        <v>210390舒洁小熊印花抽纸3层80抽4包FSC mix70%</v>
      </c>
      <c r="F96" s="59">
        <f>VLOOKUP($D96,mapping!$F:$X,6,0)</f>
        <v>24</v>
      </c>
      <c r="G96" s="59">
        <f>VLOOKUP($D96,mapping!$F:$X,7,0)</f>
        <v>96</v>
      </c>
      <c r="H96" s="59">
        <f>VLOOKUP($D96,mapping!$F:$X,14,0)</f>
        <v>287.22000000000003</v>
      </c>
      <c r="I96" s="56">
        <f t="shared" si="25"/>
        <v>11.967500000000001</v>
      </c>
      <c r="J96" s="60">
        <f t="shared" si="26"/>
        <v>268.55070000000006</v>
      </c>
      <c r="K96" s="60">
        <f t="shared" si="27"/>
        <v>293.14457310600005</v>
      </c>
      <c r="L96" s="61">
        <f t="shared" si="28"/>
        <v>15.173114550000003</v>
      </c>
      <c r="M96" s="60">
        <f t="shared" si="29"/>
        <v>277.97145855600007</v>
      </c>
      <c r="N96" s="154">
        <v>0.05</v>
      </c>
      <c r="O96" s="62">
        <f t="shared" si="21"/>
        <v>2.8955360266250008</v>
      </c>
      <c r="P96" s="58">
        <v>1</v>
      </c>
      <c r="Q96" s="57">
        <v>45839</v>
      </c>
      <c r="R96" s="57">
        <v>45930</v>
      </c>
      <c r="U96" s="63">
        <f t="shared" si="22"/>
        <v>287.75513308074545</v>
      </c>
      <c r="V96" s="63">
        <f t="shared" si="23"/>
        <v>254.65056024844733</v>
      </c>
      <c r="W96" s="63">
        <f t="shared" si="24"/>
        <v>32569.439751552694</v>
      </c>
      <c r="X96" s="59" t="str">
        <f>VLOOKUP($D96,mapping!F:X,18,0)</f>
        <v>高端抽纸</v>
      </c>
      <c r="Y96" s="159">
        <v>6.5000000000000002E-2</v>
      </c>
      <c r="Z96" s="159">
        <v>3.4000000000000002E-2</v>
      </c>
    </row>
    <row r="97" spans="1:26">
      <c r="B97" s="5" t="s">
        <v>403</v>
      </c>
      <c r="C97" s="5" t="s">
        <v>310</v>
      </c>
      <c r="D97" s="5" t="s">
        <v>127</v>
      </c>
      <c r="E97" s="59" t="str">
        <f>VLOOKUP($D97,mapping!$F:$X,5,0)</f>
        <v>215204舒洁鎏金系列乳霜纸巾40抽8包</v>
      </c>
      <c r="F97" s="59">
        <f>VLOOKUP($D97,mapping!$F:$X,6,0)</f>
        <v>4</v>
      </c>
      <c r="G97" s="59">
        <f>VLOOKUP($D97,mapping!$F:$X,7,0)</f>
        <v>32</v>
      </c>
      <c r="H97" s="59">
        <f>VLOOKUP($D97,mapping!$F:$X,14,0)</f>
        <v>105.79</v>
      </c>
      <c r="I97" s="56">
        <f t="shared" si="25"/>
        <v>26.447500000000002</v>
      </c>
      <c r="J97" s="60">
        <f t="shared" si="26"/>
        <v>98.913650000000018</v>
      </c>
      <c r="K97" s="60">
        <f t="shared" si="27"/>
        <v>107.97216206700001</v>
      </c>
      <c r="L97" s="61">
        <f t="shared" si="28"/>
        <v>39.120348575000001</v>
      </c>
      <c r="M97" s="60">
        <f t="shared" si="29"/>
        <v>68.851813492000019</v>
      </c>
      <c r="N97" s="154">
        <v>0.35</v>
      </c>
      <c r="O97" s="62">
        <f t="shared" si="21"/>
        <v>2.1516191716250006</v>
      </c>
      <c r="P97" s="58">
        <v>1</v>
      </c>
      <c r="Q97" s="57">
        <v>45839</v>
      </c>
      <c r="R97" s="57">
        <v>45930</v>
      </c>
      <c r="U97" s="63">
        <f t="shared" si="22"/>
        <v>71.275169246376834</v>
      </c>
      <c r="V97" s="63">
        <f t="shared" si="23"/>
        <v>63.075371014492781</v>
      </c>
      <c r="W97" s="63">
        <f t="shared" si="24"/>
        <v>42714.628985507225</v>
      </c>
      <c r="X97" s="59" t="str">
        <f>VLOOKUP($D97,mapping!F:X,18,0)</f>
        <v>高端抽纸</v>
      </c>
      <c r="Y97" s="159">
        <v>6.5000000000000002E-2</v>
      </c>
      <c r="Z97" s="159">
        <v>3.4000000000000002E-2</v>
      </c>
    </row>
    <row r="98" spans="1:26">
      <c r="B98" s="5" t="s">
        <v>403</v>
      </c>
      <c r="C98" s="5" t="s">
        <v>310</v>
      </c>
      <c r="D98" s="5" t="s">
        <v>150</v>
      </c>
      <c r="E98" s="59" t="str">
        <f>VLOOKUP($D98,mapping!$F:$X,5,0)</f>
        <v>216208舒洁®北海道牛乳系列乳霜纸面巾20抽8包装</v>
      </c>
      <c r="F98" s="59">
        <f>VLOOKUP($D98,mapping!$F:$X,6,0)</f>
        <v>4</v>
      </c>
      <c r="G98" s="59">
        <f>VLOOKUP($D98,mapping!$F:$X,7,0)</f>
        <v>32</v>
      </c>
      <c r="H98" s="59">
        <f>VLOOKUP($D98,mapping!$F:$X,14,0)</f>
        <v>100.5</v>
      </c>
      <c r="I98" s="56">
        <f t="shared" si="25"/>
        <v>25.125</v>
      </c>
      <c r="J98" s="60">
        <f t="shared" si="26"/>
        <v>93.967500000000001</v>
      </c>
      <c r="K98" s="60">
        <f t="shared" si="27"/>
        <v>102.57304364999999</v>
      </c>
      <c r="L98" s="61">
        <f t="shared" si="28"/>
        <v>31.430249399999997</v>
      </c>
      <c r="M98" s="60">
        <f t="shared" si="29"/>
        <v>71.142794249999994</v>
      </c>
      <c r="N98" s="154">
        <v>0.29599999999999999</v>
      </c>
      <c r="O98" s="62">
        <f t="shared" si="21"/>
        <v>2.2232123203124998</v>
      </c>
      <c r="P98" s="58">
        <v>1</v>
      </c>
      <c r="Q98" s="57">
        <v>45839</v>
      </c>
      <c r="R98" s="57">
        <v>45930</v>
      </c>
      <c r="U98" s="63">
        <f t="shared" si="22"/>
        <v>73.646784937888199</v>
      </c>
      <c r="V98" s="63">
        <f t="shared" si="23"/>
        <v>65.174145962732922</v>
      </c>
      <c r="W98" s="63">
        <f t="shared" si="24"/>
        <v>35325.854037267076</v>
      </c>
      <c r="X98" s="59" t="str">
        <f>VLOOKUP($D98,mapping!F:X,18,0)</f>
        <v>高端抽纸</v>
      </c>
      <c r="Y98" s="159">
        <v>6.5000000000000002E-2</v>
      </c>
      <c r="Z98" s="159">
        <v>3.4000000000000002E-2</v>
      </c>
    </row>
    <row r="99" spans="1:26">
      <c r="B99" s="5" t="s">
        <v>403</v>
      </c>
      <c r="C99" s="5" t="s">
        <v>310</v>
      </c>
      <c r="D99" s="5" t="s">
        <v>211</v>
      </c>
      <c r="E99" s="59" t="str">
        <f>VLOOKUP($D99,mapping!$F:$X,5,0)</f>
        <v>221635舒洁卷纸3层纯白10粒（蓝色）</v>
      </c>
      <c r="F99" s="59">
        <f>VLOOKUP($D99,mapping!$F:$X,6,0)</f>
        <v>10</v>
      </c>
      <c r="G99" s="59">
        <f>VLOOKUP($D99,mapping!$F:$X,7,0)</f>
        <v>100</v>
      </c>
      <c r="H99" s="59">
        <f>VLOOKUP($D99,mapping!$F:$X,14,0)</f>
        <v>240.89676</v>
      </c>
      <c r="I99" s="56">
        <f t="shared" si="25"/>
        <v>24.089676000000001</v>
      </c>
      <c r="J99" s="60">
        <f t="shared" si="26"/>
        <v>225.2384706</v>
      </c>
      <c r="K99" s="60">
        <f t="shared" si="27"/>
        <v>245.86580973754795</v>
      </c>
      <c r="L99" s="61">
        <f t="shared" si="28"/>
        <v>12.725973588899999</v>
      </c>
      <c r="M99" s="60">
        <f t="shared" si="29"/>
        <v>233.13983614864796</v>
      </c>
      <c r="N99" s="154">
        <v>0.05</v>
      </c>
      <c r="O99" s="62">
        <f t="shared" si="21"/>
        <v>2.3313983614864795</v>
      </c>
      <c r="P99" s="58">
        <v>1</v>
      </c>
      <c r="Q99" s="57">
        <v>45839</v>
      </c>
      <c r="R99" s="57">
        <v>45930</v>
      </c>
      <c r="U99" s="63">
        <f t="shared" si="22"/>
        <v>241.34558607520492</v>
      </c>
      <c r="V99" s="63">
        <f t="shared" si="23"/>
        <v>213.58016466832296</v>
      </c>
      <c r="W99" s="63">
        <f t="shared" si="24"/>
        <v>27316.595331677036</v>
      </c>
      <c r="X99" s="59" t="str">
        <f>VLOOKUP($D99,mapping!F:X,18,0)</f>
        <v>卷纸</v>
      </c>
      <c r="Y99" s="159">
        <v>6.5000000000000002E-2</v>
      </c>
      <c r="Z99" s="159">
        <v>3.4000000000000002E-2</v>
      </c>
    </row>
    <row r="100" spans="1:26">
      <c r="B100" s="5" t="s">
        <v>403</v>
      </c>
      <c r="C100" s="5" t="s">
        <v>310</v>
      </c>
      <c r="D100" s="5" t="s">
        <v>219</v>
      </c>
      <c r="E100" s="59" t="str">
        <f>VLOOKUP($D100,mapping!$F:$X,5,0)</f>
        <v>229160舒洁绿茶洋甘菊印花清香卷纸10粒</v>
      </c>
      <c r="F100" s="59">
        <f>VLOOKUP($D100,mapping!$F:$X,6,0)</f>
        <v>5</v>
      </c>
      <c r="G100" s="59">
        <f>VLOOKUP($D100,mapping!$F:$X,7,0)</f>
        <v>50</v>
      </c>
      <c r="H100" s="59">
        <f>VLOOKUP($D100,mapping!$F:$X,14,0)</f>
        <v>153.64888999999999</v>
      </c>
      <c r="I100" s="56">
        <f t="shared" si="25"/>
        <v>30.729778</v>
      </c>
      <c r="J100" s="60">
        <f t="shared" si="26"/>
        <v>143.66171215</v>
      </c>
      <c r="K100" s="60">
        <f t="shared" si="27"/>
        <v>156.81825174869698</v>
      </c>
      <c r="L100" s="61">
        <f t="shared" si="28"/>
        <v>8.1168867364749993</v>
      </c>
      <c r="M100" s="60">
        <f t="shared" si="29"/>
        <v>148.70136501222197</v>
      </c>
      <c r="N100" s="154">
        <v>0.05</v>
      </c>
      <c r="O100" s="62">
        <f t="shared" si="21"/>
        <v>2.9740273002444395</v>
      </c>
      <c r="P100" s="58">
        <v>1</v>
      </c>
      <c r="Q100" s="57">
        <v>45839</v>
      </c>
      <c r="R100" s="57">
        <v>45930</v>
      </c>
      <c r="U100" s="63">
        <f t="shared" si="22"/>
        <v>153.93516046813869</v>
      </c>
      <c r="V100" s="63">
        <f t="shared" si="23"/>
        <v>136.22580572401657</v>
      </c>
      <c r="W100" s="63">
        <f t="shared" si="24"/>
        <v>17423.084275983427</v>
      </c>
      <c r="X100" s="59" t="str">
        <f>VLOOKUP($D100,mapping!F:X,18,0)</f>
        <v>卷纸</v>
      </c>
      <c r="Y100" s="159">
        <v>6.5000000000000002E-2</v>
      </c>
      <c r="Z100" s="159">
        <v>3.4000000000000002E-2</v>
      </c>
    </row>
    <row r="101" spans="1:26">
      <c r="B101" s="5" t="s">
        <v>403</v>
      </c>
      <c r="C101" s="5" t="s">
        <v>310</v>
      </c>
      <c r="D101" s="5" t="s">
        <v>195</v>
      </c>
      <c r="E101" s="59" t="str">
        <f>VLOOKUP($D101,mapping!$F:$X,5,0)</f>
        <v>231216 舒洁马蹄莲盒面纸200抽3盒 FSC mix70%</v>
      </c>
      <c r="F101" s="59">
        <f>VLOOKUP($D101,mapping!$F:$X,6,0)</f>
        <v>10</v>
      </c>
      <c r="G101" s="59">
        <f>VLOOKUP($D101,mapping!$F:$X,7,0)</f>
        <v>30</v>
      </c>
      <c r="H101" s="59">
        <f>VLOOKUP($D101,mapping!$F:$X,14,0)</f>
        <v>243.21306999999999</v>
      </c>
      <c r="I101" s="56">
        <f t="shared" si="25"/>
        <v>24.321306999999997</v>
      </c>
      <c r="J101" s="60">
        <f t="shared" si="26"/>
        <v>227.40422045</v>
      </c>
      <c r="K101" s="60">
        <f t="shared" si="27"/>
        <v>248.22989895881099</v>
      </c>
      <c r="L101" s="61">
        <f t="shared" si="28"/>
        <v>12.848338455425001</v>
      </c>
      <c r="M101" s="60">
        <f t="shared" si="29"/>
        <v>235.381560503386</v>
      </c>
      <c r="N101" s="154">
        <v>0.05</v>
      </c>
      <c r="O101" s="62">
        <f t="shared" si="21"/>
        <v>7.8460520167795336</v>
      </c>
      <c r="P101" s="58">
        <v>1</v>
      </c>
      <c r="Q101" s="57">
        <v>45839</v>
      </c>
      <c r="R101" s="57">
        <v>45930</v>
      </c>
      <c r="U101" s="63">
        <f t="shared" si="22"/>
        <v>243.66621170122775</v>
      </c>
      <c r="V101" s="63">
        <f t="shared" si="23"/>
        <v>215.63381566480334</v>
      </c>
      <c r="W101" s="63">
        <f t="shared" si="24"/>
        <v>27579.254335196652</v>
      </c>
      <c r="X101" s="59" t="str">
        <f>VLOOKUP($D101,mapping!F:X,18,0)</f>
        <v>盒纸</v>
      </c>
      <c r="Y101" s="159">
        <v>6.5000000000000002E-2</v>
      </c>
      <c r="Z101" s="159">
        <v>3.4000000000000002E-2</v>
      </c>
    </row>
    <row r="102" spans="1:26">
      <c r="B102" s="5" t="s">
        <v>403</v>
      </c>
      <c r="C102" s="5" t="s">
        <v>310</v>
      </c>
      <c r="D102" s="5" t="s">
        <v>236</v>
      </c>
      <c r="E102" s="59" t="str">
        <f>VLOOKUP($D102,mapping!$F:$X,5,0)</f>
        <v>253000舒洁蚕丝洗脸巾80抽3包装</v>
      </c>
      <c r="F102" s="59">
        <f>VLOOKUP($D102,mapping!$F:$X,6,0)</f>
        <v>6</v>
      </c>
      <c r="G102" s="59">
        <f>VLOOKUP($D102,mapping!$F:$X,7,0)</f>
        <v>18</v>
      </c>
      <c r="H102" s="59">
        <f>VLOOKUP($D102,mapping!$F:$X,14,0)</f>
        <v>358.2</v>
      </c>
      <c r="I102" s="56">
        <f t="shared" si="25"/>
        <v>59.699999999999996</v>
      </c>
      <c r="J102" s="60">
        <f t="shared" si="26"/>
        <v>334.91700000000003</v>
      </c>
      <c r="K102" s="60">
        <f t="shared" si="27"/>
        <v>365.58869885999997</v>
      </c>
      <c r="L102" s="61">
        <f t="shared" si="28"/>
        <v>56.768431499999998</v>
      </c>
      <c r="M102" s="60">
        <f t="shared" si="29"/>
        <v>308.82026735999995</v>
      </c>
      <c r="N102" s="154">
        <v>0.15</v>
      </c>
      <c r="O102" s="62">
        <f t="shared" si="21"/>
        <v>17.156681519999996</v>
      </c>
      <c r="P102" s="58">
        <v>1</v>
      </c>
      <c r="Q102" s="57">
        <v>45839</v>
      </c>
      <c r="R102" s="57">
        <v>45930</v>
      </c>
      <c r="U102" s="63">
        <f t="shared" si="22"/>
        <v>319.68971776397512</v>
      </c>
      <c r="V102" s="63">
        <f t="shared" si="23"/>
        <v>282.91125465838508</v>
      </c>
      <c r="W102" s="63">
        <f t="shared" si="24"/>
        <v>75288.745341614907</v>
      </c>
      <c r="X102" s="59" t="str">
        <f>VLOOKUP($D102,mapping!F:X,18,0)</f>
        <v>舒洁棉柔巾</v>
      </c>
      <c r="Y102" s="159">
        <v>6.5000000000000002E-2</v>
      </c>
      <c r="Z102" s="159">
        <v>3.4000000000000002E-2</v>
      </c>
    </row>
    <row r="103" spans="1:26">
      <c r="B103" s="5" t="s">
        <v>403</v>
      </c>
      <c r="C103" s="5" t="s">
        <v>310</v>
      </c>
      <c r="D103" s="5" t="s">
        <v>244</v>
      </c>
      <c r="E103" s="59" t="str">
        <f>VLOOKUP($D103,mapping!$F:$X,5,0)</f>
        <v>261300舒洁无香湿巾单包装</v>
      </c>
      <c r="F103" s="59">
        <f>VLOOKUP($D103,mapping!$F:$X,6,0)</f>
        <v>30</v>
      </c>
      <c r="G103" s="59">
        <f>VLOOKUP($D103,mapping!$F:$X,7,0)</f>
        <v>30</v>
      </c>
      <c r="H103" s="59">
        <f>VLOOKUP($D103,mapping!$F:$X,14,0)</f>
        <v>91.362830000000002</v>
      </c>
      <c r="I103" s="56">
        <f t="shared" si="25"/>
        <v>3.0454276666666669</v>
      </c>
      <c r="J103" s="60">
        <f t="shared" si="26"/>
        <v>85.424246050000008</v>
      </c>
      <c r="K103" s="60">
        <f t="shared" si="27"/>
        <v>93.247398503258992</v>
      </c>
      <c r="L103" s="61">
        <f t="shared" si="28"/>
        <v>9.6529398036499998</v>
      </c>
      <c r="M103" s="60">
        <f t="shared" si="29"/>
        <v>83.594458699608992</v>
      </c>
      <c r="N103" s="154">
        <v>0.1</v>
      </c>
      <c r="O103" s="62">
        <f t="shared" si="21"/>
        <v>2.786481956653633</v>
      </c>
      <c r="P103" s="58">
        <v>1</v>
      </c>
      <c r="Q103" s="57">
        <v>45839</v>
      </c>
      <c r="R103" s="57">
        <v>45930</v>
      </c>
      <c r="U103" s="63">
        <f t="shared" si="22"/>
        <v>86.536706728373701</v>
      </c>
      <c r="V103" s="63">
        <f t="shared" si="23"/>
        <v>76.581156396790888</v>
      </c>
      <c r="W103" s="63">
        <f t="shared" si="24"/>
        <v>14781.673603209114</v>
      </c>
      <c r="X103" s="59" t="str">
        <f>VLOOKUP($D103,mapping!F:X,18,0)</f>
        <v>舒洁湿巾</v>
      </c>
      <c r="Y103" s="159">
        <v>6.5000000000000002E-2</v>
      </c>
      <c r="Z103" s="159">
        <v>3.4000000000000002E-2</v>
      </c>
    </row>
    <row r="104" spans="1:26">
      <c r="A104" t="s">
        <v>67</v>
      </c>
      <c r="B104" s="5" t="s">
        <v>403</v>
      </c>
      <c r="C104" s="5" t="s">
        <v>310</v>
      </c>
      <c r="D104" s="5" t="s">
        <v>2</v>
      </c>
      <c r="E104" s="59" t="str">
        <f>VLOOKUP($D104,mapping!$F:$X,5,0)</f>
        <v xml:space="preserve">266200舒洁湿厕纸80片x6包 </v>
      </c>
      <c r="F104" s="59">
        <f>VLOOKUP($D104,mapping!$F:$X,6,0)</f>
        <v>1</v>
      </c>
      <c r="G104" s="59">
        <f>VLOOKUP($D104,mapping!$F:$X,7,0)</f>
        <v>6</v>
      </c>
      <c r="H104" s="59">
        <f>VLOOKUP($D104,mapping!$F:$X,14,0)</f>
        <v>69.44</v>
      </c>
      <c r="I104" s="56">
        <f t="shared" si="25"/>
        <v>69.44</v>
      </c>
      <c r="J104" s="60">
        <f t="shared" si="26"/>
        <v>64.926400000000001</v>
      </c>
      <c r="K104" s="60">
        <f t="shared" si="27"/>
        <v>70.872359711999991</v>
      </c>
      <c r="L104" s="61">
        <f t="shared" si="28"/>
        <v>24.064320896000002</v>
      </c>
      <c r="M104" s="60">
        <f t="shared" si="29"/>
        <v>46.808038815999993</v>
      </c>
      <c r="N104" s="154">
        <v>0.32800000000000001</v>
      </c>
      <c r="O104" s="62">
        <f t="shared" si="21"/>
        <v>7.8013398026666652</v>
      </c>
      <c r="P104" s="58">
        <v>1</v>
      </c>
      <c r="Q104" s="57">
        <v>45839</v>
      </c>
      <c r="R104" s="57">
        <v>45930</v>
      </c>
      <c r="U104" s="63">
        <f t="shared" si="22"/>
        <v>48.455526724637679</v>
      </c>
      <c r="V104" s="63">
        <f t="shared" si="23"/>
        <v>42.880997101449275</v>
      </c>
      <c r="W104" s="63">
        <f t="shared" si="24"/>
        <v>26559.002898550723</v>
      </c>
      <c r="X104" s="59" t="str">
        <f>VLOOKUP($D104,mapping!F:X,18,0)</f>
        <v>舒洁湿厕纸巾</v>
      </c>
      <c r="Y104" s="159">
        <v>6.5000000000000002E-2</v>
      </c>
      <c r="Z104" s="159">
        <v>3.4000000000000002E-2</v>
      </c>
    </row>
    <row r="105" spans="1:26">
      <c r="B105" s="5" t="s">
        <v>403</v>
      </c>
      <c r="C105" s="5" t="s">
        <v>310</v>
      </c>
      <c r="D105" s="5" t="s">
        <v>118</v>
      </c>
      <c r="E105" s="59" t="str">
        <f>VLOOKUP($D105,mapping!$F:$X,5,0)</f>
        <v>268220舒洁女性湿厕纸10包装</v>
      </c>
      <c r="F105" s="59">
        <f>VLOOKUP($D105,mapping!$F:$X,6,0)</f>
        <v>4</v>
      </c>
      <c r="G105" s="59">
        <f>VLOOKUP($D105,mapping!$F:$X,7,0)</f>
        <v>40</v>
      </c>
      <c r="H105" s="59">
        <f>VLOOKUP($D105,mapping!$F:$X,14,0)</f>
        <v>255.40530999999999</v>
      </c>
      <c r="I105" s="56">
        <f t="shared" si="25"/>
        <v>63.851327499999996</v>
      </c>
      <c r="J105" s="60">
        <f t="shared" si="26"/>
        <v>238.80396485</v>
      </c>
      <c r="K105" s="60">
        <f t="shared" si="27"/>
        <v>260.673631950963</v>
      </c>
      <c r="L105" s="61">
        <f t="shared" si="28"/>
        <v>67.462120070124996</v>
      </c>
      <c r="M105" s="60">
        <f t="shared" si="29"/>
        <v>193.211511880838</v>
      </c>
      <c r="N105" s="154">
        <v>0.25</v>
      </c>
      <c r="O105" s="62">
        <f t="shared" si="21"/>
        <v>4.8302877970209499</v>
      </c>
      <c r="P105" s="58">
        <v>1</v>
      </c>
      <c r="Q105" s="57">
        <v>45839</v>
      </c>
      <c r="R105" s="57">
        <v>45930</v>
      </c>
      <c r="U105" s="63">
        <f t="shared" si="22"/>
        <v>200.0119170609089</v>
      </c>
      <c r="V105" s="63">
        <f t="shared" si="23"/>
        <v>177.0016965140787</v>
      </c>
      <c r="W105" s="63">
        <f t="shared" si="24"/>
        <v>78403.613485921291</v>
      </c>
      <c r="X105" s="59" t="str">
        <f>VLOOKUP($D105,mapping!F:X,18,0)</f>
        <v>舒洁湿厕纸巾</v>
      </c>
      <c r="Y105" s="159">
        <v>6.5000000000000002E-2</v>
      </c>
      <c r="Z105" s="159">
        <v>3.4000000000000002E-2</v>
      </c>
    </row>
    <row r="106" spans="1:26">
      <c r="A106" t="s">
        <v>392</v>
      </c>
      <c r="B106" s="5" t="s">
        <v>403</v>
      </c>
      <c r="C106" s="5" t="s">
        <v>310</v>
      </c>
      <c r="D106" s="5" t="s">
        <v>19</v>
      </c>
      <c r="E106" s="59" t="str">
        <f>VLOOKUP($D106,mapping!$F:$X,5,0)</f>
        <v>269430舒洁湿厕纸家庭装40抽</v>
      </c>
      <c r="F106" s="59">
        <f>VLOOKUP($D106,mapping!$F:$X,6,0)</f>
        <v>40</v>
      </c>
      <c r="G106" s="59">
        <f>VLOOKUP($D106,mapping!$F:$X,7,0)</f>
        <v>40</v>
      </c>
      <c r="H106" s="59">
        <f>VLOOKUP($D106,mapping!$F:$X,14,0)</f>
        <v>367.52197000000001</v>
      </c>
      <c r="I106" s="56">
        <f t="shared" si="25"/>
        <v>9.1880492500000006</v>
      </c>
      <c r="J106" s="60">
        <f t="shared" si="26"/>
        <v>343.63304195000001</v>
      </c>
      <c r="K106" s="60">
        <f t="shared" si="27"/>
        <v>375.10295593178091</v>
      </c>
      <c r="L106" s="61">
        <f t="shared" si="28"/>
        <v>116.49160122104998</v>
      </c>
      <c r="M106" s="60">
        <f t="shared" si="29"/>
        <v>258.61135471073095</v>
      </c>
      <c r="N106" s="154">
        <v>0.3</v>
      </c>
      <c r="O106" s="62">
        <f t="shared" si="21"/>
        <v>6.4652838677682736</v>
      </c>
      <c r="P106" s="58">
        <v>1</v>
      </c>
      <c r="Q106" s="57">
        <v>45839</v>
      </c>
      <c r="R106" s="57">
        <v>45930</v>
      </c>
      <c r="U106" s="63">
        <f t="shared" si="22"/>
        <v>267.713617712972</v>
      </c>
      <c r="V106" s="63">
        <f t="shared" si="23"/>
        <v>236.91470594068321</v>
      </c>
      <c r="W106" s="63">
        <f t="shared" si="24"/>
        <v>130607.2640593168</v>
      </c>
      <c r="X106" s="59" t="str">
        <f>VLOOKUP($D106,mapping!F:X,18,0)</f>
        <v>舒洁湿厕纸巾</v>
      </c>
      <c r="Y106" s="159">
        <v>6.5000000000000002E-2</v>
      </c>
      <c r="Z106" s="159">
        <v>3.4000000000000002E-2</v>
      </c>
    </row>
    <row r="107" spans="1:26">
      <c r="B107" s="5" t="s">
        <v>403</v>
      </c>
      <c r="C107" s="5" t="s">
        <v>310</v>
      </c>
      <c r="D107" s="5" t="s">
        <v>227</v>
      </c>
      <c r="E107" s="59" t="str">
        <f>VLOOKUP($D107,mapping!$F:$X,5,0)</f>
        <v>270190舒洁小熊印花手帕纸3层10包FSC mix70%</v>
      </c>
      <c r="F107" s="59">
        <f>VLOOKUP($D107,mapping!$F:$X,6,0)</f>
        <v>36</v>
      </c>
      <c r="G107" s="59">
        <f>VLOOKUP($D107,mapping!$F:$X,7,0)</f>
        <v>360</v>
      </c>
      <c r="H107" s="59">
        <f>VLOOKUP($D107,mapping!$F:$X,14,0)</f>
        <v>208.46834000000001</v>
      </c>
      <c r="I107" s="56">
        <f t="shared" si="25"/>
        <v>5.7907872222222228</v>
      </c>
      <c r="J107" s="60">
        <f t="shared" si="26"/>
        <v>194.91789790000001</v>
      </c>
      <c r="K107" s="60">
        <f t="shared" si="27"/>
        <v>212.768478989682</v>
      </c>
      <c r="L107" s="61">
        <f t="shared" si="28"/>
        <v>6.6077167388099998</v>
      </c>
      <c r="M107" s="60">
        <f t="shared" si="29"/>
        <v>206.16076225087198</v>
      </c>
      <c r="N107" s="154">
        <v>0.03</v>
      </c>
      <c r="O107" s="62">
        <f t="shared" si="21"/>
        <v>0.57266878403019994</v>
      </c>
      <c r="P107" s="58">
        <v>1</v>
      </c>
      <c r="Q107" s="57">
        <v>45839</v>
      </c>
      <c r="R107" s="57">
        <v>45930</v>
      </c>
      <c r="U107" s="63">
        <f t="shared" si="22"/>
        <v>213.41693814790062</v>
      </c>
      <c r="V107" s="63">
        <f t="shared" si="23"/>
        <v>188.86454703354039</v>
      </c>
      <c r="W107" s="63">
        <f t="shared" si="24"/>
        <v>19603.792966459623</v>
      </c>
      <c r="X107" s="59" t="str">
        <f>VLOOKUP($D107,mapping!F:X,18,0)</f>
        <v>手帕纸</v>
      </c>
      <c r="Y107" s="159">
        <v>6.5000000000000002E-2</v>
      </c>
      <c r="Z107" s="159">
        <v>3.4000000000000002E-2</v>
      </c>
    </row>
    <row r="108" spans="1:26">
      <c r="A108" t="s">
        <v>392</v>
      </c>
      <c r="B108" s="5" t="s">
        <v>404</v>
      </c>
      <c r="C108" s="5" t="s">
        <v>313</v>
      </c>
      <c r="D108" s="5" t="s">
        <v>19</v>
      </c>
      <c r="E108" s="59" t="str">
        <f>VLOOKUP($D108,mapping!$F:$X,5,0)</f>
        <v>269430舒洁湿厕纸家庭装40抽</v>
      </c>
      <c r="F108" s="59">
        <f>VLOOKUP($D108,mapping!$F:$X,6,0)</f>
        <v>40</v>
      </c>
      <c r="G108" s="59">
        <f>VLOOKUP($D108,mapping!$F:$X,7,0)</f>
        <v>40</v>
      </c>
      <c r="H108" s="59">
        <f>VLOOKUP($D108,mapping!$F:$X,14,0)</f>
        <v>367.52197000000001</v>
      </c>
      <c r="I108" s="56">
        <f t="shared" si="25"/>
        <v>9.1880492500000006</v>
      </c>
      <c r="J108" s="60">
        <f t="shared" si="26"/>
        <v>343.63304195000001</v>
      </c>
      <c r="K108" s="60">
        <f t="shared" ref="K108:K113" si="30">J108*1.13*0.986</f>
        <v>382.86906267985097</v>
      </c>
      <c r="L108" s="61">
        <f t="shared" si="28"/>
        <v>178.62045520561009</v>
      </c>
      <c r="M108" s="60">
        <f t="shared" si="29"/>
        <v>204.24860747424088</v>
      </c>
      <c r="N108" s="154">
        <v>0.46000000000000019</v>
      </c>
      <c r="O108" s="62">
        <f t="shared" si="21"/>
        <v>5.1062151868560219</v>
      </c>
      <c r="P108" s="58">
        <v>1</v>
      </c>
      <c r="Q108" s="57">
        <v>45839</v>
      </c>
      <c r="R108" s="57">
        <v>45930</v>
      </c>
      <c r="U108" s="63">
        <f t="shared" ref="U108:U113" si="31">M108/0.986</f>
        <v>207.14868912194817</v>
      </c>
      <c r="V108" s="63">
        <f t="shared" si="23"/>
        <v>183.31742400172405</v>
      </c>
      <c r="W108" s="63">
        <f t="shared" si="24"/>
        <v>184204.54599827595</v>
      </c>
      <c r="X108" s="59" t="str">
        <f>VLOOKUP($D108,mapping!F:X,18,0)</f>
        <v>舒洁湿厕纸巾</v>
      </c>
      <c r="Y108" s="59"/>
      <c r="Z108" s="164">
        <v>1.4E-2</v>
      </c>
    </row>
    <row r="109" spans="1:26">
      <c r="B109" s="5" t="s">
        <v>404</v>
      </c>
      <c r="C109" s="5" t="s">
        <v>313</v>
      </c>
      <c r="D109" s="5" t="s">
        <v>172</v>
      </c>
      <c r="E109" s="59" t="str">
        <f>VLOOKUP($D109,mapping!$F:$X,5,0)</f>
        <v>210390舒洁小熊印花抽纸3层80抽4包FSC mix70%</v>
      </c>
      <c r="F109" s="59">
        <f>VLOOKUP($D109,mapping!$F:$X,6,0)</f>
        <v>24</v>
      </c>
      <c r="G109" s="59">
        <f>VLOOKUP($D109,mapping!$F:$X,7,0)</f>
        <v>96</v>
      </c>
      <c r="H109" s="59">
        <f>VLOOKUP($D109,mapping!$F:$X,14,0)</f>
        <v>287.22000000000003</v>
      </c>
      <c r="I109" s="56">
        <f t="shared" si="25"/>
        <v>11.967500000000001</v>
      </c>
      <c r="J109" s="60">
        <f t="shared" si="26"/>
        <v>268.55070000000006</v>
      </c>
      <c r="K109" s="60">
        <f t="shared" si="30"/>
        <v>299.21381892600004</v>
      </c>
      <c r="L109" s="61">
        <f t="shared" si="28"/>
        <v>21.242360369999972</v>
      </c>
      <c r="M109" s="60">
        <f t="shared" si="29"/>
        <v>277.97145855600007</v>
      </c>
      <c r="N109" s="154">
        <v>6.9999999999999896E-2</v>
      </c>
      <c r="O109" s="62">
        <f t="shared" si="21"/>
        <v>2.8955360266250008</v>
      </c>
      <c r="P109" s="58">
        <v>1</v>
      </c>
      <c r="Q109" s="57">
        <v>45839</v>
      </c>
      <c r="R109" s="57">
        <v>45930</v>
      </c>
      <c r="U109" s="63">
        <f t="shared" si="31"/>
        <v>281.91831496551731</v>
      </c>
      <c r="V109" s="63">
        <f>U109/1.13</f>
        <v>249.4852344827587</v>
      </c>
      <c r="W109" s="63">
        <f t="shared" si="24"/>
        <v>37734.765517241329</v>
      </c>
      <c r="X109" s="59" t="str">
        <f>VLOOKUP($D109,mapping!F:X,18,0)</f>
        <v>高端抽纸</v>
      </c>
      <c r="Y109" s="59"/>
      <c r="Z109" s="164">
        <v>1.4E-2</v>
      </c>
    </row>
    <row r="110" spans="1:26">
      <c r="B110" s="5" t="s">
        <v>404</v>
      </c>
      <c r="C110" s="5" t="s">
        <v>313</v>
      </c>
      <c r="D110" s="5" t="s">
        <v>187</v>
      </c>
      <c r="E110" s="59" t="str">
        <f>VLOOKUP($D110,mapping!$F:$X,5,0)</f>
        <v>210761舒洁卡通系列抽纸200抽3包 FSC mix70%</v>
      </c>
      <c r="F110" s="59">
        <f>VLOOKUP($D110,mapping!$F:$X,6,0)</f>
        <v>20</v>
      </c>
      <c r="G110" s="59">
        <f>VLOOKUP($D110,mapping!$F:$X,7,0)</f>
        <v>60</v>
      </c>
      <c r="H110" s="59">
        <f>VLOOKUP($D110,mapping!$F:$X,14,0)</f>
        <v>338.18198999999998</v>
      </c>
      <c r="I110" s="56">
        <f t="shared" si="25"/>
        <v>16.9090995</v>
      </c>
      <c r="J110" s="60">
        <f t="shared" si="26"/>
        <v>316.20016064999999</v>
      </c>
      <c r="K110" s="60">
        <f t="shared" si="30"/>
        <v>352.30389499301697</v>
      </c>
      <c r="L110" s="61">
        <f t="shared" si="28"/>
        <v>25.011432707415</v>
      </c>
      <c r="M110" s="60">
        <f t="shared" si="29"/>
        <v>327.29246228560197</v>
      </c>
      <c r="N110" s="154">
        <v>7.0000000000000007E-2</v>
      </c>
      <c r="O110" s="62">
        <f t="shared" si="21"/>
        <v>5.4548743714266994</v>
      </c>
      <c r="P110" s="58">
        <v>1</v>
      </c>
      <c r="Q110" s="57">
        <v>45839</v>
      </c>
      <c r="R110" s="57">
        <v>45930</v>
      </c>
      <c r="U110" s="63">
        <f t="shared" si="31"/>
        <v>331.93961692251719</v>
      </c>
      <c r="V110" s="63">
        <f t="shared" si="23"/>
        <v>293.75187338275862</v>
      </c>
      <c r="W110" s="63">
        <f t="shared" si="24"/>
        <v>44430.116617241365</v>
      </c>
      <c r="X110" s="59" t="str">
        <f>VLOOKUP($D110,mapping!F:X,18,0)</f>
        <v>高端抽纸</v>
      </c>
      <c r="Y110" s="59"/>
      <c r="Z110" s="164">
        <v>1.4E-2</v>
      </c>
    </row>
    <row r="111" spans="1:26">
      <c r="B111" s="5" t="s">
        <v>404</v>
      </c>
      <c r="C111" s="5" t="s">
        <v>313</v>
      </c>
      <c r="D111" s="5" t="s">
        <v>244</v>
      </c>
      <c r="E111" s="59" t="str">
        <f>VLOOKUP($D111,mapping!$F:$X,5,0)</f>
        <v>261300舒洁无香湿巾单包装</v>
      </c>
      <c r="F111" s="59">
        <f>VLOOKUP($D111,mapping!$F:$X,6,0)</f>
        <v>30</v>
      </c>
      <c r="G111" s="59">
        <f>VLOOKUP($D111,mapping!$F:$X,7,0)</f>
        <v>30</v>
      </c>
      <c r="H111" s="59">
        <f>VLOOKUP($D111,mapping!$F:$X,14,0)</f>
        <v>91.362830000000002</v>
      </c>
      <c r="I111" s="56">
        <f t="shared" si="25"/>
        <v>3.0454276666666669</v>
      </c>
      <c r="J111" s="60">
        <f t="shared" si="26"/>
        <v>85.424246050000008</v>
      </c>
      <c r="K111" s="60">
        <f t="shared" si="30"/>
        <v>95.177986463989001</v>
      </c>
      <c r="L111" s="61">
        <f t="shared" si="28"/>
        <v>4.826469901825007</v>
      </c>
      <c r="M111" s="60">
        <f t="shared" si="29"/>
        <v>90.351516562163994</v>
      </c>
      <c r="N111" s="154">
        <v>5.0000000000000072E-2</v>
      </c>
      <c r="O111" s="62">
        <f t="shared" si="21"/>
        <v>3.0117172187387999</v>
      </c>
      <c r="P111" s="58">
        <v>1</v>
      </c>
      <c r="Q111" s="57">
        <v>45839</v>
      </c>
      <c r="R111" s="57">
        <v>45930</v>
      </c>
      <c r="U111" s="63">
        <f t="shared" si="31"/>
        <v>91.634398136068967</v>
      </c>
      <c r="V111" s="63">
        <f t="shared" si="23"/>
        <v>81.092387731034492</v>
      </c>
      <c r="W111" s="63">
        <f t="shared" si="24"/>
        <v>10270.442268965511</v>
      </c>
      <c r="X111" s="59" t="str">
        <f>VLOOKUP($D111,mapping!F:X,18,0)</f>
        <v>舒洁湿巾</v>
      </c>
      <c r="Y111" s="59"/>
      <c r="Z111" s="164">
        <v>1.4E-2</v>
      </c>
    </row>
    <row r="112" spans="1:26">
      <c r="A112" t="s">
        <v>391</v>
      </c>
      <c r="B112" s="5" t="s">
        <v>404</v>
      </c>
      <c r="C112" s="5" t="s">
        <v>313</v>
      </c>
      <c r="D112" s="5" t="s">
        <v>47</v>
      </c>
      <c r="E112" s="59" t="str">
        <f>VLOOKUP($D112,mapping!$F:$X,5,0)</f>
        <v>266000舒洁湿厕纸80片</v>
      </c>
      <c r="F112" s="59">
        <f>VLOOKUP($D112,mapping!$F:$X,6,0)</f>
        <v>24</v>
      </c>
      <c r="G112" s="59">
        <f>VLOOKUP($D112,mapping!$F:$X,7,0)</f>
        <v>24</v>
      </c>
      <c r="H112" s="59">
        <f>VLOOKUP($D112,mapping!$F:$X,14,0)</f>
        <v>326.88</v>
      </c>
      <c r="I112" s="56">
        <f t="shared" si="25"/>
        <v>13.62</v>
      </c>
      <c r="J112" s="60">
        <f t="shared" si="26"/>
        <v>305.63280000000003</v>
      </c>
      <c r="K112" s="60">
        <f t="shared" si="30"/>
        <v>340.52995310400001</v>
      </c>
      <c r="L112" s="61">
        <f t="shared" si="28"/>
        <v>112.24364580000004</v>
      </c>
      <c r="M112" s="60">
        <f t="shared" si="29"/>
        <v>228.28630730399999</v>
      </c>
      <c r="N112" s="154">
        <v>0.32500000000000007</v>
      </c>
      <c r="O112" s="62">
        <f t="shared" si="21"/>
        <v>9.5119294710000002</v>
      </c>
      <c r="P112" s="58">
        <v>1</v>
      </c>
      <c r="Q112" s="57">
        <v>45839</v>
      </c>
      <c r="R112" s="57">
        <v>45930</v>
      </c>
      <c r="U112" s="63">
        <f t="shared" si="31"/>
        <v>231.52769503448275</v>
      </c>
      <c r="V112" s="63">
        <f t="shared" si="23"/>
        <v>204.8917655172414</v>
      </c>
      <c r="W112" s="63">
        <f t="shared" si="24"/>
        <v>121988.23448275861</v>
      </c>
      <c r="X112" s="59" t="str">
        <f>VLOOKUP($D112,mapping!F:X,18,0)</f>
        <v>舒洁湿厕纸巾</v>
      </c>
      <c r="Y112" s="59"/>
      <c r="Z112" s="164">
        <v>1.4E-2</v>
      </c>
    </row>
    <row r="113" spans="1:26">
      <c r="B113" s="5" t="s">
        <v>404</v>
      </c>
      <c r="C113" s="5" t="s">
        <v>313</v>
      </c>
      <c r="D113" s="5" t="s">
        <v>211</v>
      </c>
      <c r="E113" s="59" t="str">
        <f>VLOOKUP($D113,mapping!$F:$X,5,0)</f>
        <v>221635舒洁卷纸3层纯白10粒（蓝色）</v>
      </c>
      <c r="F113" s="59">
        <f>VLOOKUP($D113,mapping!$F:$X,6,0)</f>
        <v>10</v>
      </c>
      <c r="G113" s="59">
        <f>VLOOKUP($D113,mapping!$F:$X,7,0)</f>
        <v>100</v>
      </c>
      <c r="H113" s="59">
        <f>VLOOKUP($D113,mapping!$F:$X,14,0)</f>
        <v>240.89676</v>
      </c>
      <c r="I113" s="56">
        <f t="shared" si="25"/>
        <v>24.089676000000001</v>
      </c>
      <c r="J113" s="60">
        <f t="shared" si="26"/>
        <v>225.2384706</v>
      </c>
      <c r="K113" s="60">
        <f t="shared" si="30"/>
        <v>250.95619917310796</v>
      </c>
      <c r="L113" s="61">
        <f t="shared" si="28"/>
        <v>17.816363024460003</v>
      </c>
      <c r="M113" s="60">
        <f t="shared" si="29"/>
        <v>233.13983614864796</v>
      </c>
      <c r="N113" s="154">
        <v>7.0000000000000021E-2</v>
      </c>
      <c r="O113" s="62">
        <f t="shared" si="21"/>
        <v>2.3313983614864795</v>
      </c>
      <c r="P113" s="58">
        <v>1</v>
      </c>
      <c r="Q113" s="57">
        <v>45839</v>
      </c>
      <c r="R113" s="57">
        <v>45930</v>
      </c>
      <c r="U113" s="63">
        <f t="shared" si="31"/>
        <v>236.45013808179306</v>
      </c>
      <c r="V113" s="63">
        <f t="shared" si="23"/>
        <v>209.24790980689653</v>
      </c>
      <c r="W113" s="63">
        <f t="shared" si="24"/>
        <v>31648.85019310347</v>
      </c>
      <c r="X113" s="59" t="str">
        <f>VLOOKUP($D113,mapping!F:X,18,0)</f>
        <v>卷纸</v>
      </c>
      <c r="Y113" s="59"/>
      <c r="Z113" s="164">
        <v>1.4E-2</v>
      </c>
    </row>
    <row r="114" spans="1:26">
      <c r="B114" s="5" t="s">
        <v>405</v>
      </c>
      <c r="C114" s="5" t="s">
        <v>406</v>
      </c>
      <c r="D114" s="5" t="s">
        <v>150</v>
      </c>
      <c r="E114" s="59" t="str">
        <f>VLOOKUP($D114,mapping!$F:$X,5,0)</f>
        <v>216208舒洁®北海道牛乳系列乳霜纸面巾20抽8包装</v>
      </c>
      <c r="F114" s="59">
        <f>VLOOKUP($D114,mapping!$F:$X,6,0)</f>
        <v>4</v>
      </c>
      <c r="G114" s="59">
        <f>VLOOKUP($D114,mapping!$F:$X,7,0)</f>
        <v>32</v>
      </c>
      <c r="H114" s="59">
        <f>VLOOKUP($D114,mapping!$F:$X,14,0)</f>
        <v>100.5</v>
      </c>
      <c r="I114" s="56">
        <f t="shared" si="25"/>
        <v>25.125</v>
      </c>
      <c r="J114" s="60">
        <f t="shared" si="26"/>
        <v>93.967500000000001</v>
      </c>
      <c r="K114" s="60">
        <f t="shared" si="27"/>
        <v>102.57304364999999</v>
      </c>
      <c r="L114" s="61">
        <f t="shared" si="28"/>
        <v>15.927491249999997</v>
      </c>
      <c r="M114" s="60">
        <f t="shared" si="29"/>
        <v>86.645552399999985</v>
      </c>
      <c r="N114" s="152">
        <v>0.15</v>
      </c>
      <c r="O114" s="62">
        <f t="shared" si="21"/>
        <v>2.7076735124999995</v>
      </c>
      <c r="P114" s="58">
        <v>1</v>
      </c>
      <c r="Q114" s="57">
        <v>45839</v>
      </c>
      <c r="R114" s="57">
        <v>45930</v>
      </c>
      <c r="U114" s="63">
        <f t="shared" si="22"/>
        <v>89.695188819875767</v>
      </c>
      <c r="V114" s="63">
        <f t="shared" si="23"/>
        <v>79.376273291925472</v>
      </c>
      <c r="W114" s="63">
        <f t="shared" si="24"/>
        <v>21123.72670807453</v>
      </c>
      <c r="X114" s="59" t="str">
        <f>VLOOKUP($D114,mapping!F:X,18,0)</f>
        <v>高端抽纸</v>
      </c>
      <c r="Y114" s="159">
        <v>6.5000000000000002E-2</v>
      </c>
      <c r="Z114" s="159">
        <v>3.4000000000000002E-2</v>
      </c>
    </row>
    <row r="115" spans="1:26">
      <c r="B115" s="5" t="s">
        <v>405</v>
      </c>
      <c r="C115" s="5" t="s">
        <v>406</v>
      </c>
      <c r="D115" s="5" t="s">
        <v>236</v>
      </c>
      <c r="E115" s="59" t="str">
        <f>VLOOKUP($D115,mapping!$F:$X,5,0)</f>
        <v>253000舒洁蚕丝洗脸巾80抽3包装</v>
      </c>
      <c r="F115" s="59">
        <f>VLOOKUP($D115,mapping!$F:$X,6,0)</f>
        <v>6</v>
      </c>
      <c r="G115" s="59">
        <f>VLOOKUP($D115,mapping!$F:$X,7,0)</f>
        <v>18</v>
      </c>
      <c r="H115" s="59">
        <f>VLOOKUP($D115,mapping!$F:$X,14,0)</f>
        <v>358.2</v>
      </c>
      <c r="I115" s="56">
        <f t="shared" si="25"/>
        <v>59.699999999999996</v>
      </c>
      <c r="J115" s="60">
        <f t="shared" si="26"/>
        <v>334.91700000000003</v>
      </c>
      <c r="K115" s="60">
        <f t="shared" si="27"/>
        <v>365.58869885999997</v>
      </c>
      <c r="L115" s="61">
        <f t="shared" si="28"/>
        <v>56.768431499999998</v>
      </c>
      <c r="M115" s="60">
        <f t="shared" si="29"/>
        <v>308.82026735999995</v>
      </c>
      <c r="N115" s="152">
        <v>0.15</v>
      </c>
      <c r="O115" s="62">
        <f t="shared" si="21"/>
        <v>17.156681519999996</v>
      </c>
      <c r="P115" s="58">
        <v>1</v>
      </c>
      <c r="Q115" s="57">
        <v>45839</v>
      </c>
      <c r="R115" s="57">
        <v>45930</v>
      </c>
      <c r="U115" s="63">
        <f t="shared" si="22"/>
        <v>319.68971776397512</v>
      </c>
      <c r="V115" s="63">
        <f t="shared" si="23"/>
        <v>282.91125465838508</v>
      </c>
      <c r="W115" s="63">
        <f t="shared" si="24"/>
        <v>75288.745341614907</v>
      </c>
      <c r="X115" s="59" t="str">
        <f>VLOOKUP($D115,mapping!F:X,18,0)</f>
        <v>舒洁棉柔巾</v>
      </c>
      <c r="Y115" s="159">
        <v>6.5000000000000002E-2</v>
      </c>
      <c r="Z115" s="159">
        <v>3.4000000000000002E-2</v>
      </c>
    </row>
    <row r="116" spans="1:26">
      <c r="B116" s="5" t="s">
        <v>405</v>
      </c>
      <c r="C116" s="5" t="s">
        <v>406</v>
      </c>
      <c r="D116" s="5" t="s">
        <v>227</v>
      </c>
      <c r="E116" s="59" t="str">
        <f>VLOOKUP($D116,mapping!$F:$X,5,0)</f>
        <v>270190舒洁小熊印花手帕纸3层10包FSC mix70%</v>
      </c>
      <c r="F116" s="59">
        <f>VLOOKUP($D116,mapping!$F:$X,6,0)</f>
        <v>36</v>
      </c>
      <c r="G116" s="59">
        <f>VLOOKUP($D116,mapping!$F:$X,7,0)</f>
        <v>360</v>
      </c>
      <c r="H116" s="59">
        <f>VLOOKUP($D116,mapping!$F:$X,14,0)</f>
        <v>208.46834000000001</v>
      </c>
      <c r="I116" s="56">
        <f t="shared" si="25"/>
        <v>5.7907872222222228</v>
      </c>
      <c r="J116" s="60">
        <f t="shared" si="26"/>
        <v>194.91789790000001</v>
      </c>
      <c r="K116" s="60">
        <f t="shared" si="27"/>
        <v>212.768478989682</v>
      </c>
      <c r="L116" s="61">
        <f t="shared" si="28"/>
        <v>6.6077167388099998</v>
      </c>
      <c r="M116" s="60">
        <f t="shared" si="29"/>
        <v>206.16076225087198</v>
      </c>
      <c r="N116" s="152">
        <v>0.03</v>
      </c>
      <c r="O116" s="62">
        <f t="shared" si="21"/>
        <v>0.57266878403019994</v>
      </c>
      <c r="P116" s="58">
        <v>1</v>
      </c>
      <c r="Q116" s="57">
        <v>45839</v>
      </c>
      <c r="R116" s="57">
        <v>45930</v>
      </c>
      <c r="U116" s="63">
        <f t="shared" si="22"/>
        <v>213.41693814790062</v>
      </c>
      <c r="V116" s="63">
        <f t="shared" si="23"/>
        <v>188.86454703354039</v>
      </c>
      <c r="W116" s="63">
        <f t="shared" si="24"/>
        <v>19603.792966459623</v>
      </c>
      <c r="X116" s="59" t="str">
        <f>VLOOKUP($D116,mapping!F:X,18,0)</f>
        <v>手帕纸</v>
      </c>
      <c r="Y116" s="159">
        <v>6.5000000000000002E-2</v>
      </c>
      <c r="Z116" s="159">
        <v>3.4000000000000002E-2</v>
      </c>
    </row>
    <row r="117" spans="1:26">
      <c r="A117" t="s">
        <v>392</v>
      </c>
      <c r="B117" s="5" t="s">
        <v>405</v>
      </c>
      <c r="C117" s="5" t="s">
        <v>406</v>
      </c>
      <c r="D117" s="5" t="s">
        <v>19</v>
      </c>
      <c r="E117" s="59" t="str">
        <f>VLOOKUP($D117,mapping!$F:$X,5,0)</f>
        <v>269430舒洁湿厕纸家庭装40抽</v>
      </c>
      <c r="F117" s="59">
        <f>VLOOKUP($D117,mapping!$F:$X,6,0)</f>
        <v>40</v>
      </c>
      <c r="G117" s="59">
        <f>VLOOKUP($D117,mapping!$F:$X,7,0)</f>
        <v>40</v>
      </c>
      <c r="H117" s="59">
        <f>VLOOKUP($D117,mapping!$F:$X,14,0)</f>
        <v>367.52197000000001</v>
      </c>
      <c r="I117" s="56">
        <f t="shared" si="25"/>
        <v>9.1880492500000006</v>
      </c>
      <c r="J117" s="60">
        <f t="shared" si="26"/>
        <v>343.63304195000001</v>
      </c>
      <c r="K117" s="60">
        <f t="shared" si="27"/>
        <v>375.10295593178091</v>
      </c>
      <c r="L117" s="61">
        <f t="shared" si="28"/>
        <v>174.73740183157497</v>
      </c>
      <c r="M117" s="60">
        <f t="shared" si="29"/>
        <v>200.36555410020594</v>
      </c>
      <c r="N117" s="152">
        <v>0.45</v>
      </c>
      <c r="O117" s="62">
        <f t="shared" si="21"/>
        <v>5.0091388525051483</v>
      </c>
      <c r="P117" s="58">
        <v>1</v>
      </c>
      <c r="Q117" s="57">
        <v>45839</v>
      </c>
      <c r="R117" s="57">
        <v>45930</v>
      </c>
      <c r="U117" s="63">
        <f t="shared" si="22"/>
        <v>207.41775786770802</v>
      </c>
      <c r="V117" s="63">
        <f t="shared" si="23"/>
        <v>183.55553793602482</v>
      </c>
      <c r="W117" s="63">
        <f t="shared" si="24"/>
        <v>183966.4320639752</v>
      </c>
      <c r="X117" s="59" t="str">
        <f>VLOOKUP($D117,mapping!F:X,18,0)</f>
        <v>舒洁湿厕纸巾</v>
      </c>
      <c r="Y117" s="159">
        <v>6.5000000000000002E-2</v>
      </c>
      <c r="Z117" s="159">
        <v>3.4000000000000002E-2</v>
      </c>
    </row>
    <row r="118" spans="1:26">
      <c r="B118" s="5" t="s">
        <v>405</v>
      </c>
      <c r="C118" s="5" t="s">
        <v>406</v>
      </c>
      <c r="D118" s="5" t="s">
        <v>172</v>
      </c>
      <c r="E118" s="59" t="str">
        <f>VLOOKUP($D118,mapping!$F:$X,5,0)</f>
        <v>210390舒洁小熊印花抽纸3层80抽4包FSC mix70%</v>
      </c>
      <c r="F118" s="59">
        <f>VLOOKUP($D118,mapping!$F:$X,6,0)</f>
        <v>24</v>
      </c>
      <c r="G118" s="59">
        <f>VLOOKUP($D118,mapping!$F:$X,7,0)</f>
        <v>96</v>
      </c>
      <c r="H118" s="59">
        <f>VLOOKUP($D118,mapping!$F:$X,14,0)</f>
        <v>287.22000000000003</v>
      </c>
      <c r="I118" s="56">
        <f t="shared" si="25"/>
        <v>11.967500000000001</v>
      </c>
      <c r="J118" s="60">
        <f t="shared" si="26"/>
        <v>268.55070000000006</v>
      </c>
      <c r="K118" s="60">
        <f t="shared" si="27"/>
        <v>293.14457310600005</v>
      </c>
      <c r="L118" s="61">
        <f t="shared" si="28"/>
        <v>15.173114550000003</v>
      </c>
      <c r="M118" s="60">
        <f t="shared" si="29"/>
        <v>277.97145855600007</v>
      </c>
      <c r="N118" s="152">
        <v>0.05</v>
      </c>
      <c r="O118" s="62">
        <f t="shared" si="21"/>
        <v>2.8955360266250008</v>
      </c>
      <c r="P118" s="58">
        <v>1</v>
      </c>
      <c r="Q118" s="57">
        <v>45839</v>
      </c>
      <c r="R118" s="57">
        <v>45930</v>
      </c>
      <c r="U118" s="63">
        <f t="shared" si="22"/>
        <v>287.75513308074545</v>
      </c>
      <c r="V118" s="63">
        <f t="shared" si="23"/>
        <v>254.65056024844733</v>
      </c>
      <c r="W118" s="63">
        <f t="shared" si="24"/>
        <v>32569.439751552694</v>
      </c>
      <c r="X118" s="59" t="str">
        <f>VLOOKUP($D118,mapping!F:X,18,0)</f>
        <v>高端抽纸</v>
      </c>
      <c r="Y118" s="159">
        <v>6.5000000000000002E-2</v>
      </c>
      <c r="Z118" s="159">
        <v>3.4000000000000002E-2</v>
      </c>
    </row>
    <row r="119" spans="1:26">
      <c r="B119" s="5" t="s">
        <v>389</v>
      </c>
      <c r="C119" s="5" t="s">
        <v>390</v>
      </c>
      <c r="D119" s="5" t="s">
        <v>172</v>
      </c>
      <c r="E119" s="59" t="str">
        <f>VLOOKUP($D119,mapping!$F:$X,5,0)</f>
        <v>210390舒洁小熊印花抽纸3层80抽4包FSC mix70%</v>
      </c>
      <c r="F119" s="59">
        <f>VLOOKUP($D119,mapping!$F:$X,6,0)</f>
        <v>24</v>
      </c>
      <c r="G119" s="59">
        <f>VLOOKUP($D119,mapping!$F:$X,7,0)</f>
        <v>96</v>
      </c>
      <c r="H119" s="59">
        <f>VLOOKUP($D119,mapping!$F:$X,14,0)</f>
        <v>287.22000000000003</v>
      </c>
      <c r="I119" s="56">
        <f t="shared" si="25"/>
        <v>11.967500000000001</v>
      </c>
      <c r="J119" s="60">
        <f t="shared" si="26"/>
        <v>268.55070000000006</v>
      </c>
      <c r="K119" s="60">
        <f t="shared" si="27"/>
        <v>293.14457310600005</v>
      </c>
      <c r="L119" s="61">
        <f t="shared" si="28"/>
        <v>15.173114550000003</v>
      </c>
      <c r="M119" s="60">
        <f t="shared" si="29"/>
        <v>277.97145855600007</v>
      </c>
      <c r="N119" s="155">
        <v>0.05</v>
      </c>
      <c r="O119" s="62">
        <f t="shared" si="21"/>
        <v>2.8955360266250008</v>
      </c>
      <c r="P119" s="58">
        <v>1</v>
      </c>
      <c r="Q119" s="57">
        <v>45839</v>
      </c>
      <c r="R119" s="57">
        <v>45930</v>
      </c>
      <c r="U119" s="63">
        <f t="shared" si="22"/>
        <v>287.75513308074545</v>
      </c>
      <c r="V119" s="63">
        <f t="shared" si="23"/>
        <v>254.65056024844733</v>
      </c>
      <c r="W119" s="63">
        <f t="shared" si="24"/>
        <v>32569.439751552694</v>
      </c>
      <c r="X119" s="59" t="str">
        <f>VLOOKUP($D119,mapping!F:X,18,0)</f>
        <v>高端抽纸</v>
      </c>
      <c r="Y119" s="159">
        <v>6.5000000000000002E-2</v>
      </c>
      <c r="Z119" s="159">
        <v>3.4000000000000002E-2</v>
      </c>
    </row>
    <row r="120" spans="1:26">
      <c r="B120" s="5" t="s">
        <v>389</v>
      </c>
      <c r="C120" s="5" t="s">
        <v>390</v>
      </c>
      <c r="D120" s="5" t="s">
        <v>187</v>
      </c>
      <c r="E120" s="59" t="str">
        <f>VLOOKUP($D120,mapping!$F:$X,5,0)</f>
        <v>210761舒洁卡通系列抽纸200抽3包 FSC mix70%</v>
      </c>
      <c r="F120" s="59">
        <f>VLOOKUP($D120,mapping!$F:$X,6,0)</f>
        <v>20</v>
      </c>
      <c r="G120" s="59">
        <f>VLOOKUP($D120,mapping!$F:$X,7,0)</f>
        <v>60</v>
      </c>
      <c r="H120" s="59">
        <f>VLOOKUP($D120,mapping!$F:$X,14,0)</f>
        <v>338.18198999999998</v>
      </c>
      <c r="I120" s="56">
        <f t="shared" si="25"/>
        <v>16.9090995</v>
      </c>
      <c r="J120" s="60">
        <f t="shared" si="26"/>
        <v>316.20016064999999</v>
      </c>
      <c r="K120" s="60">
        <f t="shared" si="27"/>
        <v>345.15777136232697</v>
      </c>
      <c r="L120" s="61">
        <f t="shared" si="28"/>
        <v>28.584494522759996</v>
      </c>
      <c r="M120" s="60">
        <f t="shared" si="29"/>
        <v>316.57327683956697</v>
      </c>
      <c r="N120" s="155">
        <v>0.08</v>
      </c>
      <c r="O120" s="62">
        <f t="shared" si="21"/>
        <v>5.27622128065945</v>
      </c>
      <c r="P120" s="58">
        <v>1</v>
      </c>
      <c r="Q120" s="57">
        <v>45839</v>
      </c>
      <c r="R120" s="57">
        <v>45930</v>
      </c>
      <c r="U120" s="63">
        <f t="shared" si="22"/>
        <v>327.71560749437577</v>
      </c>
      <c r="V120" s="63">
        <f t="shared" si="23"/>
        <v>290.0138119419255</v>
      </c>
      <c r="W120" s="63">
        <f t="shared" si="24"/>
        <v>48168.178058074489</v>
      </c>
      <c r="X120" s="59" t="str">
        <f>VLOOKUP($D120,mapping!F:X,18,0)</f>
        <v>高端抽纸</v>
      </c>
      <c r="Y120" s="159">
        <v>6.5000000000000002E-2</v>
      </c>
      <c r="Z120" s="159">
        <v>3.4000000000000002E-2</v>
      </c>
    </row>
    <row r="121" spans="1:26">
      <c r="B121" s="5" t="s">
        <v>389</v>
      </c>
      <c r="C121" s="5" t="s">
        <v>390</v>
      </c>
      <c r="D121" s="5" t="s">
        <v>211</v>
      </c>
      <c r="E121" s="59" t="str">
        <f>VLOOKUP($D121,mapping!$F:$X,5,0)</f>
        <v>221635舒洁卷纸3层纯白10粒（蓝色）</v>
      </c>
      <c r="F121" s="59">
        <f>VLOOKUP($D121,mapping!$F:$X,6,0)</f>
        <v>10</v>
      </c>
      <c r="G121" s="59">
        <f>VLOOKUP($D121,mapping!$F:$X,7,0)</f>
        <v>100</v>
      </c>
      <c r="H121" s="59">
        <f>VLOOKUP($D121,mapping!$F:$X,14,0)</f>
        <v>240.89676</v>
      </c>
      <c r="I121" s="56">
        <f t="shared" si="25"/>
        <v>24.089676000000001</v>
      </c>
      <c r="J121" s="60">
        <f t="shared" si="26"/>
        <v>225.2384706</v>
      </c>
      <c r="K121" s="60">
        <f t="shared" si="27"/>
        <v>245.86580973754795</v>
      </c>
      <c r="L121" s="61">
        <f t="shared" si="28"/>
        <v>12.725973588899999</v>
      </c>
      <c r="M121" s="60">
        <f t="shared" si="29"/>
        <v>233.13983614864796</v>
      </c>
      <c r="N121" s="155">
        <v>0.05</v>
      </c>
      <c r="O121" s="62">
        <f t="shared" si="21"/>
        <v>2.3313983614864795</v>
      </c>
      <c r="P121" s="58">
        <v>1</v>
      </c>
      <c r="Q121" s="57">
        <v>45839</v>
      </c>
      <c r="R121" s="57">
        <v>45930</v>
      </c>
      <c r="U121" s="63">
        <f t="shared" si="22"/>
        <v>241.34558607520492</v>
      </c>
      <c r="V121" s="63">
        <f t="shared" si="23"/>
        <v>213.58016466832296</v>
      </c>
      <c r="W121" s="63">
        <f t="shared" si="24"/>
        <v>27316.595331677036</v>
      </c>
      <c r="X121" s="59" t="str">
        <f>VLOOKUP($D121,mapping!F:X,18,0)</f>
        <v>卷纸</v>
      </c>
      <c r="Y121" s="159">
        <v>6.5000000000000002E-2</v>
      </c>
      <c r="Z121" s="159">
        <v>3.4000000000000002E-2</v>
      </c>
    </row>
    <row r="122" spans="1:26">
      <c r="B122" s="5" t="s">
        <v>389</v>
      </c>
      <c r="C122" s="5" t="s">
        <v>390</v>
      </c>
      <c r="D122" s="5" t="s">
        <v>227</v>
      </c>
      <c r="E122" s="59" t="str">
        <f>VLOOKUP($D122,mapping!$F:$X,5,0)</f>
        <v>270190舒洁小熊印花手帕纸3层10包FSC mix70%</v>
      </c>
      <c r="F122" s="59">
        <f>VLOOKUP($D122,mapping!$F:$X,6,0)</f>
        <v>36</v>
      </c>
      <c r="G122" s="59">
        <f>VLOOKUP($D122,mapping!$F:$X,7,0)</f>
        <v>360</v>
      </c>
      <c r="H122" s="59">
        <f>VLOOKUP($D122,mapping!$F:$X,14,0)</f>
        <v>208.46834000000001</v>
      </c>
      <c r="I122" s="56">
        <f t="shared" si="25"/>
        <v>5.7907872222222228</v>
      </c>
      <c r="J122" s="60">
        <f t="shared" si="26"/>
        <v>194.91789790000001</v>
      </c>
      <c r="K122" s="60">
        <f t="shared" si="27"/>
        <v>212.768478989682</v>
      </c>
      <c r="L122" s="61">
        <f t="shared" si="28"/>
        <v>6.6077167388099998</v>
      </c>
      <c r="M122" s="60">
        <f t="shared" si="29"/>
        <v>206.16076225087198</v>
      </c>
      <c r="N122" s="155">
        <v>0.03</v>
      </c>
      <c r="O122" s="62">
        <f t="shared" si="21"/>
        <v>0.57266878403019994</v>
      </c>
      <c r="P122" s="58">
        <v>1</v>
      </c>
      <c r="Q122" s="57">
        <v>45839</v>
      </c>
      <c r="R122" s="57">
        <v>45930</v>
      </c>
      <c r="U122" s="63">
        <f t="shared" si="22"/>
        <v>213.41693814790062</v>
      </c>
      <c r="V122" s="63">
        <f t="shared" si="23"/>
        <v>188.86454703354039</v>
      </c>
      <c r="W122" s="63">
        <f t="shared" si="24"/>
        <v>19603.792966459623</v>
      </c>
      <c r="X122" s="59" t="str">
        <f>VLOOKUP($D122,mapping!F:X,18,0)</f>
        <v>手帕纸</v>
      </c>
      <c r="Y122" s="159">
        <v>6.5000000000000002E-2</v>
      </c>
      <c r="Z122" s="159">
        <v>3.4000000000000002E-2</v>
      </c>
    </row>
    <row r="123" spans="1:26">
      <c r="A123" t="s">
        <v>392</v>
      </c>
      <c r="B123" s="5" t="s">
        <v>389</v>
      </c>
      <c r="C123" s="5" t="s">
        <v>390</v>
      </c>
      <c r="D123" s="5" t="s">
        <v>19</v>
      </c>
      <c r="E123" s="59" t="str">
        <f>VLOOKUP($D123,mapping!$F:$X,5,0)</f>
        <v>269430舒洁湿厕纸家庭装40抽</v>
      </c>
      <c r="F123" s="59">
        <f>VLOOKUP($D123,mapping!$F:$X,6,0)</f>
        <v>40</v>
      </c>
      <c r="G123" s="59">
        <f>VLOOKUP($D123,mapping!$F:$X,7,0)</f>
        <v>40</v>
      </c>
      <c r="H123" s="59">
        <f>VLOOKUP($D123,mapping!$F:$X,14,0)</f>
        <v>367.52197000000001</v>
      </c>
      <c r="I123" s="56">
        <f t="shared" si="25"/>
        <v>9.1880492500000006</v>
      </c>
      <c r="J123" s="60">
        <f t="shared" si="26"/>
        <v>343.63304195000001</v>
      </c>
      <c r="K123" s="60">
        <f t="shared" si="27"/>
        <v>375.10295593178091</v>
      </c>
      <c r="L123" s="61">
        <f t="shared" si="28"/>
        <v>174.73740183157497</v>
      </c>
      <c r="M123" s="60">
        <f t="shared" si="29"/>
        <v>200.36555410020594</v>
      </c>
      <c r="N123" s="155">
        <v>0.45</v>
      </c>
      <c r="O123" s="62">
        <f t="shared" si="21"/>
        <v>5.0091388525051483</v>
      </c>
      <c r="P123" s="58">
        <v>1</v>
      </c>
      <c r="Q123" s="57">
        <v>45839</v>
      </c>
      <c r="R123" s="57">
        <v>45930</v>
      </c>
      <c r="U123" s="63">
        <f t="shared" si="22"/>
        <v>207.41775786770802</v>
      </c>
      <c r="V123" s="63">
        <f t="shared" si="23"/>
        <v>183.55553793602482</v>
      </c>
      <c r="W123" s="63">
        <f t="shared" si="24"/>
        <v>183966.4320639752</v>
      </c>
      <c r="X123" s="59" t="str">
        <f>VLOOKUP($D123,mapping!F:X,18,0)</f>
        <v>舒洁湿厕纸巾</v>
      </c>
      <c r="Y123" s="159">
        <v>6.5000000000000002E-2</v>
      </c>
      <c r="Z123" s="159">
        <v>3.4000000000000002E-2</v>
      </c>
    </row>
    <row r="124" spans="1:26">
      <c r="B124" s="5" t="s">
        <v>401</v>
      </c>
      <c r="C124" s="5" t="s">
        <v>312</v>
      </c>
      <c r="D124" s="5" t="s">
        <v>227</v>
      </c>
      <c r="E124" s="59" t="str">
        <f>VLOOKUP($D124,mapping!$F:$X,5,0)</f>
        <v>270190舒洁小熊印花手帕纸3层10包FSC mix70%</v>
      </c>
      <c r="F124" s="59">
        <f>VLOOKUP($D124,mapping!$F:$X,6,0)</f>
        <v>36</v>
      </c>
      <c r="G124" s="59">
        <f>VLOOKUP($D124,mapping!$F:$X,7,0)</f>
        <v>360</v>
      </c>
      <c r="H124" s="59">
        <f>VLOOKUP($D124,mapping!$F:$X,14,0)</f>
        <v>208.46834000000001</v>
      </c>
      <c r="I124" s="56">
        <f t="shared" si="25"/>
        <v>5.7907872222222228</v>
      </c>
      <c r="J124" s="60">
        <f t="shared" si="26"/>
        <v>194.91789790000001</v>
      </c>
      <c r="K124" s="60">
        <f t="shared" si="27"/>
        <v>212.768478989682</v>
      </c>
      <c r="L124" s="61">
        <f t="shared" si="28"/>
        <v>6.6077167388099998</v>
      </c>
      <c r="M124" s="60">
        <f t="shared" si="29"/>
        <v>206.16076225087198</v>
      </c>
      <c r="N124" s="155">
        <v>0.03</v>
      </c>
      <c r="O124" s="62">
        <f t="shared" si="21"/>
        <v>0.57266878403019994</v>
      </c>
      <c r="P124" s="58">
        <v>1</v>
      </c>
      <c r="Q124" s="57">
        <v>45839</v>
      </c>
      <c r="R124" s="57">
        <v>45930</v>
      </c>
      <c r="U124" s="63">
        <f t="shared" si="22"/>
        <v>213.41693814790062</v>
      </c>
      <c r="V124" s="63">
        <f t="shared" si="23"/>
        <v>188.86454703354039</v>
      </c>
      <c r="W124" s="63">
        <f t="shared" si="24"/>
        <v>19603.792966459623</v>
      </c>
      <c r="X124" s="59" t="str">
        <f>VLOOKUP($D124,mapping!F:X,18,0)</f>
        <v>手帕纸</v>
      </c>
      <c r="Y124" s="159">
        <v>6.5000000000000002E-2</v>
      </c>
      <c r="Z124" s="159">
        <v>3.4000000000000002E-2</v>
      </c>
    </row>
    <row r="125" spans="1:26">
      <c r="B125" s="5" t="s">
        <v>407</v>
      </c>
      <c r="C125" s="5" t="s">
        <v>358</v>
      </c>
      <c r="D125" s="5" t="s">
        <v>227</v>
      </c>
      <c r="E125" s="59" t="str">
        <f>VLOOKUP($D125,mapping!$F:$X,5,0)</f>
        <v>270190舒洁小熊印花手帕纸3层10包FSC mix70%</v>
      </c>
      <c r="F125" s="59">
        <f>VLOOKUP($D125,mapping!$F:$X,6,0)</f>
        <v>36</v>
      </c>
      <c r="G125" s="59">
        <f>VLOOKUP($D125,mapping!$F:$X,7,0)</f>
        <v>360</v>
      </c>
      <c r="H125" s="59">
        <f>VLOOKUP($D125,mapping!$F:$X,14,0)</f>
        <v>208.46834000000001</v>
      </c>
      <c r="I125" s="56">
        <f t="shared" si="25"/>
        <v>5.7907872222222228</v>
      </c>
      <c r="J125" s="60">
        <f t="shared" si="26"/>
        <v>194.91789790000001</v>
      </c>
      <c r="K125" s="60">
        <f t="shared" si="27"/>
        <v>212.768478989682</v>
      </c>
      <c r="L125" s="61">
        <f t="shared" si="28"/>
        <v>33.038583694049997</v>
      </c>
      <c r="M125" s="60">
        <f t="shared" si="29"/>
        <v>179.72989529563199</v>
      </c>
      <c r="N125" s="98">
        <v>0.15</v>
      </c>
      <c r="O125" s="62">
        <f t="shared" si="21"/>
        <v>0.49924970915453332</v>
      </c>
      <c r="P125" s="58">
        <v>1</v>
      </c>
      <c r="Q125" s="57">
        <v>45839</v>
      </c>
      <c r="R125" s="57">
        <v>45930</v>
      </c>
      <c r="U125" s="63">
        <f t="shared" si="22"/>
        <v>186.05579223150309</v>
      </c>
      <c r="V125" s="63">
        <f t="shared" si="23"/>
        <v>164.65114356770187</v>
      </c>
      <c r="W125" s="63">
        <f t="shared" si="24"/>
        <v>43817.196432298144</v>
      </c>
      <c r="X125" s="59" t="str">
        <f>VLOOKUP($D125,mapping!F:X,18,0)</f>
        <v>手帕纸</v>
      </c>
      <c r="Y125" s="159">
        <v>6.5000000000000002E-2</v>
      </c>
      <c r="Z125" s="159">
        <v>3.4000000000000002E-2</v>
      </c>
    </row>
    <row r="126" spans="1:26">
      <c r="A126" t="s">
        <v>392</v>
      </c>
      <c r="B126" s="5" t="s">
        <v>407</v>
      </c>
      <c r="C126" s="5" t="s">
        <v>358</v>
      </c>
      <c r="D126" s="5" t="s">
        <v>19</v>
      </c>
      <c r="E126" s="59" t="str">
        <f>VLOOKUP($D126,mapping!$F:$X,5,0)</f>
        <v>269430舒洁湿厕纸家庭装40抽</v>
      </c>
      <c r="F126" s="59">
        <f>VLOOKUP($D126,mapping!$F:$X,6,0)</f>
        <v>40</v>
      </c>
      <c r="G126" s="59">
        <f>VLOOKUP($D126,mapping!$F:$X,7,0)</f>
        <v>40</v>
      </c>
      <c r="H126" s="59">
        <f>VLOOKUP($D126,mapping!$F:$X,14,0)</f>
        <v>367.52197000000001</v>
      </c>
      <c r="I126" s="56">
        <f t="shared" si="25"/>
        <v>9.1880492500000006</v>
      </c>
      <c r="J126" s="60">
        <f t="shared" si="26"/>
        <v>343.63304195000001</v>
      </c>
      <c r="K126" s="60">
        <f t="shared" si="27"/>
        <v>375.10295593178091</v>
      </c>
      <c r="L126" s="61">
        <f t="shared" si="28"/>
        <v>200.3029559317809</v>
      </c>
      <c r="M126" s="60">
        <f t="shared" si="29"/>
        <v>174.8</v>
      </c>
      <c r="N126" s="98">
        <v>0.5158387913778274</v>
      </c>
      <c r="O126" s="62">
        <f t="shared" si="21"/>
        <v>4.37</v>
      </c>
      <c r="P126" s="58">
        <v>1</v>
      </c>
      <c r="Q126" s="57">
        <v>45839</v>
      </c>
      <c r="R126" s="57">
        <v>45930</v>
      </c>
      <c r="U126" s="63">
        <f t="shared" si="22"/>
        <v>180.95238095238096</v>
      </c>
      <c r="V126" s="63">
        <f t="shared" si="23"/>
        <v>160.13485040033714</v>
      </c>
      <c r="W126" s="63">
        <f t="shared" si="24"/>
        <v>207387.11959966287</v>
      </c>
      <c r="X126" s="59" t="str">
        <f>VLOOKUP($D126,mapping!F:X,18,0)</f>
        <v>舒洁湿厕纸巾</v>
      </c>
      <c r="Y126" s="159">
        <v>6.5000000000000002E-2</v>
      </c>
      <c r="Z126" s="159">
        <v>3.4000000000000002E-2</v>
      </c>
    </row>
    <row r="127" spans="1:26">
      <c r="A127" t="s">
        <v>67</v>
      </c>
      <c r="B127" s="5" t="s">
        <v>407</v>
      </c>
      <c r="C127" s="5" t="s">
        <v>358</v>
      </c>
      <c r="D127" s="5" t="s">
        <v>2</v>
      </c>
      <c r="E127" s="59" t="str">
        <f>VLOOKUP($D127,mapping!$F:$X,5,0)</f>
        <v xml:space="preserve">266200舒洁湿厕纸80片x6包 </v>
      </c>
      <c r="F127" s="59">
        <f>VLOOKUP($D127,mapping!$F:$X,6,0)</f>
        <v>1</v>
      </c>
      <c r="G127" s="59">
        <f>VLOOKUP($D127,mapping!$F:$X,7,0)</f>
        <v>6</v>
      </c>
      <c r="H127" s="59">
        <f>VLOOKUP($D127,mapping!$F:$X,14,0)</f>
        <v>69.44</v>
      </c>
      <c r="I127" s="56">
        <f t="shared" si="25"/>
        <v>69.44</v>
      </c>
      <c r="J127" s="60">
        <f t="shared" si="26"/>
        <v>64.926400000000001</v>
      </c>
      <c r="K127" s="60">
        <f t="shared" si="27"/>
        <v>70.872359711999991</v>
      </c>
      <c r="L127" s="61">
        <f t="shared" si="28"/>
        <v>25.898491695999994</v>
      </c>
      <c r="M127" s="60">
        <f t="shared" si="29"/>
        <v>44.973868015999997</v>
      </c>
      <c r="N127" s="98">
        <v>0.35299999999999998</v>
      </c>
      <c r="O127" s="62">
        <f t="shared" si="21"/>
        <v>7.4956446693333332</v>
      </c>
      <c r="P127" s="58">
        <v>1</v>
      </c>
      <c r="Q127" s="57">
        <v>45839</v>
      </c>
      <c r="R127" s="57">
        <v>45930</v>
      </c>
      <c r="U127" s="63">
        <f t="shared" si="22"/>
        <v>46.556799188405797</v>
      </c>
      <c r="V127" s="63">
        <f t="shared" si="23"/>
        <v>41.200707246376815</v>
      </c>
      <c r="W127" s="63">
        <f t="shared" si="24"/>
        <v>28239.292753623184</v>
      </c>
      <c r="X127" s="59" t="str">
        <f>VLOOKUP($D127,mapping!F:X,18,0)</f>
        <v>舒洁湿厕纸巾</v>
      </c>
      <c r="Y127" s="159">
        <v>6.5000000000000002E-2</v>
      </c>
      <c r="Z127" s="159">
        <v>3.4000000000000002E-2</v>
      </c>
    </row>
    <row r="128" spans="1:26">
      <c r="A128" t="s">
        <v>391</v>
      </c>
      <c r="B128" s="5" t="s">
        <v>407</v>
      </c>
      <c r="C128" s="5" t="s">
        <v>358</v>
      </c>
      <c r="D128" s="5" t="s">
        <v>47</v>
      </c>
      <c r="E128" s="59" t="str">
        <f>VLOOKUP($D128,mapping!$F:$X,5,0)</f>
        <v>266000舒洁湿厕纸80片</v>
      </c>
      <c r="F128" s="59">
        <f>VLOOKUP($D128,mapping!$F:$X,6,0)</f>
        <v>24</v>
      </c>
      <c r="G128" s="59">
        <f>VLOOKUP($D128,mapping!$F:$X,7,0)</f>
        <v>24</v>
      </c>
      <c r="H128" s="59">
        <f>VLOOKUP($D128,mapping!$F:$X,14,0)</f>
        <v>326.88</v>
      </c>
      <c r="I128" s="56">
        <f t="shared" si="25"/>
        <v>13.62</v>
      </c>
      <c r="J128" s="60">
        <f t="shared" si="26"/>
        <v>305.63280000000003</v>
      </c>
      <c r="K128" s="60">
        <f t="shared" si="27"/>
        <v>333.622651824</v>
      </c>
      <c r="L128" s="61">
        <f t="shared" si="28"/>
        <v>153.68745348000002</v>
      </c>
      <c r="M128" s="60">
        <f t="shared" si="29"/>
        <v>179.93519834399999</v>
      </c>
      <c r="N128" s="98">
        <v>0.44500000000000001</v>
      </c>
      <c r="O128" s="62">
        <f t="shared" si="21"/>
        <v>7.4972999309999997</v>
      </c>
      <c r="P128" s="58">
        <v>1</v>
      </c>
      <c r="Q128" s="57">
        <v>45839</v>
      </c>
      <c r="R128" s="57">
        <v>45930</v>
      </c>
      <c r="U128" s="63">
        <f t="shared" si="22"/>
        <v>186.26832126708072</v>
      </c>
      <c r="V128" s="63">
        <f t="shared" si="23"/>
        <v>164.83922236024844</v>
      </c>
      <c r="W128" s="63">
        <f t="shared" si="24"/>
        <v>162040.77763975156</v>
      </c>
      <c r="X128" s="59" t="str">
        <f>VLOOKUP($D128,mapping!F:X,18,0)</f>
        <v>舒洁湿厕纸巾</v>
      </c>
      <c r="Y128" s="159">
        <v>6.5000000000000002E-2</v>
      </c>
      <c r="Z128" s="159">
        <v>3.4000000000000002E-2</v>
      </c>
    </row>
    <row r="129" spans="2:26">
      <c r="B129" s="5" t="s">
        <v>407</v>
      </c>
      <c r="C129" s="5" t="s">
        <v>358</v>
      </c>
      <c r="D129" s="5" t="s">
        <v>96</v>
      </c>
      <c r="E129" s="59" t="str">
        <f>VLOOKUP($D129,mapping!$F:$X,5,0)</f>
        <v>265500舒洁湿厕纸7抽6包装</v>
      </c>
      <c r="F129" s="59">
        <f>VLOOKUP($D129,mapping!$F:$X,6,0)</f>
        <v>16</v>
      </c>
      <c r="G129" s="59">
        <f>VLOOKUP($D129,mapping!$F:$X,7,0)</f>
        <v>96</v>
      </c>
      <c r="H129" s="59">
        <f>VLOOKUP($D129,mapping!$F:$X,14,0)</f>
        <v>179.2</v>
      </c>
      <c r="I129" s="56">
        <f t="shared" si="25"/>
        <v>11.2</v>
      </c>
      <c r="J129" s="60">
        <f t="shared" si="26"/>
        <v>167.55199999999999</v>
      </c>
      <c r="K129" s="60">
        <f t="shared" si="27"/>
        <v>182.89641215999998</v>
      </c>
      <c r="L129" s="61">
        <f t="shared" si="28"/>
        <v>62.480140799999994</v>
      </c>
      <c r="M129" s="60">
        <f t="shared" si="29"/>
        <v>120.41627136</v>
      </c>
      <c r="N129" s="98">
        <v>0.33</v>
      </c>
      <c r="O129" s="62">
        <f t="shared" si="21"/>
        <v>1.25433616</v>
      </c>
      <c r="P129" s="58">
        <v>1</v>
      </c>
      <c r="Q129" s="57">
        <v>45839</v>
      </c>
      <c r="R129" s="57">
        <v>45930</v>
      </c>
      <c r="U129" s="63">
        <f t="shared" si="22"/>
        <v>124.65452521739131</v>
      </c>
      <c r="V129" s="63">
        <f t="shared" si="23"/>
        <v>110.3137391304348</v>
      </c>
      <c r="W129" s="63">
        <f t="shared" si="24"/>
        <v>68886.260869565187</v>
      </c>
      <c r="X129" s="59" t="str">
        <f>VLOOKUP($D129,mapping!F:X,18,0)</f>
        <v>舒洁湿厕纸巾</v>
      </c>
      <c r="Y129" s="159">
        <v>6.5000000000000002E-2</v>
      </c>
      <c r="Z129" s="159">
        <v>3.4000000000000002E-2</v>
      </c>
    </row>
    <row r="130" spans="2:26">
      <c r="B130" s="5" t="s">
        <v>407</v>
      </c>
      <c r="C130" s="5" t="s">
        <v>358</v>
      </c>
      <c r="D130" s="5" t="s">
        <v>244</v>
      </c>
      <c r="E130" s="59" t="str">
        <f>VLOOKUP($D130,mapping!$F:$X,5,0)</f>
        <v>261300舒洁无香湿巾单包装</v>
      </c>
      <c r="F130" s="59">
        <f>VLOOKUP($D130,mapping!$F:$X,6,0)</f>
        <v>30</v>
      </c>
      <c r="G130" s="59">
        <f>VLOOKUP($D130,mapping!$F:$X,7,0)</f>
        <v>30</v>
      </c>
      <c r="H130" s="59">
        <f>VLOOKUP($D130,mapping!$F:$X,14,0)</f>
        <v>91.362830000000002</v>
      </c>
      <c r="I130" s="56">
        <f t="shared" si="25"/>
        <v>3.0454276666666669</v>
      </c>
      <c r="J130" s="60">
        <f t="shared" si="26"/>
        <v>85.424246050000008</v>
      </c>
      <c r="K130" s="60">
        <f t="shared" si="27"/>
        <v>93.247398503258992</v>
      </c>
      <c r="L130" s="61">
        <f t="shared" si="28"/>
        <v>42.472935136060002</v>
      </c>
      <c r="M130" s="60">
        <f t="shared" si="29"/>
        <v>50.77446336719899</v>
      </c>
      <c r="N130" s="98">
        <v>0.44</v>
      </c>
      <c r="O130" s="62">
        <f t="shared" si="21"/>
        <v>1.6924821122399663</v>
      </c>
      <c r="P130" s="58">
        <v>1</v>
      </c>
      <c r="Q130" s="57">
        <v>45839</v>
      </c>
      <c r="R130" s="57">
        <v>45930</v>
      </c>
      <c r="U130" s="63">
        <f t="shared" si="22"/>
        <v>52.561556280744298</v>
      </c>
      <c r="V130" s="63">
        <f t="shared" si="23"/>
        <v>46.514651575879917</v>
      </c>
      <c r="W130" s="63">
        <f t="shared" si="24"/>
        <v>44848.178424120088</v>
      </c>
      <c r="X130" s="59" t="str">
        <f>VLOOKUP($D130,mapping!F:X,18,0)</f>
        <v>舒洁湿巾</v>
      </c>
      <c r="Y130" s="159">
        <v>6.5000000000000002E-2</v>
      </c>
      <c r="Z130" s="159">
        <v>3.4000000000000002E-2</v>
      </c>
    </row>
    <row r="131" spans="2:26">
      <c r="B131" s="5" t="s">
        <v>407</v>
      </c>
      <c r="C131" s="5" t="s">
        <v>358</v>
      </c>
      <c r="D131" s="5" t="s">
        <v>236</v>
      </c>
      <c r="E131" s="59" t="str">
        <f>VLOOKUP($D131,mapping!$F:$X,5,0)</f>
        <v>253000舒洁蚕丝洗脸巾80抽3包装</v>
      </c>
      <c r="F131" s="59">
        <f>VLOOKUP($D131,mapping!$F:$X,6,0)</f>
        <v>6</v>
      </c>
      <c r="G131" s="59">
        <f>VLOOKUP($D131,mapping!$F:$X,7,0)</f>
        <v>18</v>
      </c>
      <c r="H131" s="59">
        <f>VLOOKUP($D131,mapping!$F:$X,14,0)</f>
        <v>358.2</v>
      </c>
      <c r="I131" s="56">
        <f t="shared" si="25"/>
        <v>59.699999999999996</v>
      </c>
      <c r="J131" s="60">
        <f t="shared" si="26"/>
        <v>334.91700000000003</v>
      </c>
      <c r="K131" s="60">
        <f t="shared" si="27"/>
        <v>365.58869885999997</v>
      </c>
      <c r="L131" s="61">
        <f t="shared" si="28"/>
        <v>151.38248400000001</v>
      </c>
      <c r="M131" s="60">
        <f t="shared" si="29"/>
        <v>214.20621485999996</v>
      </c>
      <c r="N131" s="98">
        <v>0.4</v>
      </c>
      <c r="O131" s="62">
        <f t="shared" ref="O131:O194" si="32">M131/G131</f>
        <v>11.900345269999997</v>
      </c>
      <c r="P131" s="58">
        <v>1</v>
      </c>
      <c r="Q131" s="57">
        <v>45839</v>
      </c>
      <c r="R131" s="57">
        <v>45930</v>
      </c>
      <c r="U131" s="63">
        <f t="shared" si="22"/>
        <v>221.74556403726706</v>
      </c>
      <c r="V131" s="63">
        <f t="shared" si="23"/>
        <v>196.23501242236026</v>
      </c>
      <c r="W131" s="63">
        <f t="shared" si="24"/>
        <v>161964.98757763972</v>
      </c>
      <c r="X131" s="59" t="str">
        <f>VLOOKUP($D131,mapping!F:X,18,0)</f>
        <v>舒洁棉柔巾</v>
      </c>
      <c r="Y131" s="159">
        <v>6.5000000000000002E-2</v>
      </c>
      <c r="Z131" s="159">
        <v>3.4000000000000002E-2</v>
      </c>
    </row>
    <row r="132" spans="2:26">
      <c r="B132" s="5" t="s">
        <v>407</v>
      </c>
      <c r="C132" s="5" t="s">
        <v>358</v>
      </c>
      <c r="D132" s="5" t="s">
        <v>195</v>
      </c>
      <c r="E132" s="59" t="str">
        <f>VLOOKUP($D132,mapping!$F:$X,5,0)</f>
        <v>231216 舒洁马蹄莲盒面纸200抽3盒 FSC mix70%</v>
      </c>
      <c r="F132" s="59">
        <f>VLOOKUP($D132,mapping!$F:$X,6,0)</f>
        <v>10</v>
      </c>
      <c r="G132" s="59">
        <f>VLOOKUP($D132,mapping!$F:$X,7,0)</f>
        <v>30</v>
      </c>
      <c r="H132" s="59">
        <f>VLOOKUP($D132,mapping!$F:$X,14,0)</f>
        <v>243.21306999999999</v>
      </c>
      <c r="I132" s="56">
        <f t="shared" si="25"/>
        <v>24.321306999999997</v>
      </c>
      <c r="J132" s="60">
        <f t="shared" si="26"/>
        <v>227.40422045</v>
      </c>
      <c r="K132" s="60">
        <f t="shared" si="27"/>
        <v>248.22989895881099</v>
      </c>
      <c r="L132" s="61">
        <f t="shared" si="28"/>
        <v>41.114683057359997</v>
      </c>
      <c r="M132" s="60">
        <f t="shared" si="29"/>
        <v>207.11521590145099</v>
      </c>
      <c r="N132" s="98">
        <v>0.16</v>
      </c>
      <c r="O132" s="62">
        <f t="shared" si="32"/>
        <v>6.9038405300483667</v>
      </c>
      <c r="P132" s="58">
        <v>1</v>
      </c>
      <c r="Q132" s="57">
        <v>45839</v>
      </c>
      <c r="R132" s="57">
        <v>45930</v>
      </c>
      <c r="U132" s="63">
        <f t="shared" ref="U132:U195" si="33">M132/0.966</f>
        <v>214.40498540522879</v>
      </c>
      <c r="V132" s="63">
        <f t="shared" ref="V132:V195" si="34">U132/1.13</f>
        <v>189.73892513737061</v>
      </c>
      <c r="W132" s="63">
        <f t="shared" ref="W132:W195" si="35">(H132-V132)*1000</f>
        <v>53474.144862629371</v>
      </c>
      <c r="X132" s="59" t="str">
        <f>VLOOKUP($D132,mapping!F:X,18,0)</f>
        <v>盒纸</v>
      </c>
      <c r="Y132" s="159">
        <v>6.5000000000000002E-2</v>
      </c>
      <c r="Z132" s="159">
        <v>3.4000000000000002E-2</v>
      </c>
    </row>
    <row r="133" spans="2:26">
      <c r="B133" s="5" t="s">
        <v>407</v>
      </c>
      <c r="C133" s="5" t="s">
        <v>358</v>
      </c>
      <c r="D133" s="5" t="s">
        <v>219</v>
      </c>
      <c r="E133" s="59" t="str">
        <f>VLOOKUP($D133,mapping!$F:$X,5,0)</f>
        <v>229160舒洁绿茶洋甘菊印花清香卷纸10粒</v>
      </c>
      <c r="F133" s="59">
        <f>VLOOKUP($D133,mapping!$F:$X,6,0)</f>
        <v>5</v>
      </c>
      <c r="G133" s="59">
        <f>VLOOKUP($D133,mapping!$F:$X,7,0)</f>
        <v>50</v>
      </c>
      <c r="H133" s="59">
        <f>VLOOKUP($D133,mapping!$F:$X,14,0)</f>
        <v>153.64888999999999</v>
      </c>
      <c r="I133" s="56">
        <f t="shared" si="25"/>
        <v>30.729778</v>
      </c>
      <c r="J133" s="60">
        <f t="shared" si="26"/>
        <v>143.66171215</v>
      </c>
      <c r="K133" s="60">
        <f t="shared" si="27"/>
        <v>156.81825174869698</v>
      </c>
      <c r="L133" s="61">
        <f t="shared" si="28"/>
        <v>29.220792251309998</v>
      </c>
      <c r="M133" s="60">
        <f t="shared" si="29"/>
        <v>127.59745949738698</v>
      </c>
      <c r="N133" s="98">
        <v>0.18</v>
      </c>
      <c r="O133" s="62">
        <f t="shared" si="32"/>
        <v>2.5519491899477398</v>
      </c>
      <c r="P133" s="58">
        <v>1</v>
      </c>
      <c r="Q133" s="57">
        <v>45839</v>
      </c>
      <c r="R133" s="57">
        <v>45930</v>
      </c>
      <c r="U133" s="63">
        <f t="shared" si="33"/>
        <v>132.08846738859935</v>
      </c>
      <c r="V133" s="63">
        <f t="shared" si="34"/>
        <v>116.89244901645962</v>
      </c>
      <c r="W133" s="63">
        <f t="shared" si="35"/>
        <v>36756.440983540371</v>
      </c>
      <c r="X133" s="59" t="str">
        <f>VLOOKUP($D133,mapping!F:X,18,0)</f>
        <v>卷纸</v>
      </c>
      <c r="Y133" s="159">
        <v>6.5000000000000002E-2</v>
      </c>
      <c r="Z133" s="159">
        <v>3.4000000000000002E-2</v>
      </c>
    </row>
    <row r="134" spans="2:26">
      <c r="B134" s="5" t="s">
        <v>407</v>
      </c>
      <c r="C134" s="5" t="s">
        <v>358</v>
      </c>
      <c r="D134" s="5" t="s">
        <v>211</v>
      </c>
      <c r="E134" s="59" t="str">
        <f>VLOOKUP($D134,mapping!$F:$X,5,0)</f>
        <v>221635舒洁卷纸3层纯白10粒（蓝色）</v>
      </c>
      <c r="F134" s="59">
        <f>VLOOKUP($D134,mapping!$F:$X,6,0)</f>
        <v>10</v>
      </c>
      <c r="G134" s="59">
        <f>VLOOKUP($D134,mapping!$F:$X,7,0)</f>
        <v>100</v>
      </c>
      <c r="H134" s="59">
        <f>VLOOKUP($D134,mapping!$F:$X,14,0)</f>
        <v>240.89676</v>
      </c>
      <c r="I134" s="56">
        <f t="shared" si="25"/>
        <v>24.089676000000001</v>
      </c>
      <c r="J134" s="60">
        <f t="shared" si="26"/>
        <v>225.2384706</v>
      </c>
      <c r="K134" s="60">
        <f t="shared" si="27"/>
        <v>245.86580973754795</v>
      </c>
      <c r="L134" s="61">
        <f t="shared" si="28"/>
        <v>45.813504920039996</v>
      </c>
      <c r="M134" s="60">
        <f t="shared" si="29"/>
        <v>200.05230481750795</v>
      </c>
      <c r="N134" s="98">
        <v>0.18</v>
      </c>
      <c r="O134" s="62">
        <f t="shared" si="32"/>
        <v>2.0005230481750793</v>
      </c>
      <c r="P134" s="58">
        <v>1</v>
      </c>
      <c r="Q134" s="57">
        <v>45839</v>
      </c>
      <c r="R134" s="57">
        <v>45930</v>
      </c>
      <c r="U134" s="63">
        <f t="shared" si="33"/>
        <v>207.09348324793783</v>
      </c>
      <c r="V134" s="63">
        <f t="shared" si="34"/>
        <v>183.26856924596271</v>
      </c>
      <c r="W134" s="63">
        <f t="shared" si="35"/>
        <v>57628.190754037292</v>
      </c>
      <c r="X134" s="59" t="str">
        <f>VLOOKUP($D134,mapping!F:X,18,0)</f>
        <v>卷纸</v>
      </c>
      <c r="Y134" s="159">
        <v>6.5000000000000002E-2</v>
      </c>
      <c r="Z134" s="159">
        <v>3.4000000000000002E-2</v>
      </c>
    </row>
    <row r="135" spans="2:26">
      <c r="B135" s="5" t="s">
        <v>407</v>
      </c>
      <c r="C135" s="5" t="s">
        <v>358</v>
      </c>
      <c r="D135" s="5" t="s">
        <v>157</v>
      </c>
      <c r="E135" s="59" t="str">
        <f>VLOOKUP($D135,mapping!$F:$X,5,0)</f>
        <v>216710舒洁®牛乳系列乳霜纸面巾口袋包7抽10包装</v>
      </c>
      <c r="F135" s="59">
        <f>VLOOKUP($D135,mapping!$F:$X,6,0)</f>
        <v>12</v>
      </c>
      <c r="G135" s="59">
        <f>VLOOKUP($D135,mapping!$F:$X,7,0)</f>
        <v>120</v>
      </c>
      <c r="H135" s="59">
        <f>VLOOKUP($D135,mapping!$F:$X,14,0)</f>
        <v>202.8</v>
      </c>
      <c r="I135" s="56">
        <f t="shared" si="25"/>
        <v>16.900000000000002</v>
      </c>
      <c r="J135" s="60">
        <f t="shared" si="26"/>
        <v>189.61800000000002</v>
      </c>
      <c r="K135" s="60">
        <f t="shared" si="27"/>
        <v>206.98321643999998</v>
      </c>
      <c r="L135" s="61">
        <f t="shared" si="28"/>
        <v>64.280501999999998</v>
      </c>
      <c r="M135" s="60">
        <f t="shared" si="29"/>
        <v>142.70271443999997</v>
      </c>
      <c r="N135" s="98">
        <v>0.3</v>
      </c>
      <c r="O135" s="62">
        <f t="shared" si="32"/>
        <v>1.1891892869999998</v>
      </c>
      <c r="P135" s="58">
        <v>1</v>
      </c>
      <c r="Q135" s="57">
        <v>45839</v>
      </c>
      <c r="R135" s="57">
        <v>45930</v>
      </c>
      <c r="U135" s="63">
        <f t="shared" si="33"/>
        <v>147.72537726708072</v>
      </c>
      <c r="V135" s="63">
        <f t="shared" si="34"/>
        <v>130.73042236024844</v>
      </c>
      <c r="W135" s="63">
        <f t="shared" si="35"/>
        <v>72069.577639751573</v>
      </c>
      <c r="X135" s="59" t="str">
        <f>VLOOKUP($D135,mapping!F:X,18,0)</f>
        <v>高端抽纸</v>
      </c>
      <c r="Y135" s="159">
        <v>6.5000000000000002E-2</v>
      </c>
      <c r="Z135" s="159">
        <v>3.4000000000000002E-2</v>
      </c>
    </row>
    <row r="136" spans="2:26">
      <c r="B136" s="5" t="s">
        <v>407</v>
      </c>
      <c r="C136" s="5" t="s">
        <v>358</v>
      </c>
      <c r="D136" s="5" t="s">
        <v>136</v>
      </c>
      <c r="E136" s="59" t="str">
        <f>VLOOKUP($D136,mapping!$F:$X,5,0)</f>
        <v>215503舒洁®北海道轻牛乳系列乳霜纸面巾40抽3包装</v>
      </c>
      <c r="F136" s="59">
        <f>VLOOKUP($D136,mapping!$F:$X,6,0)</f>
        <v>16</v>
      </c>
      <c r="G136" s="59">
        <f>VLOOKUP($D136,mapping!$F:$X,7,0)</f>
        <v>48</v>
      </c>
      <c r="H136" s="59">
        <f>VLOOKUP($D136,mapping!$F:$X,14,0)</f>
        <v>222.4</v>
      </c>
      <c r="I136" s="56">
        <f t="shared" si="25"/>
        <v>13.9</v>
      </c>
      <c r="J136" s="60">
        <f t="shared" si="26"/>
        <v>207.94400000000002</v>
      </c>
      <c r="K136" s="60">
        <f t="shared" si="27"/>
        <v>226.98751152</v>
      </c>
      <c r="L136" s="61">
        <f t="shared" si="28"/>
        <v>82.241851999999994</v>
      </c>
      <c r="M136" s="60">
        <f t="shared" si="29"/>
        <v>144.74565952</v>
      </c>
      <c r="N136" s="98">
        <v>0.35</v>
      </c>
      <c r="O136" s="62">
        <f t="shared" si="32"/>
        <v>3.0155345733333334</v>
      </c>
      <c r="P136" s="58">
        <v>1</v>
      </c>
      <c r="Q136" s="57">
        <v>45839</v>
      </c>
      <c r="R136" s="57">
        <v>45930</v>
      </c>
      <c r="U136" s="63">
        <f t="shared" si="33"/>
        <v>149.84022724637683</v>
      </c>
      <c r="V136" s="63">
        <f t="shared" si="34"/>
        <v>132.60197101449279</v>
      </c>
      <c r="W136" s="63">
        <f t="shared" si="35"/>
        <v>89798.028985507219</v>
      </c>
      <c r="X136" s="59" t="str">
        <f>VLOOKUP($D136,mapping!F:X,18,0)</f>
        <v>高端抽纸</v>
      </c>
      <c r="Y136" s="159">
        <v>6.5000000000000002E-2</v>
      </c>
      <c r="Z136" s="159">
        <v>3.4000000000000002E-2</v>
      </c>
    </row>
    <row r="137" spans="2:26">
      <c r="B137" s="5" t="s">
        <v>407</v>
      </c>
      <c r="C137" s="5" t="s">
        <v>358</v>
      </c>
      <c r="D137" s="5" t="s">
        <v>187</v>
      </c>
      <c r="E137" s="59" t="str">
        <f>VLOOKUP($D137,mapping!$F:$X,5,0)</f>
        <v>210761舒洁卡通系列抽纸200抽3包 FSC mix70%</v>
      </c>
      <c r="F137" s="59">
        <f>VLOOKUP($D137,mapping!$F:$X,6,0)</f>
        <v>20</v>
      </c>
      <c r="G137" s="59">
        <f>VLOOKUP($D137,mapping!$F:$X,7,0)</f>
        <v>60</v>
      </c>
      <c r="H137" s="59">
        <f>VLOOKUP($D137,mapping!$F:$X,14,0)</f>
        <v>338.18198999999998</v>
      </c>
      <c r="I137" s="56">
        <f t="shared" si="25"/>
        <v>16.9090995</v>
      </c>
      <c r="J137" s="60">
        <f t="shared" si="26"/>
        <v>316.20016064999999</v>
      </c>
      <c r="K137" s="60">
        <f t="shared" si="27"/>
        <v>345.15777136232697</v>
      </c>
      <c r="L137" s="61">
        <f t="shared" si="28"/>
        <v>76.106216666848496</v>
      </c>
      <c r="M137" s="60">
        <f t="shared" si="29"/>
        <v>269.05155469547844</v>
      </c>
      <c r="N137" s="98">
        <v>0.21299999999999999</v>
      </c>
      <c r="O137" s="62">
        <f t="shared" si="32"/>
        <v>4.4841925782579741</v>
      </c>
      <c r="P137" s="58">
        <v>1</v>
      </c>
      <c r="Q137" s="57">
        <v>45839</v>
      </c>
      <c r="R137" s="57">
        <v>45930</v>
      </c>
      <c r="U137" s="63">
        <f t="shared" si="33"/>
        <v>278.5212781526692</v>
      </c>
      <c r="V137" s="63">
        <f t="shared" si="34"/>
        <v>246.47900721475153</v>
      </c>
      <c r="W137" s="63">
        <f t="shared" si="35"/>
        <v>91702.982785248445</v>
      </c>
      <c r="X137" s="59" t="str">
        <f>VLOOKUP($D137,mapping!F:X,18,0)</f>
        <v>高端抽纸</v>
      </c>
      <c r="Y137" s="159">
        <v>6.5000000000000002E-2</v>
      </c>
      <c r="Z137" s="159">
        <v>3.4000000000000002E-2</v>
      </c>
    </row>
    <row r="138" spans="2:26">
      <c r="B138" s="5" t="s">
        <v>407</v>
      </c>
      <c r="C138" s="5" t="s">
        <v>358</v>
      </c>
      <c r="D138" s="5" t="s">
        <v>172</v>
      </c>
      <c r="E138" s="59" t="str">
        <f>VLOOKUP($D138,mapping!$F:$X,5,0)</f>
        <v>210390舒洁小熊印花抽纸3层80抽4包FSC mix70%</v>
      </c>
      <c r="F138" s="59">
        <f>VLOOKUP($D138,mapping!$F:$X,6,0)</f>
        <v>24</v>
      </c>
      <c r="G138" s="59">
        <f>VLOOKUP($D138,mapping!$F:$X,7,0)</f>
        <v>96</v>
      </c>
      <c r="H138" s="59">
        <f>VLOOKUP($D138,mapping!$F:$X,14,0)</f>
        <v>287.22000000000003</v>
      </c>
      <c r="I138" s="56">
        <f t="shared" si="25"/>
        <v>11.967500000000001</v>
      </c>
      <c r="J138" s="60">
        <f t="shared" si="26"/>
        <v>268.55070000000006</v>
      </c>
      <c r="K138" s="60">
        <f t="shared" si="27"/>
        <v>293.14457310600005</v>
      </c>
      <c r="L138" s="61">
        <f t="shared" si="28"/>
        <v>45.51934365000001</v>
      </c>
      <c r="M138" s="60">
        <f t="shared" si="29"/>
        <v>247.62522945600006</v>
      </c>
      <c r="N138" s="98">
        <v>0.15</v>
      </c>
      <c r="O138" s="62">
        <f t="shared" si="32"/>
        <v>2.5794294735000007</v>
      </c>
      <c r="P138" s="58">
        <v>1</v>
      </c>
      <c r="Q138" s="57">
        <v>45839</v>
      </c>
      <c r="R138" s="57">
        <v>45930</v>
      </c>
      <c r="U138" s="63">
        <f t="shared" si="33"/>
        <v>256.34081724223608</v>
      </c>
      <c r="V138" s="63">
        <f t="shared" si="34"/>
        <v>226.85028074534168</v>
      </c>
      <c r="W138" s="63">
        <f t="shared" si="35"/>
        <v>60369.719254658346</v>
      </c>
      <c r="X138" s="59" t="str">
        <f>VLOOKUP($D138,mapping!F:X,18,0)</f>
        <v>高端抽纸</v>
      </c>
      <c r="Y138" s="159">
        <v>6.5000000000000002E-2</v>
      </c>
      <c r="Z138" s="159">
        <v>3.4000000000000002E-2</v>
      </c>
    </row>
    <row r="139" spans="2:26">
      <c r="B139" s="5" t="s">
        <v>407</v>
      </c>
      <c r="C139" s="5" t="s">
        <v>358</v>
      </c>
      <c r="D139" s="5" t="s">
        <v>77</v>
      </c>
      <c r="E139" s="59" t="str">
        <f>VLOOKUP($D139,mapping!$F:$X,5,0)</f>
        <v>267030舒洁湿厕纸旅行装10包装</v>
      </c>
      <c r="F139" s="59">
        <f>VLOOKUP($D139,mapping!$F:$X,6,0)</f>
        <v>4</v>
      </c>
      <c r="G139" s="59">
        <f>VLOOKUP($D139,mapping!$F:$X,7,0)</f>
        <v>40</v>
      </c>
      <c r="H139" s="59">
        <f>VLOOKUP($D139,mapping!$F:$X,14,0)</f>
        <v>151.33257</v>
      </c>
      <c r="I139" s="56">
        <f t="shared" si="25"/>
        <v>37.833142500000001</v>
      </c>
      <c r="J139" s="60">
        <f t="shared" si="26"/>
        <v>141.49595295</v>
      </c>
      <c r="K139" s="60">
        <f t="shared" si="27"/>
        <v>154.45415232116099</v>
      </c>
      <c r="L139" s="61">
        <f t="shared" si="28"/>
        <v>55.96164939172499</v>
      </c>
      <c r="M139" s="60">
        <f t="shared" si="29"/>
        <v>98.492502929436</v>
      </c>
      <c r="N139" s="98">
        <v>0.35</v>
      </c>
      <c r="O139" s="62">
        <f t="shared" si="32"/>
        <v>2.4623125732358999</v>
      </c>
      <c r="P139" s="58">
        <v>1</v>
      </c>
      <c r="Q139" s="57">
        <v>45839</v>
      </c>
      <c r="R139" s="57">
        <v>45930</v>
      </c>
      <c r="U139" s="63">
        <f t="shared" si="33"/>
        <v>101.9591127633913</v>
      </c>
      <c r="V139" s="63">
        <f t="shared" si="34"/>
        <v>90.229303330434789</v>
      </c>
      <c r="W139" s="63">
        <f t="shared" si="35"/>
        <v>61103.266669565215</v>
      </c>
      <c r="X139" s="59" t="str">
        <f>VLOOKUP($D139,mapping!F:X,18,0)</f>
        <v>舒洁湿厕纸巾</v>
      </c>
      <c r="Y139" s="159">
        <v>6.5000000000000002E-2</v>
      </c>
      <c r="Z139" s="159">
        <v>3.4000000000000002E-2</v>
      </c>
    </row>
    <row r="140" spans="2:26">
      <c r="B140" s="5" t="s">
        <v>408</v>
      </c>
      <c r="C140" s="5" t="s">
        <v>409</v>
      </c>
      <c r="D140" s="5" t="s">
        <v>172</v>
      </c>
      <c r="E140" s="59" t="str">
        <f>VLOOKUP($D140,mapping!$F:$X,5,0)</f>
        <v>210390舒洁小熊印花抽纸3层80抽4包FSC mix70%</v>
      </c>
      <c r="F140" s="59">
        <f>VLOOKUP($D140,mapping!$F:$X,6,0)</f>
        <v>24</v>
      </c>
      <c r="G140" s="59">
        <f>VLOOKUP($D140,mapping!$F:$X,7,0)</f>
        <v>96</v>
      </c>
      <c r="H140" s="59">
        <f>VLOOKUP($D140,mapping!$F:$X,14,0)</f>
        <v>287.22000000000003</v>
      </c>
      <c r="I140" s="56">
        <f t="shared" ref="I140:I196" si="36">H140/F140</f>
        <v>11.967500000000001</v>
      </c>
      <c r="J140" s="60">
        <f t="shared" ref="J140:J196" si="37">H140*0.935</f>
        <v>268.55070000000006</v>
      </c>
      <c r="K140" s="60">
        <f t="shared" ref="K140:K196" si="38">J140*1.13*0.966</f>
        <v>293.14457310600005</v>
      </c>
      <c r="L140" s="61">
        <f t="shared" ref="L140:L196" si="39">J140*N140*1.13</f>
        <v>15.173114550000003</v>
      </c>
      <c r="M140" s="60">
        <f t="shared" ref="M140:M196" si="40">K140-L140</f>
        <v>277.97145855600007</v>
      </c>
      <c r="N140" s="156">
        <v>0.05</v>
      </c>
      <c r="O140" s="62">
        <f t="shared" si="32"/>
        <v>2.8955360266250008</v>
      </c>
      <c r="P140" s="58">
        <v>1</v>
      </c>
      <c r="Q140" s="57">
        <v>45839</v>
      </c>
      <c r="R140" s="57">
        <v>45930</v>
      </c>
      <c r="U140" s="63">
        <f t="shared" si="33"/>
        <v>287.75513308074545</v>
      </c>
      <c r="V140" s="63">
        <f t="shared" si="34"/>
        <v>254.65056024844733</v>
      </c>
      <c r="W140" s="63">
        <f t="shared" si="35"/>
        <v>32569.439751552694</v>
      </c>
      <c r="X140" s="59" t="str">
        <f>VLOOKUP($D140,mapping!F:X,18,0)</f>
        <v>高端抽纸</v>
      </c>
      <c r="Y140" s="159">
        <v>6.5000000000000002E-2</v>
      </c>
      <c r="Z140" s="159">
        <v>3.4000000000000002E-2</v>
      </c>
    </row>
    <row r="141" spans="2:26">
      <c r="B141" s="5" t="s">
        <v>408</v>
      </c>
      <c r="C141" s="5" t="s">
        <v>409</v>
      </c>
      <c r="D141" s="5" t="s">
        <v>187</v>
      </c>
      <c r="E141" s="59" t="str">
        <f>VLOOKUP($D141,mapping!$F:$X,5,0)</f>
        <v>210761舒洁卡通系列抽纸200抽3包 FSC mix70%</v>
      </c>
      <c r="F141" s="59">
        <f>VLOOKUP($D141,mapping!$F:$X,6,0)</f>
        <v>20</v>
      </c>
      <c r="G141" s="59">
        <f>VLOOKUP($D141,mapping!$F:$X,7,0)</f>
        <v>60</v>
      </c>
      <c r="H141" s="59">
        <f>VLOOKUP($D141,mapping!$F:$X,14,0)</f>
        <v>338.18198999999998</v>
      </c>
      <c r="I141" s="56">
        <f t="shared" si="36"/>
        <v>16.9090995</v>
      </c>
      <c r="J141" s="60">
        <f t="shared" si="37"/>
        <v>316.20016064999999</v>
      </c>
      <c r="K141" s="60">
        <f t="shared" si="38"/>
        <v>345.15777136232697</v>
      </c>
      <c r="L141" s="61">
        <f t="shared" si="39"/>
        <v>28.584494522759996</v>
      </c>
      <c r="M141" s="60">
        <f t="shared" si="40"/>
        <v>316.57327683956697</v>
      </c>
      <c r="N141" s="156">
        <v>0.08</v>
      </c>
      <c r="O141" s="62">
        <f t="shared" si="32"/>
        <v>5.27622128065945</v>
      </c>
      <c r="P141" s="58">
        <v>1</v>
      </c>
      <c r="Q141" s="57">
        <v>45839</v>
      </c>
      <c r="R141" s="57">
        <v>45930</v>
      </c>
      <c r="U141" s="63">
        <f t="shared" si="33"/>
        <v>327.71560749437577</v>
      </c>
      <c r="V141" s="63">
        <f t="shared" si="34"/>
        <v>290.0138119419255</v>
      </c>
      <c r="W141" s="63">
        <f t="shared" si="35"/>
        <v>48168.178058074489</v>
      </c>
      <c r="X141" s="59" t="str">
        <f>VLOOKUP($D141,mapping!F:X,18,0)</f>
        <v>高端抽纸</v>
      </c>
      <c r="Y141" s="159">
        <v>6.5000000000000002E-2</v>
      </c>
      <c r="Z141" s="159">
        <v>3.4000000000000002E-2</v>
      </c>
    </row>
    <row r="142" spans="2:26">
      <c r="B142" s="5" t="s">
        <v>408</v>
      </c>
      <c r="C142" s="5" t="s">
        <v>409</v>
      </c>
      <c r="D142" s="5" t="s">
        <v>211</v>
      </c>
      <c r="E142" s="59" t="str">
        <f>VLOOKUP($D142,mapping!$F:$X,5,0)</f>
        <v>221635舒洁卷纸3层纯白10粒（蓝色）</v>
      </c>
      <c r="F142" s="59">
        <f>VLOOKUP($D142,mapping!$F:$X,6,0)</f>
        <v>10</v>
      </c>
      <c r="G142" s="59">
        <f>VLOOKUP($D142,mapping!$F:$X,7,0)</f>
        <v>100</v>
      </c>
      <c r="H142" s="59">
        <f>VLOOKUP($D142,mapping!$F:$X,14,0)</f>
        <v>240.89676</v>
      </c>
      <c r="I142" s="56">
        <f t="shared" si="36"/>
        <v>24.089676000000001</v>
      </c>
      <c r="J142" s="60">
        <f t="shared" si="37"/>
        <v>225.2384706</v>
      </c>
      <c r="K142" s="60">
        <f t="shared" si="38"/>
        <v>245.86580973754795</v>
      </c>
      <c r="L142" s="61">
        <f t="shared" si="39"/>
        <v>12.725973588899999</v>
      </c>
      <c r="M142" s="60">
        <f t="shared" si="40"/>
        <v>233.13983614864796</v>
      </c>
      <c r="N142" s="156">
        <v>0.05</v>
      </c>
      <c r="O142" s="62">
        <f t="shared" si="32"/>
        <v>2.3313983614864795</v>
      </c>
      <c r="P142" s="58">
        <v>1</v>
      </c>
      <c r="Q142" s="57">
        <v>45839</v>
      </c>
      <c r="R142" s="57">
        <v>45930</v>
      </c>
      <c r="U142" s="63">
        <f t="shared" si="33"/>
        <v>241.34558607520492</v>
      </c>
      <c r="V142" s="63">
        <f t="shared" si="34"/>
        <v>213.58016466832296</v>
      </c>
      <c r="W142" s="63">
        <f t="shared" si="35"/>
        <v>27316.595331677036</v>
      </c>
      <c r="X142" s="59" t="str">
        <f>VLOOKUP($D142,mapping!F:X,18,0)</f>
        <v>卷纸</v>
      </c>
      <c r="Y142" s="159">
        <v>6.5000000000000002E-2</v>
      </c>
      <c r="Z142" s="159">
        <v>3.4000000000000002E-2</v>
      </c>
    </row>
    <row r="143" spans="2:26">
      <c r="B143" s="5" t="s">
        <v>408</v>
      </c>
      <c r="C143" s="5" t="s">
        <v>409</v>
      </c>
      <c r="D143" s="5" t="s">
        <v>219</v>
      </c>
      <c r="E143" s="59" t="str">
        <f>VLOOKUP($D143,mapping!$F:$X,5,0)</f>
        <v>229160舒洁绿茶洋甘菊印花清香卷纸10粒</v>
      </c>
      <c r="F143" s="59">
        <f>VLOOKUP($D143,mapping!$F:$X,6,0)</f>
        <v>5</v>
      </c>
      <c r="G143" s="59">
        <f>VLOOKUP($D143,mapping!$F:$X,7,0)</f>
        <v>50</v>
      </c>
      <c r="H143" s="59">
        <f>VLOOKUP($D143,mapping!$F:$X,14,0)</f>
        <v>153.64888999999999</v>
      </c>
      <c r="I143" s="56">
        <f t="shared" si="36"/>
        <v>30.729778</v>
      </c>
      <c r="J143" s="60">
        <f t="shared" si="37"/>
        <v>143.66171215</v>
      </c>
      <c r="K143" s="60">
        <f t="shared" si="38"/>
        <v>156.81825174869698</v>
      </c>
      <c r="L143" s="61">
        <f t="shared" si="39"/>
        <v>8.1168867364749993</v>
      </c>
      <c r="M143" s="60">
        <f t="shared" si="40"/>
        <v>148.70136501222197</v>
      </c>
      <c r="N143" s="156">
        <v>0.05</v>
      </c>
      <c r="O143" s="62">
        <f t="shared" si="32"/>
        <v>2.9740273002444395</v>
      </c>
      <c r="P143" s="58">
        <v>1</v>
      </c>
      <c r="Q143" s="57">
        <v>45839</v>
      </c>
      <c r="R143" s="57">
        <v>45930</v>
      </c>
      <c r="U143" s="63">
        <f t="shared" si="33"/>
        <v>153.93516046813869</v>
      </c>
      <c r="V143" s="63">
        <f t="shared" si="34"/>
        <v>136.22580572401657</v>
      </c>
      <c r="W143" s="63">
        <f t="shared" si="35"/>
        <v>17423.084275983427</v>
      </c>
      <c r="X143" s="59" t="str">
        <f>VLOOKUP($D143,mapping!F:X,18,0)</f>
        <v>卷纸</v>
      </c>
      <c r="Y143" s="159">
        <v>6.5000000000000002E-2</v>
      </c>
      <c r="Z143" s="159">
        <v>3.4000000000000002E-2</v>
      </c>
    </row>
    <row r="144" spans="2:26">
      <c r="B144" s="5" t="s">
        <v>408</v>
      </c>
      <c r="C144" s="5" t="s">
        <v>409</v>
      </c>
      <c r="D144" s="5" t="s">
        <v>244</v>
      </c>
      <c r="E144" s="59" t="str">
        <f>VLOOKUP($D144,mapping!$F:$X,5,0)</f>
        <v>261300舒洁无香湿巾单包装</v>
      </c>
      <c r="F144" s="59">
        <f>VLOOKUP($D144,mapping!$F:$X,6,0)</f>
        <v>30</v>
      </c>
      <c r="G144" s="59">
        <f>VLOOKUP($D144,mapping!$F:$X,7,0)</f>
        <v>30</v>
      </c>
      <c r="H144" s="59">
        <f>VLOOKUP($D144,mapping!$F:$X,14,0)</f>
        <v>91.362830000000002</v>
      </c>
      <c r="I144" s="56">
        <f t="shared" si="36"/>
        <v>3.0454276666666669</v>
      </c>
      <c r="J144" s="60">
        <f t="shared" si="37"/>
        <v>85.424246050000008</v>
      </c>
      <c r="K144" s="60">
        <f t="shared" si="38"/>
        <v>93.247398503258992</v>
      </c>
      <c r="L144" s="61">
        <f t="shared" si="39"/>
        <v>9.6529398036499998</v>
      </c>
      <c r="M144" s="60">
        <f t="shared" si="40"/>
        <v>83.594458699608992</v>
      </c>
      <c r="N144" s="156">
        <v>0.1</v>
      </c>
      <c r="O144" s="62">
        <f t="shared" si="32"/>
        <v>2.786481956653633</v>
      </c>
      <c r="P144" s="58">
        <v>1</v>
      </c>
      <c r="Q144" s="57">
        <v>45839</v>
      </c>
      <c r="R144" s="57">
        <v>45930</v>
      </c>
      <c r="U144" s="63">
        <f t="shared" si="33"/>
        <v>86.536706728373701</v>
      </c>
      <c r="V144" s="63">
        <f t="shared" si="34"/>
        <v>76.581156396790888</v>
      </c>
      <c r="W144" s="63">
        <f t="shared" si="35"/>
        <v>14781.673603209114</v>
      </c>
      <c r="X144" s="59" t="str">
        <f>VLOOKUP($D144,mapping!F:X,18,0)</f>
        <v>舒洁湿巾</v>
      </c>
      <c r="Y144" s="159">
        <v>6.5000000000000002E-2</v>
      </c>
      <c r="Z144" s="159">
        <v>3.4000000000000002E-2</v>
      </c>
    </row>
    <row r="145" spans="1:29">
      <c r="A145" t="s">
        <v>391</v>
      </c>
      <c r="B145" s="5" t="s">
        <v>408</v>
      </c>
      <c r="C145" s="5" t="s">
        <v>409</v>
      </c>
      <c r="D145" s="5" t="s">
        <v>47</v>
      </c>
      <c r="E145" s="59" t="str">
        <f>VLOOKUP($D145,mapping!$F:$X,5,0)</f>
        <v>266000舒洁湿厕纸80片</v>
      </c>
      <c r="F145" s="59">
        <f>VLOOKUP($D145,mapping!$F:$X,6,0)</f>
        <v>24</v>
      </c>
      <c r="G145" s="59">
        <f>VLOOKUP($D145,mapping!$F:$X,7,0)</f>
        <v>24</v>
      </c>
      <c r="H145" s="59">
        <f>VLOOKUP($D145,mapping!$F:$X,14,0)</f>
        <v>326.88</v>
      </c>
      <c r="I145" s="56">
        <f t="shared" si="36"/>
        <v>13.62</v>
      </c>
      <c r="J145" s="60">
        <f t="shared" si="37"/>
        <v>305.63280000000003</v>
      </c>
      <c r="K145" s="60">
        <f t="shared" si="38"/>
        <v>333.622651824</v>
      </c>
      <c r="L145" s="61">
        <f t="shared" si="39"/>
        <v>62.165711519999995</v>
      </c>
      <c r="M145" s="60">
        <f t="shared" si="40"/>
        <v>271.456940304</v>
      </c>
      <c r="N145" s="155">
        <v>0.18</v>
      </c>
      <c r="O145" s="62">
        <f t="shared" si="32"/>
        <v>11.310705845999999</v>
      </c>
      <c r="P145" s="58">
        <v>1</v>
      </c>
      <c r="Q145" s="57">
        <v>45839</v>
      </c>
      <c r="R145" s="57">
        <v>45930</v>
      </c>
      <c r="U145" s="63">
        <f t="shared" si="33"/>
        <v>281.01132536645963</v>
      </c>
      <c r="V145" s="63">
        <f t="shared" si="34"/>
        <v>248.6825888198758</v>
      </c>
      <c r="W145" s="63">
        <f t="shared" si="35"/>
        <v>78197.411180124196</v>
      </c>
      <c r="X145" s="59" t="str">
        <f>VLOOKUP($D145,mapping!F:X,18,0)</f>
        <v>舒洁湿厕纸巾</v>
      </c>
      <c r="Y145" s="159">
        <v>6.5000000000000002E-2</v>
      </c>
      <c r="Z145" s="159">
        <v>3.4000000000000002E-2</v>
      </c>
    </row>
    <row r="146" spans="1:29">
      <c r="A146" t="s">
        <v>392</v>
      </c>
      <c r="B146" s="5" t="s">
        <v>408</v>
      </c>
      <c r="C146" s="5" t="s">
        <v>409</v>
      </c>
      <c r="D146" s="5" t="s">
        <v>19</v>
      </c>
      <c r="E146" s="59" t="str">
        <f>VLOOKUP($D146,mapping!$F:$X,5,0)</f>
        <v>269430舒洁湿厕纸家庭装40抽</v>
      </c>
      <c r="F146" s="59">
        <f>VLOOKUP($D146,mapping!$F:$X,6,0)</f>
        <v>40</v>
      </c>
      <c r="G146" s="59">
        <f>VLOOKUP($D146,mapping!$F:$X,7,0)</f>
        <v>40</v>
      </c>
      <c r="H146" s="59">
        <f>VLOOKUP($D146,mapping!$F:$X,14,0)</f>
        <v>367.52197000000001</v>
      </c>
      <c r="I146" s="56">
        <f t="shared" si="36"/>
        <v>9.1880492500000006</v>
      </c>
      <c r="J146" s="60">
        <f t="shared" si="37"/>
        <v>343.63304195000001</v>
      </c>
      <c r="K146" s="60">
        <f t="shared" si="38"/>
        <v>375.10295593178091</v>
      </c>
      <c r="L146" s="61">
        <f t="shared" si="39"/>
        <v>116.49160122104998</v>
      </c>
      <c r="M146" s="60">
        <f t="shared" si="40"/>
        <v>258.61135471073095</v>
      </c>
      <c r="N146" s="155">
        <v>0.3</v>
      </c>
      <c r="O146" s="62">
        <f t="shared" si="32"/>
        <v>6.4652838677682736</v>
      </c>
      <c r="P146" s="58">
        <v>1</v>
      </c>
      <c r="Q146" s="57">
        <v>45839</v>
      </c>
      <c r="R146" s="57">
        <v>45930</v>
      </c>
      <c r="U146" s="63">
        <f t="shared" si="33"/>
        <v>267.713617712972</v>
      </c>
      <c r="V146" s="63">
        <f t="shared" si="34"/>
        <v>236.91470594068321</v>
      </c>
      <c r="W146" s="63">
        <f t="shared" si="35"/>
        <v>130607.2640593168</v>
      </c>
      <c r="X146" s="59" t="str">
        <f>VLOOKUP($D146,mapping!F:X,18,0)</f>
        <v>舒洁湿厕纸巾</v>
      </c>
      <c r="Y146" s="159">
        <v>6.5000000000000002E-2</v>
      </c>
      <c r="Z146" s="159">
        <v>3.4000000000000002E-2</v>
      </c>
    </row>
    <row r="147" spans="1:29">
      <c r="B147" s="5" t="s">
        <v>408</v>
      </c>
      <c r="C147" s="5" t="s">
        <v>409</v>
      </c>
      <c r="D147" s="5" t="s">
        <v>227</v>
      </c>
      <c r="E147" s="59" t="str">
        <f>VLOOKUP($D147,mapping!$F:$X,5,0)</f>
        <v>270190舒洁小熊印花手帕纸3层10包FSC mix70%</v>
      </c>
      <c r="F147" s="59">
        <f>VLOOKUP($D147,mapping!$F:$X,6,0)</f>
        <v>36</v>
      </c>
      <c r="G147" s="59">
        <f>VLOOKUP($D147,mapping!$F:$X,7,0)</f>
        <v>360</v>
      </c>
      <c r="H147" s="59">
        <f>VLOOKUP($D147,mapping!$F:$X,14,0)</f>
        <v>208.46834000000001</v>
      </c>
      <c r="I147" s="56">
        <f t="shared" si="36"/>
        <v>5.7907872222222228</v>
      </c>
      <c r="J147" s="60">
        <f t="shared" si="37"/>
        <v>194.91789790000001</v>
      </c>
      <c r="K147" s="60">
        <f t="shared" si="38"/>
        <v>212.768478989682</v>
      </c>
      <c r="L147" s="61">
        <f t="shared" si="39"/>
        <v>6.6077167388099998</v>
      </c>
      <c r="M147" s="60">
        <f t="shared" si="40"/>
        <v>206.16076225087198</v>
      </c>
      <c r="N147" s="155">
        <v>0.03</v>
      </c>
      <c r="O147" s="62">
        <f t="shared" si="32"/>
        <v>0.57266878403019994</v>
      </c>
      <c r="P147" s="58">
        <v>1</v>
      </c>
      <c r="Q147" s="57">
        <v>45839</v>
      </c>
      <c r="R147" s="57">
        <v>45930</v>
      </c>
      <c r="U147" s="63">
        <f t="shared" si="33"/>
        <v>213.41693814790062</v>
      </c>
      <c r="V147" s="63">
        <f t="shared" si="34"/>
        <v>188.86454703354039</v>
      </c>
      <c r="W147" s="63">
        <f t="shared" si="35"/>
        <v>19603.792966459623</v>
      </c>
      <c r="X147" s="59" t="str">
        <f>VLOOKUP($D147,mapping!F:X,18,0)</f>
        <v>手帕纸</v>
      </c>
      <c r="Y147" s="159">
        <v>6.5000000000000002E-2</v>
      </c>
      <c r="Z147" s="159">
        <v>3.4000000000000002E-2</v>
      </c>
    </row>
    <row r="148" spans="1:29">
      <c r="B148" s="5" t="s">
        <v>410</v>
      </c>
      <c r="C148" s="5" t="s">
        <v>411</v>
      </c>
      <c r="D148" s="5" t="s">
        <v>172</v>
      </c>
      <c r="E148" s="59" t="str">
        <f>VLOOKUP($D148,mapping!$F:$X,5,0)</f>
        <v>210390舒洁小熊印花抽纸3层80抽4包FSC mix70%</v>
      </c>
      <c r="F148" s="59">
        <f>VLOOKUP($D148,mapping!$F:$X,6,0)</f>
        <v>24</v>
      </c>
      <c r="G148" s="59">
        <f>VLOOKUP($D148,mapping!$F:$X,7,0)</f>
        <v>96</v>
      </c>
      <c r="H148" s="59">
        <f>VLOOKUP($D148,mapping!$F:$X,14,0)</f>
        <v>287.22000000000003</v>
      </c>
      <c r="I148" s="56">
        <f t="shared" si="36"/>
        <v>11.967500000000001</v>
      </c>
      <c r="J148" s="60">
        <f t="shared" si="37"/>
        <v>268.55070000000006</v>
      </c>
      <c r="K148" s="60">
        <f t="shared" si="38"/>
        <v>293.14457310600005</v>
      </c>
      <c r="L148" s="61">
        <f t="shared" si="39"/>
        <v>12.138491640000002</v>
      </c>
      <c r="M148" s="60">
        <f t="shared" si="40"/>
        <v>281.00608146600007</v>
      </c>
      <c r="N148" s="155">
        <v>0.04</v>
      </c>
      <c r="O148" s="62">
        <f t="shared" si="32"/>
        <v>2.9271466819375007</v>
      </c>
      <c r="P148" s="58">
        <v>1</v>
      </c>
      <c r="Q148" s="57">
        <v>45839</v>
      </c>
      <c r="R148" s="57">
        <v>45930</v>
      </c>
      <c r="U148" s="63">
        <f t="shared" si="33"/>
        <v>290.89656466459633</v>
      </c>
      <c r="V148" s="63">
        <f t="shared" si="34"/>
        <v>257.43058819875785</v>
      </c>
      <c r="W148" s="63">
        <f t="shared" si="35"/>
        <v>29789.411801242182</v>
      </c>
      <c r="X148" s="59" t="str">
        <f>VLOOKUP($D148,mapping!F:X,18,0)</f>
        <v>高端抽纸</v>
      </c>
      <c r="Y148" s="159">
        <v>6.5000000000000002E-2</v>
      </c>
      <c r="Z148" s="159">
        <v>3.4000000000000002E-2</v>
      </c>
    </row>
    <row r="149" spans="1:29">
      <c r="A149" t="s">
        <v>391</v>
      </c>
      <c r="B149" s="5" t="s">
        <v>410</v>
      </c>
      <c r="C149" s="5" t="s">
        <v>411</v>
      </c>
      <c r="D149" s="5" t="s">
        <v>47</v>
      </c>
      <c r="E149" s="59" t="str">
        <f>VLOOKUP($D149,mapping!$F:$X,5,0)</f>
        <v>266000舒洁湿厕纸80片</v>
      </c>
      <c r="F149" s="59">
        <f>VLOOKUP($D149,mapping!$F:$X,6,0)</f>
        <v>24</v>
      </c>
      <c r="G149" s="59">
        <f>VLOOKUP($D149,mapping!$F:$X,7,0)</f>
        <v>24</v>
      </c>
      <c r="H149" s="59">
        <f>VLOOKUP($D149,mapping!$F:$X,14,0)</f>
        <v>326.88</v>
      </c>
      <c r="I149" s="56">
        <f t="shared" si="36"/>
        <v>13.62</v>
      </c>
      <c r="J149" s="60">
        <f t="shared" si="37"/>
        <v>305.63280000000003</v>
      </c>
      <c r="K149" s="60">
        <f t="shared" si="38"/>
        <v>333.622651824</v>
      </c>
      <c r="L149" s="61">
        <f t="shared" si="39"/>
        <v>100.15586855999999</v>
      </c>
      <c r="M149" s="60">
        <f t="shared" si="40"/>
        <v>233.46678326400001</v>
      </c>
      <c r="N149" s="155">
        <v>0.28999999999999998</v>
      </c>
      <c r="O149" s="62">
        <f t="shared" si="32"/>
        <v>9.7277826360000006</v>
      </c>
      <c r="P149" s="58">
        <v>1</v>
      </c>
      <c r="Q149" s="57">
        <v>45839</v>
      </c>
      <c r="R149" s="57">
        <v>45930</v>
      </c>
      <c r="U149" s="63">
        <f t="shared" si="33"/>
        <v>241.68404064596277</v>
      </c>
      <c r="V149" s="63">
        <f t="shared" si="34"/>
        <v>213.8796819875777</v>
      </c>
      <c r="W149" s="63">
        <f t="shared" si="35"/>
        <v>113000.3180124223</v>
      </c>
      <c r="X149" s="59" t="str">
        <f>VLOOKUP($D149,mapping!F:X,18,0)</f>
        <v>舒洁湿厕纸巾</v>
      </c>
      <c r="Y149" s="159">
        <v>6.5000000000000002E-2</v>
      </c>
      <c r="Z149" s="159">
        <v>3.4000000000000002E-2</v>
      </c>
    </row>
    <row r="150" spans="1:29">
      <c r="B150" s="5" t="s">
        <v>410</v>
      </c>
      <c r="C150" s="5" t="s">
        <v>411</v>
      </c>
      <c r="D150" s="5" t="s">
        <v>127</v>
      </c>
      <c r="E150" s="59" t="str">
        <f>VLOOKUP($D150,mapping!$F:$X,5,0)</f>
        <v>215204舒洁鎏金系列乳霜纸巾40抽8包</v>
      </c>
      <c r="F150" s="59">
        <f>VLOOKUP($D150,mapping!$F:$X,6,0)</f>
        <v>4</v>
      </c>
      <c r="G150" s="59">
        <f>VLOOKUP($D150,mapping!$F:$X,7,0)</f>
        <v>32</v>
      </c>
      <c r="H150" s="59">
        <f>VLOOKUP($D150,mapping!$F:$X,14,0)</f>
        <v>105.79</v>
      </c>
      <c r="I150" s="56">
        <f t="shared" si="36"/>
        <v>26.447500000000002</v>
      </c>
      <c r="J150" s="60">
        <f t="shared" si="37"/>
        <v>98.913650000000018</v>
      </c>
      <c r="K150" s="60">
        <f t="shared" si="38"/>
        <v>107.97216206700001</v>
      </c>
      <c r="L150" s="61">
        <f t="shared" si="39"/>
        <v>32.414003104999999</v>
      </c>
      <c r="M150" s="60">
        <f t="shared" si="40"/>
        <v>75.558158962000022</v>
      </c>
      <c r="N150" s="155">
        <v>0.28999999999999998</v>
      </c>
      <c r="O150" s="62">
        <f t="shared" si="32"/>
        <v>2.3611924675625007</v>
      </c>
      <c r="P150" s="58">
        <v>1</v>
      </c>
      <c r="Q150" s="57">
        <v>45839</v>
      </c>
      <c r="R150" s="57">
        <v>45930</v>
      </c>
      <c r="U150" s="63">
        <f t="shared" si="33"/>
        <v>78.217555861283671</v>
      </c>
      <c r="V150" s="63">
        <f t="shared" si="34"/>
        <v>69.219075983436881</v>
      </c>
      <c r="W150" s="63">
        <f t="shared" si="35"/>
        <v>36570.924016563127</v>
      </c>
      <c r="X150" s="59" t="str">
        <f>VLOOKUP($D150,mapping!F:X,18,0)</f>
        <v>高端抽纸</v>
      </c>
      <c r="Y150" s="159">
        <v>6.5000000000000002E-2</v>
      </c>
      <c r="Z150" s="159">
        <v>3.4000000000000002E-2</v>
      </c>
    </row>
    <row r="151" spans="1:29">
      <c r="B151" s="5" t="s">
        <v>410</v>
      </c>
      <c r="C151" s="5" t="s">
        <v>411</v>
      </c>
      <c r="D151" s="5" t="s">
        <v>136</v>
      </c>
      <c r="E151" s="59" t="str">
        <f>VLOOKUP($D151,mapping!$F:$X,5,0)</f>
        <v>215503舒洁®北海道轻牛乳系列乳霜纸面巾40抽3包装</v>
      </c>
      <c r="F151" s="59">
        <f>VLOOKUP($D151,mapping!$F:$X,6,0)</f>
        <v>16</v>
      </c>
      <c r="G151" s="59">
        <f>VLOOKUP($D151,mapping!$F:$X,7,0)</f>
        <v>48</v>
      </c>
      <c r="H151" s="59">
        <f>VLOOKUP($D151,mapping!$F:$X,14,0)</f>
        <v>222.4</v>
      </c>
      <c r="I151" s="56">
        <f t="shared" si="36"/>
        <v>13.9</v>
      </c>
      <c r="J151" s="60">
        <f t="shared" si="37"/>
        <v>207.94400000000002</v>
      </c>
      <c r="K151" s="60">
        <f t="shared" si="38"/>
        <v>226.98751152</v>
      </c>
      <c r="L151" s="61">
        <f t="shared" si="39"/>
        <v>6.1875115199999868</v>
      </c>
      <c r="M151" s="60">
        <f t="shared" si="40"/>
        <v>220.8</v>
      </c>
      <c r="N151" s="155">
        <v>2.6332444848153412E-2</v>
      </c>
      <c r="O151" s="62">
        <f t="shared" si="32"/>
        <v>4.6000000000000005</v>
      </c>
      <c r="P151" s="58">
        <v>1</v>
      </c>
      <c r="Q151" s="57">
        <v>45839</v>
      </c>
      <c r="R151" s="57">
        <v>45930</v>
      </c>
      <c r="U151" s="63">
        <f t="shared" si="33"/>
        <v>228.57142857142858</v>
      </c>
      <c r="V151" s="63">
        <f t="shared" si="34"/>
        <v>202.27560050568903</v>
      </c>
      <c r="W151" s="63">
        <f t="shared" si="35"/>
        <v>20124.399494310979</v>
      </c>
      <c r="X151" s="59" t="str">
        <f>VLOOKUP($D151,mapping!F:X,18,0)</f>
        <v>高端抽纸</v>
      </c>
      <c r="Y151" s="159">
        <v>6.5000000000000002E-2</v>
      </c>
      <c r="Z151" s="159">
        <v>3.4000000000000002E-2</v>
      </c>
    </row>
    <row r="152" spans="1:29">
      <c r="B152" s="5" t="s">
        <v>410</v>
      </c>
      <c r="C152" s="5" t="s">
        <v>411</v>
      </c>
      <c r="D152" s="5" t="s">
        <v>187</v>
      </c>
      <c r="E152" s="59" t="str">
        <f>VLOOKUP($D152,mapping!$F:$X,5,0)</f>
        <v>210761舒洁卡通系列抽纸200抽3包 FSC mix70%</v>
      </c>
      <c r="F152" s="59">
        <f>VLOOKUP($D152,mapping!$F:$X,6,0)</f>
        <v>20</v>
      </c>
      <c r="G152" s="59">
        <f>VLOOKUP($D152,mapping!$F:$X,7,0)</f>
        <v>60</v>
      </c>
      <c r="H152" s="59">
        <f>VLOOKUP($D152,mapping!$F:$X,14,0)</f>
        <v>338.18198999999998</v>
      </c>
      <c r="I152" s="56">
        <f t="shared" si="36"/>
        <v>16.9090995</v>
      </c>
      <c r="J152" s="60">
        <f t="shared" si="37"/>
        <v>316.20016064999999</v>
      </c>
      <c r="K152" s="60">
        <f t="shared" si="38"/>
        <v>345.15777136232697</v>
      </c>
      <c r="L152" s="61">
        <f t="shared" si="39"/>
        <v>65.157771362326969</v>
      </c>
      <c r="M152" s="60">
        <f t="shared" si="40"/>
        <v>280</v>
      </c>
      <c r="N152" s="155">
        <v>0.18235836582087123</v>
      </c>
      <c r="O152" s="62">
        <f t="shared" si="32"/>
        <v>4.666666666666667</v>
      </c>
      <c r="P152" s="58">
        <v>1</v>
      </c>
      <c r="Q152" s="57">
        <v>45839</v>
      </c>
      <c r="R152" s="57">
        <v>45930</v>
      </c>
      <c r="U152" s="63">
        <f t="shared" si="33"/>
        <v>289.85507246376812</v>
      </c>
      <c r="V152" s="63">
        <f t="shared" si="34"/>
        <v>256.50891368475055</v>
      </c>
      <c r="W152" s="63">
        <f t="shared" si="35"/>
        <v>81673.076315249433</v>
      </c>
      <c r="X152" s="59" t="str">
        <f>VLOOKUP($D152,mapping!F:X,18,0)</f>
        <v>高端抽纸</v>
      </c>
      <c r="Y152" s="159">
        <v>6.5000000000000002E-2</v>
      </c>
      <c r="Z152" s="159">
        <v>3.4000000000000002E-2</v>
      </c>
    </row>
    <row r="153" spans="1:29">
      <c r="B153" s="5" t="s">
        <v>412</v>
      </c>
      <c r="C153" s="5" t="s">
        <v>413</v>
      </c>
      <c r="D153" s="5" t="s">
        <v>172</v>
      </c>
      <c r="E153" s="59" t="str">
        <f>VLOOKUP($D153,mapping!$F:$X,5,0)</f>
        <v>210390舒洁小熊印花抽纸3层80抽4包FSC mix70%</v>
      </c>
      <c r="F153" s="59">
        <f>VLOOKUP($D153,mapping!$F:$X,6,0)</f>
        <v>24</v>
      </c>
      <c r="G153" s="59">
        <f>VLOOKUP($D153,mapping!$F:$X,7,0)</f>
        <v>96</v>
      </c>
      <c r="H153" s="59">
        <f>VLOOKUP($D153,mapping!$F:$X,14,0)</f>
        <v>287.22000000000003</v>
      </c>
      <c r="I153" s="56">
        <f t="shared" si="36"/>
        <v>11.967500000000001</v>
      </c>
      <c r="J153" s="162">
        <f>H153</f>
        <v>287.22000000000003</v>
      </c>
      <c r="K153" s="60">
        <f t="shared" si="38"/>
        <v>313.52360759999999</v>
      </c>
      <c r="L153" s="61">
        <f t="shared" si="39"/>
        <v>16.227930000000001</v>
      </c>
      <c r="M153" s="60">
        <f t="shared" si="40"/>
        <v>297.29567759999998</v>
      </c>
      <c r="N153" s="155">
        <v>0.05</v>
      </c>
      <c r="O153" s="62">
        <f t="shared" si="32"/>
        <v>3.0968299749999999</v>
      </c>
      <c r="P153" s="58">
        <v>1</v>
      </c>
      <c r="Q153" s="57">
        <v>45839</v>
      </c>
      <c r="R153" s="57">
        <v>45930</v>
      </c>
      <c r="U153" s="63">
        <f>M153/0.986</f>
        <v>301.51691440162267</v>
      </c>
      <c r="V153" s="63">
        <f t="shared" si="34"/>
        <v>266.82912778904665</v>
      </c>
      <c r="W153" s="63">
        <f t="shared" si="35"/>
        <v>20390.872210953377</v>
      </c>
      <c r="X153" s="59" t="str">
        <f>VLOOKUP($D153,mapping!F:X,18,0)</f>
        <v>高端抽纸</v>
      </c>
      <c r="Y153" s="159">
        <v>6.5000000000000002E-2</v>
      </c>
      <c r="Z153" s="163">
        <v>1.4E-2</v>
      </c>
      <c r="AA153" t="s">
        <v>427</v>
      </c>
      <c r="AB153" t="s">
        <v>428</v>
      </c>
      <c r="AC153" t="s">
        <v>429</v>
      </c>
    </row>
    <row r="154" spans="1:29">
      <c r="B154" s="5" t="s">
        <v>412</v>
      </c>
      <c r="C154" s="5" t="s">
        <v>413</v>
      </c>
      <c r="D154" s="5" t="s">
        <v>187</v>
      </c>
      <c r="E154" s="59" t="str">
        <f>VLOOKUP($D154,mapping!$F:$X,5,0)</f>
        <v>210761舒洁卡通系列抽纸200抽3包 FSC mix70%</v>
      </c>
      <c r="F154" s="59">
        <f>VLOOKUP($D154,mapping!$F:$X,6,0)</f>
        <v>20</v>
      </c>
      <c r="G154" s="59">
        <f>VLOOKUP($D154,mapping!$F:$X,7,0)</f>
        <v>60</v>
      </c>
      <c r="H154" s="59">
        <f>VLOOKUP($D154,mapping!$F:$X,14,0)</f>
        <v>338.18198999999998</v>
      </c>
      <c r="I154" s="56">
        <f t="shared" si="36"/>
        <v>16.9090995</v>
      </c>
      <c r="J154" s="162">
        <f>H154</f>
        <v>338.18198999999998</v>
      </c>
      <c r="K154" s="60">
        <f t="shared" si="38"/>
        <v>369.15269664419992</v>
      </c>
      <c r="L154" s="61">
        <f t="shared" si="39"/>
        <v>30.571651895999999</v>
      </c>
      <c r="M154" s="60">
        <f t="shared" si="40"/>
        <v>338.58104474819993</v>
      </c>
      <c r="N154" s="155">
        <v>0.08</v>
      </c>
      <c r="O154" s="62">
        <f t="shared" si="32"/>
        <v>5.643017412469999</v>
      </c>
      <c r="P154" s="58">
        <v>1</v>
      </c>
      <c r="Q154" s="57">
        <v>45839</v>
      </c>
      <c r="R154" s="57">
        <v>45930</v>
      </c>
      <c r="U154" s="63">
        <f>M154/0.986</f>
        <v>343.38848351744417</v>
      </c>
      <c r="V154" s="63">
        <f t="shared" si="34"/>
        <v>303.88361373225149</v>
      </c>
      <c r="W154" s="63">
        <f t="shared" si="35"/>
        <v>34298.376267748492</v>
      </c>
      <c r="X154" s="59" t="str">
        <f>VLOOKUP($D154,mapping!F:X,18,0)</f>
        <v>高端抽纸</v>
      </c>
      <c r="Y154" s="159">
        <v>6.5000000000000002E-2</v>
      </c>
      <c r="Z154" s="163">
        <v>1.4E-2</v>
      </c>
      <c r="AA154" t="s">
        <v>427</v>
      </c>
      <c r="AB154" t="s">
        <v>428</v>
      </c>
      <c r="AC154" t="s">
        <v>429</v>
      </c>
    </row>
    <row r="155" spans="1:29">
      <c r="B155" s="5" t="s">
        <v>412</v>
      </c>
      <c r="C155" s="5" t="s">
        <v>413</v>
      </c>
      <c r="D155" s="5" t="s">
        <v>227</v>
      </c>
      <c r="E155" s="59" t="str">
        <f>VLOOKUP($D155,mapping!$F:$X,5,0)</f>
        <v>270190舒洁小熊印花手帕纸3层10包FSC mix70%</v>
      </c>
      <c r="F155" s="59">
        <f>VLOOKUP($D155,mapping!$F:$X,6,0)</f>
        <v>36</v>
      </c>
      <c r="G155" s="59">
        <f>VLOOKUP($D155,mapping!$F:$X,7,0)</f>
        <v>360</v>
      </c>
      <c r="H155" s="59">
        <f>VLOOKUP($D155,mapping!$F:$X,14,0)</f>
        <v>208.46834000000001</v>
      </c>
      <c r="I155" s="56">
        <f t="shared" si="36"/>
        <v>5.7907872222222228</v>
      </c>
      <c r="J155" s="162">
        <f>H155</f>
        <v>208.46834000000001</v>
      </c>
      <c r="K155" s="60">
        <f t="shared" si="38"/>
        <v>227.55987057719997</v>
      </c>
      <c r="L155" s="61">
        <f t="shared" si="39"/>
        <v>7.0670767259999989</v>
      </c>
      <c r="M155" s="60">
        <f t="shared" si="40"/>
        <v>220.49279385119996</v>
      </c>
      <c r="N155" s="155">
        <v>0.03</v>
      </c>
      <c r="O155" s="62">
        <f t="shared" si="32"/>
        <v>0.61247998291999994</v>
      </c>
      <c r="P155" s="58">
        <v>1</v>
      </c>
      <c r="Q155" s="57">
        <v>45839</v>
      </c>
      <c r="R155" s="57">
        <v>45930</v>
      </c>
      <c r="U155" s="63">
        <f>M155/0.986</f>
        <v>223.62352317565919</v>
      </c>
      <c r="V155" s="63">
        <f t="shared" si="34"/>
        <v>197.89692316430018</v>
      </c>
      <c r="W155" s="63">
        <f t="shared" si="35"/>
        <v>10571.416835699836</v>
      </c>
      <c r="X155" s="59" t="str">
        <f>VLOOKUP($D155,mapping!F:X,18,0)</f>
        <v>手帕纸</v>
      </c>
      <c r="Y155" s="159">
        <v>6.5000000000000002E-2</v>
      </c>
      <c r="Z155" s="163">
        <v>1.4E-2</v>
      </c>
      <c r="AA155" t="s">
        <v>427</v>
      </c>
      <c r="AB155" t="s">
        <v>428</v>
      </c>
      <c r="AC155" t="s">
        <v>429</v>
      </c>
    </row>
    <row r="156" spans="1:29">
      <c r="A156" t="s">
        <v>391</v>
      </c>
      <c r="B156" s="5" t="s">
        <v>412</v>
      </c>
      <c r="C156" s="5" t="s">
        <v>413</v>
      </c>
      <c r="D156" s="5" t="s">
        <v>47</v>
      </c>
      <c r="E156" s="59" t="str">
        <f>VLOOKUP($D156,mapping!$F:$X,5,0)</f>
        <v>266000舒洁湿厕纸80片</v>
      </c>
      <c r="F156" s="59">
        <f>VLOOKUP($D156,mapping!$F:$X,6,0)</f>
        <v>24</v>
      </c>
      <c r="G156" s="59">
        <f>VLOOKUP($D156,mapping!$F:$X,7,0)</f>
        <v>24</v>
      </c>
      <c r="H156" s="59">
        <f>VLOOKUP($D156,mapping!$F:$X,14,0)</f>
        <v>326.88</v>
      </c>
      <c r="I156" s="56">
        <f t="shared" si="36"/>
        <v>13.62</v>
      </c>
      <c r="J156" s="162">
        <f>H156</f>
        <v>326.88</v>
      </c>
      <c r="K156" s="60">
        <f t="shared" si="38"/>
        <v>356.81567039999999</v>
      </c>
      <c r="L156" s="61">
        <f t="shared" si="39"/>
        <v>66.487392</v>
      </c>
      <c r="M156" s="60">
        <f t="shared" si="40"/>
        <v>290.32827839999999</v>
      </c>
      <c r="N156" s="155">
        <v>0.18</v>
      </c>
      <c r="O156" s="62">
        <f t="shared" si="32"/>
        <v>12.0970116</v>
      </c>
      <c r="P156" s="58">
        <v>1</v>
      </c>
      <c r="Q156" s="57">
        <v>45839</v>
      </c>
      <c r="R156" s="57">
        <v>45930</v>
      </c>
      <c r="U156" s="63">
        <f>M156/0.986</f>
        <v>294.45058661257605</v>
      </c>
      <c r="V156" s="63">
        <f t="shared" si="34"/>
        <v>260.57574036511159</v>
      </c>
      <c r="W156" s="63">
        <f t="shared" si="35"/>
        <v>66304.259634888411</v>
      </c>
      <c r="X156" s="59" t="str">
        <f>VLOOKUP($D156,mapping!F:X,18,0)</f>
        <v>舒洁湿厕纸巾</v>
      </c>
      <c r="Y156" s="159">
        <v>6.5000000000000002E-2</v>
      </c>
      <c r="Z156" s="163">
        <v>1.4E-2</v>
      </c>
      <c r="AA156" t="s">
        <v>427</v>
      </c>
      <c r="AB156" t="s">
        <v>428</v>
      </c>
      <c r="AC156" t="s">
        <v>429</v>
      </c>
    </row>
    <row r="157" spans="1:29">
      <c r="B157" s="5" t="s">
        <v>412</v>
      </c>
      <c r="C157" s="5" t="s">
        <v>413</v>
      </c>
      <c r="D157" s="5" t="s">
        <v>244</v>
      </c>
      <c r="E157" s="59" t="str">
        <f>VLOOKUP($D157,mapping!$F:$X,5,0)</f>
        <v>261300舒洁无香湿巾单包装</v>
      </c>
      <c r="F157" s="59">
        <f>VLOOKUP($D157,mapping!$F:$X,6,0)</f>
        <v>30</v>
      </c>
      <c r="G157" s="59">
        <f>VLOOKUP($D157,mapping!$F:$X,7,0)</f>
        <v>30</v>
      </c>
      <c r="H157" s="59">
        <f>VLOOKUP($D157,mapping!$F:$X,14,0)</f>
        <v>91.362830000000002</v>
      </c>
      <c r="I157" s="56">
        <f t="shared" si="36"/>
        <v>3.0454276666666669</v>
      </c>
      <c r="J157" s="162">
        <f>H157</f>
        <v>91.362830000000002</v>
      </c>
      <c r="K157" s="60">
        <f t="shared" si="38"/>
        <v>99.729837971399988</v>
      </c>
      <c r="L157" s="61">
        <f t="shared" si="39"/>
        <v>10.32399979</v>
      </c>
      <c r="M157" s="60">
        <f t="shared" si="40"/>
        <v>89.405838181399986</v>
      </c>
      <c r="N157" s="155">
        <v>0.1</v>
      </c>
      <c r="O157" s="62">
        <f t="shared" si="32"/>
        <v>2.9801946060466662</v>
      </c>
      <c r="P157" s="58">
        <v>1</v>
      </c>
      <c r="Q157" s="57">
        <v>45839</v>
      </c>
      <c r="R157" s="57">
        <v>45930</v>
      </c>
      <c r="U157" s="63">
        <f>M157/0.986</f>
        <v>90.675292273225139</v>
      </c>
      <c r="V157" s="63">
        <f t="shared" si="34"/>
        <v>80.243621480730212</v>
      </c>
      <c r="W157" s="63">
        <f t="shared" si="35"/>
        <v>11119.20851926979</v>
      </c>
      <c r="X157" s="59" t="str">
        <f>VLOOKUP($D157,mapping!F:X,18,0)</f>
        <v>舒洁湿巾</v>
      </c>
      <c r="Y157" s="159">
        <v>6.5000000000000002E-2</v>
      </c>
      <c r="Z157" s="163">
        <v>1.4E-2</v>
      </c>
      <c r="AA157" t="s">
        <v>427</v>
      </c>
      <c r="AB157" t="s">
        <v>428</v>
      </c>
      <c r="AC157" t="s">
        <v>429</v>
      </c>
    </row>
    <row r="158" spans="1:29">
      <c r="B158" s="5" t="s">
        <v>414</v>
      </c>
      <c r="C158" s="5" t="s">
        <v>415</v>
      </c>
      <c r="D158" s="5" t="s">
        <v>172</v>
      </c>
      <c r="E158" s="59" t="str">
        <f>VLOOKUP($D158,mapping!$F:$X,5,0)</f>
        <v>210390舒洁小熊印花抽纸3层80抽4包FSC mix70%</v>
      </c>
      <c r="F158" s="59">
        <f>VLOOKUP($D158,mapping!$F:$X,6,0)</f>
        <v>24</v>
      </c>
      <c r="G158" s="59">
        <f>VLOOKUP($D158,mapping!$F:$X,7,0)</f>
        <v>96</v>
      </c>
      <c r="H158" s="59">
        <f>VLOOKUP($D158,mapping!$F:$X,14,0)</f>
        <v>287.22000000000003</v>
      </c>
      <c r="I158" s="56">
        <f t="shared" si="36"/>
        <v>11.967500000000001</v>
      </c>
      <c r="J158" s="60">
        <f t="shared" si="37"/>
        <v>268.55070000000006</v>
      </c>
      <c r="K158" s="60">
        <f t="shared" si="38"/>
        <v>293.14457310600005</v>
      </c>
      <c r="L158" s="61">
        <f t="shared" si="39"/>
        <v>15.173114550000003</v>
      </c>
      <c r="M158" s="60">
        <f t="shared" si="40"/>
        <v>277.97145855600007</v>
      </c>
      <c r="N158" s="155">
        <v>0.05</v>
      </c>
      <c r="O158" s="62">
        <f t="shared" si="32"/>
        <v>2.8955360266250008</v>
      </c>
      <c r="P158" s="58">
        <v>1</v>
      </c>
      <c r="Q158" s="57">
        <v>45839</v>
      </c>
      <c r="R158" s="57">
        <v>45930</v>
      </c>
      <c r="U158" s="63">
        <f t="shared" si="33"/>
        <v>287.75513308074545</v>
      </c>
      <c r="V158" s="63">
        <f t="shared" si="34"/>
        <v>254.65056024844733</v>
      </c>
      <c r="W158" s="63">
        <f t="shared" si="35"/>
        <v>32569.439751552694</v>
      </c>
      <c r="X158" s="59" t="str">
        <f>VLOOKUP($D158,mapping!F:X,18,0)</f>
        <v>高端抽纸</v>
      </c>
      <c r="Y158" s="159">
        <v>6.5000000000000002E-2</v>
      </c>
      <c r="Z158" s="159">
        <v>3.4000000000000002E-2</v>
      </c>
    </row>
    <row r="159" spans="1:29">
      <c r="B159" s="5" t="s">
        <v>414</v>
      </c>
      <c r="C159" s="5" t="s">
        <v>415</v>
      </c>
      <c r="D159" s="5" t="s">
        <v>187</v>
      </c>
      <c r="E159" s="59" t="str">
        <f>VLOOKUP($D159,mapping!$F:$X,5,0)</f>
        <v>210761舒洁卡通系列抽纸200抽3包 FSC mix70%</v>
      </c>
      <c r="F159" s="59">
        <f>VLOOKUP($D159,mapping!$F:$X,6,0)</f>
        <v>20</v>
      </c>
      <c r="G159" s="59">
        <f>VLOOKUP($D159,mapping!$F:$X,7,0)</f>
        <v>60</v>
      </c>
      <c r="H159" s="59">
        <f>VLOOKUP($D159,mapping!$F:$X,14,0)</f>
        <v>338.18198999999998</v>
      </c>
      <c r="I159" s="56">
        <f t="shared" si="36"/>
        <v>16.9090995</v>
      </c>
      <c r="J159" s="60">
        <f t="shared" si="37"/>
        <v>316.20016064999999</v>
      </c>
      <c r="K159" s="60">
        <f t="shared" si="38"/>
        <v>345.15777136232697</v>
      </c>
      <c r="L159" s="61">
        <f t="shared" si="39"/>
        <v>28.584494522759996</v>
      </c>
      <c r="M159" s="60">
        <f t="shared" si="40"/>
        <v>316.57327683956697</v>
      </c>
      <c r="N159" s="155">
        <v>0.08</v>
      </c>
      <c r="O159" s="62">
        <f t="shared" si="32"/>
        <v>5.27622128065945</v>
      </c>
      <c r="P159" s="58">
        <v>1</v>
      </c>
      <c r="Q159" s="57">
        <v>45839</v>
      </c>
      <c r="R159" s="57">
        <v>45930</v>
      </c>
      <c r="U159" s="63">
        <f t="shared" si="33"/>
        <v>327.71560749437577</v>
      </c>
      <c r="V159" s="63">
        <f t="shared" si="34"/>
        <v>290.0138119419255</v>
      </c>
      <c r="W159" s="63">
        <f t="shared" si="35"/>
        <v>48168.178058074489</v>
      </c>
      <c r="X159" s="59" t="str">
        <f>VLOOKUP($D159,mapping!F:X,18,0)</f>
        <v>高端抽纸</v>
      </c>
      <c r="Y159" s="159">
        <v>6.5000000000000002E-2</v>
      </c>
      <c r="Z159" s="159">
        <v>3.4000000000000002E-2</v>
      </c>
    </row>
    <row r="160" spans="1:29">
      <c r="B160" s="5" t="s">
        <v>414</v>
      </c>
      <c r="C160" s="5" t="s">
        <v>415</v>
      </c>
      <c r="D160" s="5" t="s">
        <v>136</v>
      </c>
      <c r="E160" s="59" t="str">
        <f>VLOOKUP($D160,mapping!$F:$X,5,0)</f>
        <v>215503舒洁®北海道轻牛乳系列乳霜纸面巾40抽3包装</v>
      </c>
      <c r="F160" s="59">
        <f>VLOOKUP($D160,mapping!$F:$X,6,0)</f>
        <v>16</v>
      </c>
      <c r="G160" s="59">
        <f>VLOOKUP($D160,mapping!$F:$X,7,0)</f>
        <v>48</v>
      </c>
      <c r="H160" s="59">
        <f>VLOOKUP($D160,mapping!$F:$X,14,0)</f>
        <v>222.4</v>
      </c>
      <c r="I160" s="56">
        <f t="shared" si="36"/>
        <v>13.9</v>
      </c>
      <c r="J160" s="60">
        <f t="shared" si="37"/>
        <v>207.94400000000002</v>
      </c>
      <c r="K160" s="60">
        <f t="shared" si="38"/>
        <v>226.98751152</v>
      </c>
      <c r="L160" s="61">
        <f t="shared" si="39"/>
        <v>28.197206399999995</v>
      </c>
      <c r="M160" s="60">
        <f t="shared" si="40"/>
        <v>198.79030512</v>
      </c>
      <c r="N160" s="155">
        <v>0.12</v>
      </c>
      <c r="O160" s="62">
        <f t="shared" si="32"/>
        <v>4.1414646900000003</v>
      </c>
      <c r="P160" s="58">
        <v>1</v>
      </c>
      <c r="Q160" s="57">
        <v>45839</v>
      </c>
      <c r="R160" s="57">
        <v>45930</v>
      </c>
      <c r="U160" s="63">
        <f t="shared" si="33"/>
        <v>205.78706534161492</v>
      </c>
      <c r="V160" s="63">
        <f t="shared" si="34"/>
        <v>182.11244720496896</v>
      </c>
      <c r="W160" s="63">
        <f t="shared" si="35"/>
        <v>40287.55279503105</v>
      </c>
      <c r="X160" s="59" t="str">
        <f>VLOOKUP($D160,mapping!F:X,18,0)</f>
        <v>高端抽纸</v>
      </c>
      <c r="Y160" s="159">
        <v>6.5000000000000002E-2</v>
      </c>
      <c r="Z160" s="159">
        <v>3.4000000000000002E-2</v>
      </c>
    </row>
    <row r="161" spans="1:26">
      <c r="B161" s="5" t="s">
        <v>414</v>
      </c>
      <c r="C161" s="5" t="s">
        <v>415</v>
      </c>
      <c r="D161" s="5" t="s">
        <v>143</v>
      </c>
      <c r="E161" s="59" t="str">
        <f>VLOOKUP($D161,mapping!$F:$X,5,0)</f>
        <v>215610舒洁®北海道轻牛乳系列乳霜纸面巾100抽3包装</v>
      </c>
      <c r="F161" s="59">
        <f>VLOOKUP($D161,mapping!$F:$X,6,0)</f>
        <v>6</v>
      </c>
      <c r="G161" s="59">
        <f>VLOOKUP($D161,mapping!$F:$X,7,0)</f>
        <v>18</v>
      </c>
      <c r="H161" s="59">
        <f>VLOOKUP($D161,mapping!$F:$X,14,0)</f>
        <v>215.4</v>
      </c>
      <c r="I161" s="56">
        <f t="shared" si="36"/>
        <v>35.9</v>
      </c>
      <c r="J161" s="60">
        <f t="shared" si="37"/>
        <v>201.39900000000003</v>
      </c>
      <c r="K161" s="60">
        <f t="shared" si="38"/>
        <v>219.84312041999999</v>
      </c>
      <c r="L161" s="61">
        <f t="shared" si="39"/>
        <v>40.964556600000002</v>
      </c>
      <c r="M161" s="60">
        <f t="shared" si="40"/>
        <v>178.87856381999998</v>
      </c>
      <c r="N161" s="155">
        <v>0.18</v>
      </c>
      <c r="O161" s="62">
        <f t="shared" si="32"/>
        <v>9.9376979899999984</v>
      </c>
      <c r="P161" s="58">
        <v>1</v>
      </c>
      <c r="Q161" s="57">
        <v>45839</v>
      </c>
      <c r="R161" s="57">
        <v>45930</v>
      </c>
      <c r="U161" s="63">
        <f t="shared" si="33"/>
        <v>185.17449670807451</v>
      </c>
      <c r="V161" s="63">
        <f t="shared" si="34"/>
        <v>163.87123602484471</v>
      </c>
      <c r="W161" s="63">
        <f t="shared" si="35"/>
        <v>51528.7639751553</v>
      </c>
      <c r="X161" s="59" t="str">
        <f>VLOOKUP($D161,mapping!F:X,18,0)</f>
        <v>高端抽纸</v>
      </c>
      <c r="Y161" s="159">
        <v>6.5000000000000002E-2</v>
      </c>
      <c r="Z161" s="159">
        <v>3.4000000000000002E-2</v>
      </c>
    </row>
    <row r="162" spans="1:26">
      <c r="B162" s="5" t="s">
        <v>414</v>
      </c>
      <c r="C162" s="5" t="s">
        <v>415</v>
      </c>
      <c r="D162" s="5" t="s">
        <v>227</v>
      </c>
      <c r="E162" s="59" t="str">
        <f>VLOOKUP($D162,mapping!$F:$X,5,0)</f>
        <v>270190舒洁小熊印花手帕纸3层10包FSC mix70%</v>
      </c>
      <c r="F162" s="59">
        <f>VLOOKUP($D162,mapping!$F:$X,6,0)</f>
        <v>36</v>
      </c>
      <c r="G162" s="59">
        <f>VLOOKUP($D162,mapping!$F:$X,7,0)</f>
        <v>360</v>
      </c>
      <c r="H162" s="59">
        <f>VLOOKUP($D162,mapping!$F:$X,14,0)</f>
        <v>208.46834000000001</v>
      </c>
      <c r="I162" s="56">
        <f t="shared" si="36"/>
        <v>5.7907872222222228</v>
      </c>
      <c r="J162" s="60">
        <f t="shared" si="37"/>
        <v>194.91789790000001</v>
      </c>
      <c r="K162" s="60">
        <f t="shared" si="38"/>
        <v>212.768478989682</v>
      </c>
      <c r="L162" s="61">
        <f t="shared" si="39"/>
        <v>6.6077167388099998</v>
      </c>
      <c r="M162" s="60">
        <f t="shared" si="40"/>
        <v>206.16076225087198</v>
      </c>
      <c r="N162" s="155">
        <v>0.03</v>
      </c>
      <c r="O162" s="62">
        <f t="shared" si="32"/>
        <v>0.57266878403019994</v>
      </c>
      <c r="P162" s="58">
        <v>1</v>
      </c>
      <c r="Q162" s="57">
        <v>45839</v>
      </c>
      <c r="R162" s="57">
        <v>45930</v>
      </c>
      <c r="U162" s="63">
        <f t="shared" si="33"/>
        <v>213.41693814790062</v>
      </c>
      <c r="V162" s="63">
        <f t="shared" si="34"/>
        <v>188.86454703354039</v>
      </c>
      <c r="W162" s="63">
        <f t="shared" si="35"/>
        <v>19603.792966459623</v>
      </c>
      <c r="X162" s="59" t="str">
        <f>VLOOKUP($D162,mapping!F:X,18,0)</f>
        <v>手帕纸</v>
      </c>
      <c r="Y162" s="159">
        <v>6.5000000000000002E-2</v>
      </c>
      <c r="Z162" s="159">
        <v>3.4000000000000002E-2</v>
      </c>
    </row>
    <row r="163" spans="1:26">
      <c r="B163" s="5" t="s">
        <v>414</v>
      </c>
      <c r="C163" s="5" t="s">
        <v>415</v>
      </c>
      <c r="D163" s="5" t="s">
        <v>244</v>
      </c>
      <c r="E163" s="59" t="str">
        <f>VLOOKUP($D163,mapping!$F:$X,5,0)</f>
        <v>261300舒洁无香湿巾单包装</v>
      </c>
      <c r="F163" s="59">
        <f>VLOOKUP($D163,mapping!$F:$X,6,0)</f>
        <v>30</v>
      </c>
      <c r="G163" s="59">
        <f>VLOOKUP($D163,mapping!$F:$X,7,0)</f>
        <v>30</v>
      </c>
      <c r="H163" s="59">
        <f>VLOOKUP($D163,mapping!$F:$X,14,0)</f>
        <v>91.362830000000002</v>
      </c>
      <c r="I163" s="56">
        <f t="shared" si="36"/>
        <v>3.0454276666666669</v>
      </c>
      <c r="J163" s="60">
        <f t="shared" si="37"/>
        <v>85.424246050000008</v>
      </c>
      <c r="K163" s="60">
        <f t="shared" si="38"/>
        <v>93.247398503258992</v>
      </c>
      <c r="L163" s="61">
        <f t="shared" si="39"/>
        <v>9.6529398036499998</v>
      </c>
      <c r="M163" s="60">
        <f t="shared" si="40"/>
        <v>83.594458699608992</v>
      </c>
      <c r="N163" s="155">
        <v>0.1</v>
      </c>
      <c r="O163" s="62">
        <f t="shared" si="32"/>
        <v>2.786481956653633</v>
      </c>
      <c r="P163" s="58">
        <v>1</v>
      </c>
      <c r="Q163" s="57">
        <v>45839</v>
      </c>
      <c r="R163" s="57">
        <v>45930</v>
      </c>
      <c r="U163" s="63">
        <f t="shared" si="33"/>
        <v>86.536706728373701</v>
      </c>
      <c r="V163" s="63">
        <f t="shared" si="34"/>
        <v>76.581156396790888</v>
      </c>
      <c r="W163" s="63">
        <f t="shared" si="35"/>
        <v>14781.673603209114</v>
      </c>
      <c r="X163" s="59" t="str">
        <f>VLOOKUP($D163,mapping!F:X,18,0)</f>
        <v>舒洁湿巾</v>
      </c>
      <c r="Y163" s="159">
        <v>6.5000000000000002E-2</v>
      </c>
      <c r="Z163" s="159">
        <v>3.4000000000000002E-2</v>
      </c>
    </row>
    <row r="164" spans="1:26">
      <c r="B164" s="5" t="s">
        <v>414</v>
      </c>
      <c r="C164" s="5" t="s">
        <v>415</v>
      </c>
      <c r="D164" s="5" t="s">
        <v>219</v>
      </c>
      <c r="E164" s="59" t="str">
        <f>VLOOKUP($D164,mapping!$F:$X,5,0)</f>
        <v>229160舒洁绿茶洋甘菊印花清香卷纸10粒</v>
      </c>
      <c r="F164" s="59">
        <f>VLOOKUP($D164,mapping!$F:$X,6,0)</f>
        <v>5</v>
      </c>
      <c r="G164" s="59">
        <f>VLOOKUP($D164,mapping!$F:$X,7,0)</f>
        <v>50</v>
      </c>
      <c r="H164" s="59">
        <f>VLOOKUP($D164,mapping!$F:$X,14,0)</f>
        <v>153.64888999999999</v>
      </c>
      <c r="I164" s="56">
        <f t="shared" si="36"/>
        <v>30.729778</v>
      </c>
      <c r="J164" s="60">
        <f t="shared" si="37"/>
        <v>143.66171215</v>
      </c>
      <c r="K164" s="60">
        <f t="shared" si="38"/>
        <v>156.81825174869698</v>
      </c>
      <c r="L164" s="61">
        <f t="shared" si="39"/>
        <v>8.1168867364749993</v>
      </c>
      <c r="M164" s="60">
        <f t="shared" si="40"/>
        <v>148.70136501222197</v>
      </c>
      <c r="N164" s="155">
        <v>0.05</v>
      </c>
      <c r="O164" s="62">
        <f t="shared" si="32"/>
        <v>2.9740273002444395</v>
      </c>
      <c r="P164" s="58">
        <v>1</v>
      </c>
      <c r="Q164" s="57">
        <v>45839</v>
      </c>
      <c r="R164" s="57">
        <v>45930</v>
      </c>
      <c r="U164" s="63">
        <f t="shared" si="33"/>
        <v>153.93516046813869</v>
      </c>
      <c r="V164" s="63">
        <f t="shared" si="34"/>
        <v>136.22580572401657</v>
      </c>
      <c r="W164" s="63">
        <f t="shared" si="35"/>
        <v>17423.084275983427</v>
      </c>
      <c r="X164" s="59" t="str">
        <f>VLOOKUP($D164,mapping!F:X,18,0)</f>
        <v>卷纸</v>
      </c>
      <c r="Y164" s="159">
        <v>6.5000000000000002E-2</v>
      </c>
      <c r="Z164" s="159">
        <v>3.4000000000000002E-2</v>
      </c>
    </row>
    <row r="165" spans="1:26">
      <c r="B165" s="5" t="s">
        <v>414</v>
      </c>
      <c r="C165" s="5" t="s">
        <v>415</v>
      </c>
      <c r="D165" s="5" t="s">
        <v>195</v>
      </c>
      <c r="E165" s="59" t="str">
        <f>VLOOKUP($D165,mapping!$F:$X,5,0)</f>
        <v>231216 舒洁马蹄莲盒面纸200抽3盒 FSC mix70%</v>
      </c>
      <c r="F165" s="59">
        <f>VLOOKUP($D165,mapping!$F:$X,6,0)</f>
        <v>10</v>
      </c>
      <c r="G165" s="59">
        <f>VLOOKUP($D165,mapping!$F:$X,7,0)</f>
        <v>30</v>
      </c>
      <c r="H165" s="59">
        <f>VLOOKUP($D165,mapping!$F:$X,14,0)</f>
        <v>243.21306999999999</v>
      </c>
      <c r="I165" s="56">
        <f t="shared" si="36"/>
        <v>24.321306999999997</v>
      </c>
      <c r="J165" s="60">
        <f t="shared" si="37"/>
        <v>227.40422045</v>
      </c>
      <c r="K165" s="60">
        <f t="shared" si="38"/>
        <v>248.22989895881099</v>
      </c>
      <c r="L165" s="61">
        <f t="shared" si="39"/>
        <v>12.848338455425001</v>
      </c>
      <c r="M165" s="60">
        <f t="shared" si="40"/>
        <v>235.381560503386</v>
      </c>
      <c r="N165" s="155">
        <v>0.05</v>
      </c>
      <c r="O165" s="62">
        <f t="shared" si="32"/>
        <v>7.8460520167795336</v>
      </c>
      <c r="P165" s="58">
        <v>1</v>
      </c>
      <c r="Q165" s="57">
        <v>45839</v>
      </c>
      <c r="R165" s="57">
        <v>45930</v>
      </c>
      <c r="U165" s="63">
        <f t="shared" si="33"/>
        <v>243.66621170122775</v>
      </c>
      <c r="V165" s="63">
        <f t="shared" si="34"/>
        <v>215.63381566480334</v>
      </c>
      <c r="W165" s="63">
        <f t="shared" si="35"/>
        <v>27579.254335196652</v>
      </c>
      <c r="X165" s="59" t="str">
        <f>VLOOKUP($D165,mapping!F:X,18,0)</f>
        <v>盒纸</v>
      </c>
      <c r="Y165" s="159">
        <v>6.5000000000000002E-2</v>
      </c>
      <c r="Z165" s="159">
        <v>3.4000000000000002E-2</v>
      </c>
    </row>
    <row r="166" spans="1:26">
      <c r="A166" t="s">
        <v>391</v>
      </c>
      <c r="B166" s="5" t="s">
        <v>414</v>
      </c>
      <c r="C166" s="5" t="s">
        <v>415</v>
      </c>
      <c r="D166" s="5" t="s">
        <v>47</v>
      </c>
      <c r="E166" s="59" t="str">
        <f>VLOOKUP($D166,mapping!$F:$X,5,0)</f>
        <v>266000舒洁湿厕纸80片</v>
      </c>
      <c r="F166" s="59">
        <f>VLOOKUP($D166,mapping!$F:$X,6,0)</f>
        <v>24</v>
      </c>
      <c r="G166" s="59">
        <f>VLOOKUP($D166,mapping!$F:$X,7,0)</f>
        <v>24</v>
      </c>
      <c r="H166" s="59">
        <f>VLOOKUP($D166,mapping!$F:$X,14,0)</f>
        <v>326.88</v>
      </c>
      <c r="I166" s="56">
        <f t="shared" si="36"/>
        <v>13.62</v>
      </c>
      <c r="J166" s="60">
        <f t="shared" si="37"/>
        <v>305.63280000000003</v>
      </c>
      <c r="K166" s="60">
        <f t="shared" si="38"/>
        <v>333.622651824</v>
      </c>
      <c r="L166" s="61">
        <f t="shared" si="39"/>
        <v>62.165711519999995</v>
      </c>
      <c r="M166" s="60">
        <f t="shared" si="40"/>
        <v>271.456940304</v>
      </c>
      <c r="N166" s="155">
        <v>0.18</v>
      </c>
      <c r="O166" s="62">
        <f t="shared" si="32"/>
        <v>11.310705845999999</v>
      </c>
      <c r="P166" s="58">
        <v>1</v>
      </c>
      <c r="Q166" s="57">
        <v>45839</v>
      </c>
      <c r="R166" s="57">
        <v>45930</v>
      </c>
      <c r="U166" s="63">
        <f t="shared" si="33"/>
        <v>281.01132536645963</v>
      </c>
      <c r="V166" s="63">
        <f t="shared" si="34"/>
        <v>248.6825888198758</v>
      </c>
      <c r="W166" s="63">
        <f t="shared" si="35"/>
        <v>78197.411180124196</v>
      </c>
      <c r="X166" s="59" t="str">
        <f>VLOOKUP($D166,mapping!F:X,18,0)</f>
        <v>舒洁湿厕纸巾</v>
      </c>
      <c r="Y166" s="159">
        <v>6.5000000000000002E-2</v>
      </c>
      <c r="Z166" s="159">
        <v>3.4000000000000002E-2</v>
      </c>
    </row>
    <row r="167" spans="1:26">
      <c r="A167" t="s">
        <v>392</v>
      </c>
      <c r="B167" s="5" t="s">
        <v>414</v>
      </c>
      <c r="C167" s="5" t="s">
        <v>415</v>
      </c>
      <c r="D167" s="5" t="s">
        <v>19</v>
      </c>
      <c r="E167" s="59" t="str">
        <f>VLOOKUP($D167,mapping!$F:$X,5,0)</f>
        <v>269430舒洁湿厕纸家庭装40抽</v>
      </c>
      <c r="F167" s="59">
        <f>VLOOKUP($D167,mapping!$F:$X,6,0)</f>
        <v>40</v>
      </c>
      <c r="G167" s="59">
        <f>VLOOKUP($D167,mapping!$F:$X,7,0)</f>
        <v>40</v>
      </c>
      <c r="H167" s="59">
        <f>VLOOKUP($D167,mapping!$F:$X,14,0)</f>
        <v>367.52197000000001</v>
      </c>
      <c r="I167" s="56">
        <f t="shared" si="36"/>
        <v>9.1880492500000006</v>
      </c>
      <c r="J167" s="60">
        <f t="shared" si="37"/>
        <v>343.63304195000001</v>
      </c>
      <c r="K167" s="60">
        <f t="shared" si="38"/>
        <v>375.10295593178091</v>
      </c>
      <c r="L167" s="61">
        <f t="shared" si="39"/>
        <v>116.49160122104998</v>
      </c>
      <c r="M167" s="60">
        <f t="shared" si="40"/>
        <v>258.61135471073095</v>
      </c>
      <c r="N167" s="155">
        <v>0.3</v>
      </c>
      <c r="O167" s="62">
        <f t="shared" si="32"/>
        <v>6.4652838677682736</v>
      </c>
      <c r="P167" s="58">
        <v>1</v>
      </c>
      <c r="Q167" s="57">
        <v>45839</v>
      </c>
      <c r="R167" s="57">
        <v>45930</v>
      </c>
      <c r="U167" s="63">
        <f t="shared" si="33"/>
        <v>267.713617712972</v>
      </c>
      <c r="V167" s="63">
        <f t="shared" si="34"/>
        <v>236.91470594068321</v>
      </c>
      <c r="W167" s="63">
        <f t="shared" si="35"/>
        <v>130607.2640593168</v>
      </c>
      <c r="X167" s="59" t="str">
        <f>VLOOKUP($D167,mapping!F:X,18,0)</f>
        <v>舒洁湿厕纸巾</v>
      </c>
      <c r="Y167" s="159">
        <v>6.5000000000000002E-2</v>
      </c>
      <c r="Z167" s="159">
        <v>3.4000000000000002E-2</v>
      </c>
    </row>
    <row r="168" spans="1:26">
      <c r="B168" s="5" t="s">
        <v>416</v>
      </c>
      <c r="C168" s="5" t="s">
        <v>417</v>
      </c>
      <c r="D168" s="5" t="s">
        <v>236</v>
      </c>
      <c r="E168" s="59" t="str">
        <f>VLOOKUP($D168,mapping!$F:$X,5,0)</f>
        <v>253000舒洁蚕丝洗脸巾80抽3包装</v>
      </c>
      <c r="F168" s="59">
        <f>VLOOKUP($D168,mapping!$F:$X,6,0)</f>
        <v>6</v>
      </c>
      <c r="G168" s="59">
        <f>VLOOKUP($D168,mapping!$F:$X,7,0)</f>
        <v>18</v>
      </c>
      <c r="H168" s="59">
        <f>VLOOKUP($D168,mapping!$F:$X,14,0)</f>
        <v>358.2</v>
      </c>
      <c r="I168" s="56">
        <f t="shared" si="36"/>
        <v>59.699999999999996</v>
      </c>
      <c r="J168" s="60">
        <f t="shared" si="37"/>
        <v>334.91700000000003</v>
      </c>
      <c r="K168" s="60">
        <f t="shared" si="38"/>
        <v>365.58869885999997</v>
      </c>
      <c r="L168" s="61">
        <f t="shared" si="39"/>
        <v>166.52073239999999</v>
      </c>
      <c r="M168" s="60">
        <f t="shared" si="40"/>
        <v>199.06796645999998</v>
      </c>
      <c r="N168" s="155">
        <v>0.44</v>
      </c>
      <c r="O168" s="62">
        <f t="shared" si="32"/>
        <v>11.059331469999998</v>
      </c>
      <c r="P168" s="58">
        <v>1</v>
      </c>
      <c r="Q168" s="57">
        <v>45839</v>
      </c>
      <c r="R168" s="57">
        <v>45930</v>
      </c>
      <c r="U168" s="63">
        <f t="shared" si="33"/>
        <v>206.07449944099378</v>
      </c>
      <c r="V168" s="63">
        <f t="shared" si="34"/>
        <v>182.36681366459629</v>
      </c>
      <c r="W168" s="63">
        <f t="shared" si="35"/>
        <v>175833.18633540371</v>
      </c>
      <c r="X168" s="59" t="str">
        <f>VLOOKUP($D168,mapping!F:X,18,0)</f>
        <v>舒洁棉柔巾</v>
      </c>
      <c r="Y168" s="159">
        <v>6.5000000000000002E-2</v>
      </c>
      <c r="Z168" s="159">
        <v>3.4000000000000002E-2</v>
      </c>
    </row>
    <row r="169" spans="1:26">
      <c r="A169" t="s">
        <v>392</v>
      </c>
      <c r="B169" s="5" t="s">
        <v>416</v>
      </c>
      <c r="C169" s="5" t="s">
        <v>417</v>
      </c>
      <c r="D169" s="5" t="s">
        <v>19</v>
      </c>
      <c r="E169" s="59" t="str">
        <f>VLOOKUP($D169,mapping!$F:$X,5,0)</f>
        <v>269430舒洁湿厕纸家庭装40抽</v>
      </c>
      <c r="F169" s="59">
        <f>VLOOKUP($D169,mapping!$F:$X,6,0)</f>
        <v>40</v>
      </c>
      <c r="G169" s="59">
        <f>VLOOKUP($D169,mapping!$F:$X,7,0)</f>
        <v>40</v>
      </c>
      <c r="H169" s="59">
        <f>VLOOKUP($D169,mapping!$F:$X,14,0)</f>
        <v>367.52197000000001</v>
      </c>
      <c r="I169" s="56">
        <f t="shared" si="36"/>
        <v>9.1880492500000006</v>
      </c>
      <c r="J169" s="60">
        <f t="shared" si="37"/>
        <v>343.63304195000001</v>
      </c>
      <c r="K169" s="60">
        <f t="shared" si="38"/>
        <v>375.10295593178091</v>
      </c>
      <c r="L169" s="61">
        <f t="shared" si="39"/>
        <v>174.73740183157497</v>
      </c>
      <c r="M169" s="60">
        <f t="shared" si="40"/>
        <v>200.36555410020594</v>
      </c>
      <c r="N169" s="155">
        <v>0.45</v>
      </c>
      <c r="O169" s="62">
        <f t="shared" si="32"/>
        <v>5.0091388525051483</v>
      </c>
      <c r="P169" s="58">
        <v>1</v>
      </c>
      <c r="Q169" s="57">
        <v>45839</v>
      </c>
      <c r="R169" s="57">
        <v>45930</v>
      </c>
      <c r="U169" s="63">
        <f t="shared" si="33"/>
        <v>207.41775786770802</v>
      </c>
      <c r="V169" s="63">
        <f t="shared" si="34"/>
        <v>183.55553793602482</v>
      </c>
      <c r="W169" s="63">
        <f t="shared" si="35"/>
        <v>183966.4320639752</v>
      </c>
      <c r="X169" s="59" t="str">
        <f>VLOOKUP($D169,mapping!F:X,18,0)</f>
        <v>舒洁湿厕纸巾</v>
      </c>
      <c r="Y169" s="159">
        <v>6.5000000000000002E-2</v>
      </c>
      <c r="Z169" s="159">
        <v>3.4000000000000002E-2</v>
      </c>
    </row>
    <row r="170" spans="1:26">
      <c r="A170" t="s">
        <v>67</v>
      </c>
      <c r="B170" s="5" t="s">
        <v>416</v>
      </c>
      <c r="C170" s="5" t="s">
        <v>417</v>
      </c>
      <c r="D170" s="5" t="s">
        <v>2</v>
      </c>
      <c r="E170" s="59" t="str">
        <f>VLOOKUP($D170,mapping!$F:$X,5,0)</f>
        <v xml:space="preserve">266200舒洁湿厕纸80片x6包 </v>
      </c>
      <c r="F170" s="59">
        <f>VLOOKUP($D170,mapping!$F:$X,6,0)</f>
        <v>1</v>
      </c>
      <c r="G170" s="59">
        <f>VLOOKUP($D170,mapping!$F:$X,7,0)</f>
        <v>6</v>
      </c>
      <c r="H170" s="59">
        <f>VLOOKUP($D170,mapping!$F:$X,14,0)</f>
        <v>69.44</v>
      </c>
      <c r="I170" s="56">
        <f t="shared" si="36"/>
        <v>69.44</v>
      </c>
      <c r="J170" s="60">
        <f t="shared" si="37"/>
        <v>64.926400000000001</v>
      </c>
      <c r="K170" s="60">
        <f t="shared" si="38"/>
        <v>70.872359711999991</v>
      </c>
      <c r="L170" s="61">
        <f t="shared" si="39"/>
        <v>21.349748111999997</v>
      </c>
      <c r="M170" s="60">
        <f t="shared" si="40"/>
        <v>49.522611599999991</v>
      </c>
      <c r="N170" s="155">
        <v>0.29099999999999998</v>
      </c>
      <c r="O170" s="62">
        <f t="shared" si="32"/>
        <v>8.253768599999999</v>
      </c>
      <c r="P170" s="58">
        <v>1</v>
      </c>
      <c r="Q170" s="57">
        <v>45839</v>
      </c>
      <c r="R170" s="57">
        <v>45930</v>
      </c>
      <c r="U170" s="63">
        <f t="shared" si="33"/>
        <v>51.265643478260863</v>
      </c>
      <c r="V170" s="63">
        <f t="shared" si="34"/>
        <v>45.367826086956519</v>
      </c>
      <c r="W170" s="63">
        <f t="shared" si="35"/>
        <v>24072.17391304348</v>
      </c>
      <c r="X170" s="59" t="str">
        <f>VLOOKUP($D170,mapping!F:X,18,0)</f>
        <v>舒洁湿厕纸巾</v>
      </c>
      <c r="Y170" s="159">
        <v>6.5000000000000002E-2</v>
      </c>
      <c r="Z170" s="159">
        <v>3.4000000000000002E-2</v>
      </c>
    </row>
    <row r="171" spans="1:26">
      <c r="A171" t="s">
        <v>391</v>
      </c>
      <c r="B171" s="5" t="s">
        <v>416</v>
      </c>
      <c r="C171" s="5" t="s">
        <v>417</v>
      </c>
      <c r="D171" s="5" t="s">
        <v>47</v>
      </c>
      <c r="E171" s="59" t="str">
        <f>VLOOKUP($D171,mapping!$F:$X,5,0)</f>
        <v>266000舒洁湿厕纸80片</v>
      </c>
      <c r="F171" s="59">
        <f>VLOOKUP($D171,mapping!$F:$X,6,0)</f>
        <v>24</v>
      </c>
      <c r="G171" s="59">
        <f>VLOOKUP($D171,mapping!$F:$X,7,0)</f>
        <v>24</v>
      </c>
      <c r="H171" s="59">
        <f>VLOOKUP($D171,mapping!$F:$X,14,0)</f>
        <v>326.88</v>
      </c>
      <c r="I171" s="56">
        <f t="shared" si="36"/>
        <v>13.62</v>
      </c>
      <c r="J171" s="60">
        <f t="shared" si="37"/>
        <v>305.63280000000003</v>
      </c>
      <c r="K171" s="60">
        <f t="shared" si="38"/>
        <v>333.622651824</v>
      </c>
      <c r="L171" s="61">
        <f t="shared" si="39"/>
        <v>122.60459771999999</v>
      </c>
      <c r="M171" s="60">
        <f t="shared" si="40"/>
        <v>211.01805410400002</v>
      </c>
      <c r="N171" s="155">
        <v>0.35499999999999998</v>
      </c>
      <c r="O171" s="62">
        <f t="shared" si="32"/>
        <v>8.7924189210000012</v>
      </c>
      <c r="P171" s="58">
        <v>1</v>
      </c>
      <c r="Q171" s="57">
        <v>45839</v>
      </c>
      <c r="R171" s="57">
        <v>45930</v>
      </c>
      <c r="U171" s="63">
        <f t="shared" si="33"/>
        <v>218.44519058385094</v>
      </c>
      <c r="V171" s="63">
        <f t="shared" si="34"/>
        <v>193.3143279503106</v>
      </c>
      <c r="W171" s="63">
        <f t="shared" si="35"/>
        <v>133565.6720496894</v>
      </c>
      <c r="X171" s="59" t="str">
        <f>VLOOKUP($D171,mapping!F:X,18,0)</f>
        <v>舒洁湿厕纸巾</v>
      </c>
      <c r="Y171" s="159">
        <v>6.5000000000000002E-2</v>
      </c>
      <c r="Z171" s="159">
        <v>3.4000000000000002E-2</v>
      </c>
    </row>
    <row r="172" spans="1:26">
      <c r="B172" s="5" t="s">
        <v>416</v>
      </c>
      <c r="C172" s="5" t="s">
        <v>417</v>
      </c>
      <c r="D172" s="5" t="s">
        <v>150</v>
      </c>
      <c r="E172" s="59" t="str">
        <f>VLOOKUP($D172,mapping!$F:$X,5,0)</f>
        <v>216208舒洁®北海道牛乳系列乳霜纸面巾20抽8包装</v>
      </c>
      <c r="F172" s="59">
        <f>VLOOKUP($D172,mapping!$F:$X,6,0)</f>
        <v>4</v>
      </c>
      <c r="G172" s="59">
        <f>VLOOKUP($D172,mapping!$F:$X,7,0)</f>
        <v>32</v>
      </c>
      <c r="H172" s="59">
        <f>VLOOKUP($D172,mapping!$F:$X,14,0)</f>
        <v>100.5</v>
      </c>
      <c r="I172" s="56">
        <f t="shared" si="36"/>
        <v>25.125</v>
      </c>
      <c r="J172" s="60">
        <f t="shared" si="37"/>
        <v>93.967500000000001</v>
      </c>
      <c r="K172" s="60">
        <f t="shared" si="38"/>
        <v>102.57304364999999</v>
      </c>
      <c r="L172" s="61">
        <f t="shared" si="39"/>
        <v>26.121085649999998</v>
      </c>
      <c r="M172" s="60">
        <f t="shared" si="40"/>
        <v>76.451957999999991</v>
      </c>
      <c r="N172" s="155">
        <v>0.246</v>
      </c>
      <c r="O172" s="62">
        <f t="shared" si="32"/>
        <v>2.3891236874999997</v>
      </c>
      <c r="P172" s="58">
        <v>1</v>
      </c>
      <c r="Q172" s="57">
        <v>45839</v>
      </c>
      <c r="R172" s="57">
        <v>45930</v>
      </c>
      <c r="U172" s="63">
        <f t="shared" si="33"/>
        <v>79.142813664596261</v>
      </c>
      <c r="V172" s="63">
        <f t="shared" si="34"/>
        <v>70.037888198757756</v>
      </c>
      <c r="W172" s="63">
        <f t="shared" si="35"/>
        <v>30462.111801242245</v>
      </c>
      <c r="X172" s="59" t="str">
        <f>VLOOKUP($D172,mapping!F:X,18,0)</f>
        <v>高端抽纸</v>
      </c>
      <c r="Y172" s="159">
        <v>6.5000000000000002E-2</v>
      </c>
      <c r="Z172" s="159">
        <v>3.4000000000000002E-2</v>
      </c>
    </row>
    <row r="173" spans="1:26">
      <c r="B173" s="5" t="s">
        <v>416</v>
      </c>
      <c r="C173" s="5" t="s">
        <v>417</v>
      </c>
      <c r="D173" s="5" t="s">
        <v>172</v>
      </c>
      <c r="E173" s="59" t="str">
        <f>VLOOKUP($D173,mapping!$F:$X,5,0)</f>
        <v>210390舒洁小熊印花抽纸3层80抽4包FSC mix70%</v>
      </c>
      <c r="F173" s="59">
        <f>VLOOKUP($D173,mapping!$F:$X,6,0)</f>
        <v>24</v>
      </c>
      <c r="G173" s="59">
        <f>VLOOKUP($D173,mapping!$F:$X,7,0)</f>
        <v>96</v>
      </c>
      <c r="H173" s="59">
        <f>VLOOKUP($D173,mapping!$F:$X,14,0)</f>
        <v>287.22000000000003</v>
      </c>
      <c r="I173" s="56">
        <f t="shared" si="36"/>
        <v>11.967500000000001</v>
      </c>
      <c r="J173" s="60">
        <f t="shared" si="37"/>
        <v>268.55070000000006</v>
      </c>
      <c r="K173" s="60">
        <f t="shared" si="38"/>
        <v>293.14457310600005</v>
      </c>
      <c r="L173" s="61">
        <f t="shared" si="39"/>
        <v>33.684314301000008</v>
      </c>
      <c r="M173" s="60">
        <f t="shared" si="40"/>
        <v>259.46025880500002</v>
      </c>
      <c r="N173" s="155">
        <v>0.111</v>
      </c>
      <c r="O173" s="62">
        <f t="shared" si="32"/>
        <v>2.7027110292187504</v>
      </c>
      <c r="P173" s="58">
        <v>1</v>
      </c>
      <c r="Q173" s="57">
        <v>45839</v>
      </c>
      <c r="R173" s="57">
        <v>45930</v>
      </c>
      <c r="U173" s="63">
        <f t="shared" si="33"/>
        <v>268.59240041925472</v>
      </c>
      <c r="V173" s="63">
        <f t="shared" si="34"/>
        <v>237.69238975155287</v>
      </c>
      <c r="W173" s="63">
        <f t="shared" si="35"/>
        <v>49527.610248447163</v>
      </c>
      <c r="X173" s="59" t="str">
        <f>VLOOKUP($D173,mapping!F:X,18,0)</f>
        <v>高端抽纸</v>
      </c>
      <c r="Y173" s="159">
        <v>6.5000000000000002E-2</v>
      </c>
      <c r="Z173" s="159">
        <v>3.4000000000000002E-2</v>
      </c>
    </row>
    <row r="174" spans="1:26">
      <c r="B174" s="5" t="s">
        <v>418</v>
      </c>
      <c r="C174" s="5" t="s">
        <v>419</v>
      </c>
      <c r="D174" s="5" t="s">
        <v>136</v>
      </c>
      <c r="E174" s="59" t="str">
        <f>VLOOKUP($D174,mapping!$F:$X,5,0)</f>
        <v>215503舒洁®北海道轻牛乳系列乳霜纸面巾40抽3包装</v>
      </c>
      <c r="F174" s="59">
        <f>VLOOKUP($D174,mapping!$F:$X,6,0)</f>
        <v>16</v>
      </c>
      <c r="G174" s="59">
        <f>VLOOKUP($D174,mapping!$F:$X,7,0)</f>
        <v>48</v>
      </c>
      <c r="H174" s="59">
        <f>VLOOKUP($D174,mapping!$F:$X,14,0)</f>
        <v>222.4</v>
      </c>
      <c r="I174" s="56">
        <f t="shared" si="36"/>
        <v>13.9</v>
      </c>
      <c r="J174" s="60">
        <f t="shared" si="37"/>
        <v>207.94400000000002</v>
      </c>
      <c r="K174" s="60">
        <f t="shared" si="38"/>
        <v>226.98751152</v>
      </c>
      <c r="L174" s="61">
        <f t="shared" si="39"/>
        <v>28.197206399999995</v>
      </c>
      <c r="M174" s="60">
        <f t="shared" si="40"/>
        <v>198.79030512</v>
      </c>
      <c r="N174" s="155">
        <v>0.12</v>
      </c>
      <c r="O174" s="62">
        <f t="shared" si="32"/>
        <v>4.1414646900000003</v>
      </c>
      <c r="P174" s="58">
        <v>1</v>
      </c>
      <c r="Q174" s="57">
        <v>45839</v>
      </c>
      <c r="R174" s="57">
        <v>45930</v>
      </c>
      <c r="U174" s="63">
        <f t="shared" si="33"/>
        <v>205.78706534161492</v>
      </c>
      <c r="V174" s="63">
        <f t="shared" si="34"/>
        <v>182.11244720496896</v>
      </c>
      <c r="W174" s="63">
        <f t="shared" si="35"/>
        <v>40287.55279503105</v>
      </c>
      <c r="X174" s="59" t="str">
        <f>VLOOKUP($D174,mapping!F:X,18,0)</f>
        <v>高端抽纸</v>
      </c>
      <c r="Y174" s="159">
        <v>6.5000000000000002E-2</v>
      </c>
      <c r="Z174" s="159">
        <v>3.4000000000000002E-2</v>
      </c>
    </row>
    <row r="175" spans="1:26">
      <c r="B175" s="5" t="s">
        <v>418</v>
      </c>
      <c r="C175" s="5" t="s">
        <v>419</v>
      </c>
      <c r="D175" s="5" t="s">
        <v>150</v>
      </c>
      <c r="E175" s="59" t="str">
        <f>VLOOKUP($D175,mapping!$F:$X,5,0)</f>
        <v>216208舒洁®北海道牛乳系列乳霜纸面巾20抽8包装</v>
      </c>
      <c r="F175" s="59">
        <f>VLOOKUP($D175,mapping!$F:$X,6,0)</f>
        <v>4</v>
      </c>
      <c r="G175" s="59">
        <f>VLOOKUP($D175,mapping!$F:$X,7,0)</f>
        <v>32</v>
      </c>
      <c r="H175" s="59">
        <f>VLOOKUP($D175,mapping!$F:$X,14,0)</f>
        <v>100.5</v>
      </c>
      <c r="I175" s="56">
        <f t="shared" si="36"/>
        <v>25.125</v>
      </c>
      <c r="J175" s="60">
        <f t="shared" si="37"/>
        <v>93.967500000000001</v>
      </c>
      <c r="K175" s="60">
        <f t="shared" si="38"/>
        <v>102.57304364999999</v>
      </c>
      <c r="L175" s="61">
        <f t="shared" si="39"/>
        <v>15.927491249999997</v>
      </c>
      <c r="M175" s="60">
        <f t="shared" si="40"/>
        <v>86.645552399999985</v>
      </c>
      <c r="N175" s="155">
        <v>0.15</v>
      </c>
      <c r="O175" s="62">
        <f t="shared" si="32"/>
        <v>2.7076735124999995</v>
      </c>
      <c r="P175" s="58">
        <v>1</v>
      </c>
      <c r="Q175" s="57">
        <v>45839</v>
      </c>
      <c r="R175" s="57">
        <v>45930</v>
      </c>
      <c r="U175" s="63">
        <f t="shared" si="33"/>
        <v>89.695188819875767</v>
      </c>
      <c r="V175" s="63">
        <f t="shared" si="34"/>
        <v>79.376273291925472</v>
      </c>
      <c r="W175" s="63">
        <f t="shared" si="35"/>
        <v>21123.72670807453</v>
      </c>
      <c r="X175" s="59" t="str">
        <f>VLOOKUP($D175,mapping!F:X,18,0)</f>
        <v>高端抽纸</v>
      </c>
      <c r="Y175" s="159">
        <v>6.5000000000000002E-2</v>
      </c>
      <c r="Z175" s="159">
        <v>3.4000000000000002E-2</v>
      </c>
    </row>
    <row r="176" spans="1:26">
      <c r="B176" s="5" t="s">
        <v>418</v>
      </c>
      <c r="C176" s="5" t="s">
        <v>419</v>
      </c>
      <c r="D176" s="5" t="s">
        <v>211</v>
      </c>
      <c r="E176" s="59" t="str">
        <f>VLOOKUP($D176,mapping!$F:$X,5,0)</f>
        <v>221635舒洁卷纸3层纯白10粒（蓝色）</v>
      </c>
      <c r="F176" s="59">
        <f>VLOOKUP($D176,mapping!$F:$X,6,0)</f>
        <v>10</v>
      </c>
      <c r="G176" s="59">
        <f>VLOOKUP($D176,mapping!$F:$X,7,0)</f>
        <v>100</v>
      </c>
      <c r="H176" s="59">
        <f>VLOOKUP($D176,mapping!$F:$X,14,0)</f>
        <v>240.89676</v>
      </c>
      <c r="I176" s="56">
        <f t="shared" si="36"/>
        <v>24.089676000000001</v>
      </c>
      <c r="J176" s="60">
        <f t="shared" si="37"/>
        <v>225.2384706</v>
      </c>
      <c r="K176" s="60">
        <f t="shared" si="38"/>
        <v>245.86580973754795</v>
      </c>
      <c r="L176" s="61">
        <f t="shared" si="39"/>
        <v>12.725973588899999</v>
      </c>
      <c r="M176" s="60">
        <f t="shared" si="40"/>
        <v>233.13983614864796</v>
      </c>
      <c r="N176" s="155">
        <v>0.05</v>
      </c>
      <c r="O176" s="62">
        <f t="shared" si="32"/>
        <v>2.3313983614864795</v>
      </c>
      <c r="P176" s="58">
        <v>1</v>
      </c>
      <c r="Q176" s="57">
        <v>45839</v>
      </c>
      <c r="R176" s="57">
        <v>45930</v>
      </c>
      <c r="U176" s="63">
        <f t="shared" si="33"/>
        <v>241.34558607520492</v>
      </c>
      <c r="V176" s="63">
        <f t="shared" si="34"/>
        <v>213.58016466832296</v>
      </c>
      <c r="W176" s="63">
        <f t="shared" si="35"/>
        <v>27316.595331677036</v>
      </c>
      <c r="X176" s="59" t="str">
        <f>VLOOKUP($D176,mapping!F:X,18,0)</f>
        <v>卷纸</v>
      </c>
      <c r="Y176" s="159">
        <v>6.5000000000000002E-2</v>
      </c>
      <c r="Z176" s="159">
        <v>3.4000000000000002E-2</v>
      </c>
    </row>
    <row r="177" spans="1:26">
      <c r="B177" s="5" t="s">
        <v>418</v>
      </c>
      <c r="C177" s="5" t="s">
        <v>419</v>
      </c>
      <c r="D177" s="5" t="s">
        <v>219</v>
      </c>
      <c r="E177" s="59" t="str">
        <f>VLOOKUP($D177,mapping!$F:$X,5,0)</f>
        <v>229160舒洁绿茶洋甘菊印花清香卷纸10粒</v>
      </c>
      <c r="F177" s="59">
        <f>VLOOKUP($D177,mapping!$F:$X,6,0)</f>
        <v>5</v>
      </c>
      <c r="G177" s="59">
        <f>VLOOKUP($D177,mapping!$F:$X,7,0)</f>
        <v>50</v>
      </c>
      <c r="H177" s="59">
        <f>VLOOKUP($D177,mapping!$F:$X,14,0)</f>
        <v>153.64888999999999</v>
      </c>
      <c r="I177" s="56">
        <f t="shared" si="36"/>
        <v>30.729778</v>
      </c>
      <c r="J177" s="60">
        <f t="shared" si="37"/>
        <v>143.66171215</v>
      </c>
      <c r="K177" s="60">
        <f t="shared" si="38"/>
        <v>156.81825174869698</v>
      </c>
      <c r="L177" s="61">
        <f t="shared" si="39"/>
        <v>8.1168867364749993</v>
      </c>
      <c r="M177" s="60">
        <f t="shared" si="40"/>
        <v>148.70136501222197</v>
      </c>
      <c r="N177" s="155">
        <v>0.05</v>
      </c>
      <c r="O177" s="62">
        <f t="shared" si="32"/>
        <v>2.9740273002444395</v>
      </c>
      <c r="P177" s="58">
        <v>1</v>
      </c>
      <c r="Q177" s="57">
        <v>45839</v>
      </c>
      <c r="R177" s="57">
        <v>45930</v>
      </c>
      <c r="U177" s="63">
        <f t="shared" si="33"/>
        <v>153.93516046813869</v>
      </c>
      <c r="V177" s="63">
        <f t="shared" si="34"/>
        <v>136.22580572401657</v>
      </c>
      <c r="W177" s="63">
        <f t="shared" si="35"/>
        <v>17423.084275983427</v>
      </c>
      <c r="X177" s="59" t="str">
        <f>VLOOKUP($D177,mapping!F:X,18,0)</f>
        <v>卷纸</v>
      </c>
      <c r="Y177" s="159">
        <v>6.5000000000000002E-2</v>
      </c>
      <c r="Z177" s="159">
        <v>3.4000000000000002E-2</v>
      </c>
    </row>
    <row r="178" spans="1:26">
      <c r="A178" t="s">
        <v>392</v>
      </c>
      <c r="B178" s="5" t="s">
        <v>418</v>
      </c>
      <c r="C178" s="5" t="s">
        <v>419</v>
      </c>
      <c r="D178" s="5" t="s">
        <v>19</v>
      </c>
      <c r="E178" s="59" t="str">
        <f>VLOOKUP($D178,mapping!$F:$X,5,0)</f>
        <v>269430舒洁湿厕纸家庭装40抽</v>
      </c>
      <c r="F178" s="59">
        <f>VLOOKUP($D178,mapping!$F:$X,6,0)</f>
        <v>40</v>
      </c>
      <c r="G178" s="59">
        <f>VLOOKUP($D178,mapping!$F:$X,7,0)</f>
        <v>40</v>
      </c>
      <c r="H178" s="59">
        <f>VLOOKUP($D178,mapping!$F:$X,14,0)</f>
        <v>367.52197000000001</v>
      </c>
      <c r="I178" s="56">
        <f t="shared" si="36"/>
        <v>9.1880492500000006</v>
      </c>
      <c r="J178" s="60">
        <f t="shared" si="37"/>
        <v>343.63304195000001</v>
      </c>
      <c r="K178" s="60">
        <f t="shared" si="38"/>
        <v>375.10295593178091</v>
      </c>
      <c r="L178" s="61">
        <f t="shared" si="39"/>
        <v>175.12570716897849</v>
      </c>
      <c r="M178" s="60">
        <f t="shared" si="40"/>
        <v>199.97724876280242</v>
      </c>
      <c r="N178" s="155">
        <v>0.45100000000000001</v>
      </c>
      <c r="O178" s="62">
        <f t="shared" si="32"/>
        <v>4.9994312190700603</v>
      </c>
      <c r="P178" s="58">
        <v>1</v>
      </c>
      <c r="Q178" s="57">
        <v>45839</v>
      </c>
      <c r="R178" s="57">
        <v>45930</v>
      </c>
      <c r="U178" s="63">
        <f t="shared" si="33"/>
        <v>207.01578546873958</v>
      </c>
      <c r="V178" s="63">
        <f t="shared" si="34"/>
        <v>183.19981014932708</v>
      </c>
      <c r="W178" s="63">
        <f t="shared" si="35"/>
        <v>184322.15985067294</v>
      </c>
      <c r="X178" s="59" t="str">
        <f>VLOOKUP($D178,mapping!F:X,18,0)</f>
        <v>舒洁湿厕纸巾</v>
      </c>
      <c r="Y178" s="159">
        <v>6.5000000000000002E-2</v>
      </c>
      <c r="Z178" s="159">
        <v>3.4000000000000002E-2</v>
      </c>
    </row>
    <row r="179" spans="1:26">
      <c r="A179" t="s">
        <v>67</v>
      </c>
      <c r="B179" s="5" t="s">
        <v>418</v>
      </c>
      <c r="C179" s="5" t="s">
        <v>419</v>
      </c>
      <c r="D179" s="5" t="s">
        <v>2</v>
      </c>
      <c r="E179" s="59" t="str">
        <f>VLOOKUP($D179,mapping!$F:$X,5,0)</f>
        <v xml:space="preserve">266200舒洁湿厕纸80片x6包 </v>
      </c>
      <c r="F179" s="59">
        <f>VLOOKUP($D179,mapping!$F:$X,6,0)</f>
        <v>1</v>
      </c>
      <c r="G179" s="59">
        <f>VLOOKUP($D179,mapping!$F:$X,7,0)</f>
        <v>6</v>
      </c>
      <c r="H179" s="59">
        <f>VLOOKUP($D179,mapping!$F:$X,14,0)</f>
        <v>69.44</v>
      </c>
      <c r="I179" s="56">
        <f t="shared" si="36"/>
        <v>69.44</v>
      </c>
      <c r="J179" s="60">
        <f t="shared" si="37"/>
        <v>64.926400000000001</v>
      </c>
      <c r="K179" s="60">
        <f t="shared" si="38"/>
        <v>70.872359711999991</v>
      </c>
      <c r="L179" s="61">
        <f t="shared" si="39"/>
        <v>21.349748111999997</v>
      </c>
      <c r="M179" s="60">
        <f t="shared" si="40"/>
        <v>49.522611599999991</v>
      </c>
      <c r="N179" s="155">
        <v>0.29099999999999998</v>
      </c>
      <c r="O179" s="62">
        <f t="shared" si="32"/>
        <v>8.253768599999999</v>
      </c>
      <c r="P179" s="58">
        <v>1</v>
      </c>
      <c r="Q179" s="57">
        <v>45839</v>
      </c>
      <c r="R179" s="57">
        <v>45930</v>
      </c>
      <c r="U179" s="63">
        <f t="shared" si="33"/>
        <v>51.265643478260863</v>
      </c>
      <c r="V179" s="63">
        <f t="shared" si="34"/>
        <v>45.367826086956519</v>
      </c>
      <c r="W179" s="63">
        <f t="shared" si="35"/>
        <v>24072.17391304348</v>
      </c>
      <c r="X179" s="59" t="str">
        <f>VLOOKUP($D179,mapping!F:X,18,0)</f>
        <v>舒洁湿厕纸巾</v>
      </c>
      <c r="Y179" s="159">
        <v>6.5000000000000002E-2</v>
      </c>
      <c r="Z179" s="159">
        <v>3.4000000000000002E-2</v>
      </c>
    </row>
    <row r="180" spans="1:26">
      <c r="A180" t="s">
        <v>391</v>
      </c>
      <c r="B180" s="5" t="s">
        <v>418</v>
      </c>
      <c r="C180" s="5" t="s">
        <v>419</v>
      </c>
      <c r="D180" s="5" t="s">
        <v>47</v>
      </c>
      <c r="E180" s="59" t="str">
        <f>VLOOKUP($D180,mapping!$F:$X,5,0)</f>
        <v>266000舒洁湿厕纸80片</v>
      </c>
      <c r="F180" s="59">
        <f>VLOOKUP($D180,mapping!$F:$X,6,0)</f>
        <v>24</v>
      </c>
      <c r="G180" s="59">
        <f>VLOOKUP($D180,mapping!$F:$X,7,0)</f>
        <v>24</v>
      </c>
      <c r="H180" s="59">
        <f>VLOOKUP($D180,mapping!$F:$X,14,0)</f>
        <v>326.88</v>
      </c>
      <c r="I180" s="56">
        <f t="shared" si="36"/>
        <v>13.62</v>
      </c>
      <c r="J180" s="60">
        <f t="shared" si="37"/>
        <v>305.63280000000003</v>
      </c>
      <c r="K180" s="60">
        <f t="shared" si="38"/>
        <v>333.622651824</v>
      </c>
      <c r="L180" s="61">
        <f t="shared" si="39"/>
        <v>122.60459771999999</v>
      </c>
      <c r="M180" s="60">
        <f t="shared" si="40"/>
        <v>211.01805410400002</v>
      </c>
      <c r="N180" s="155">
        <v>0.35499999999999998</v>
      </c>
      <c r="O180" s="62">
        <f t="shared" si="32"/>
        <v>8.7924189210000012</v>
      </c>
      <c r="P180" s="58">
        <v>1</v>
      </c>
      <c r="Q180" s="57">
        <v>45839</v>
      </c>
      <c r="R180" s="57">
        <v>45930</v>
      </c>
      <c r="U180" s="63">
        <f t="shared" si="33"/>
        <v>218.44519058385094</v>
      </c>
      <c r="V180" s="63">
        <f t="shared" si="34"/>
        <v>193.3143279503106</v>
      </c>
      <c r="W180" s="63">
        <f t="shared" si="35"/>
        <v>133565.6720496894</v>
      </c>
      <c r="X180" s="59" t="str">
        <f>VLOOKUP($D180,mapping!F:X,18,0)</f>
        <v>舒洁湿厕纸巾</v>
      </c>
      <c r="Y180" s="159">
        <v>6.5000000000000002E-2</v>
      </c>
      <c r="Z180" s="159">
        <v>3.4000000000000002E-2</v>
      </c>
    </row>
    <row r="181" spans="1:26">
      <c r="B181" s="5" t="s">
        <v>418</v>
      </c>
      <c r="C181" s="5" t="s">
        <v>419</v>
      </c>
      <c r="D181" s="5" t="s">
        <v>172</v>
      </c>
      <c r="E181" s="59" t="str">
        <f>VLOOKUP($D181,mapping!$F:$X,5,0)</f>
        <v>210390舒洁小熊印花抽纸3层80抽4包FSC mix70%</v>
      </c>
      <c r="F181" s="59">
        <f>VLOOKUP($D181,mapping!$F:$X,6,0)</f>
        <v>24</v>
      </c>
      <c r="G181" s="59">
        <f>VLOOKUP($D181,mapping!$F:$X,7,0)</f>
        <v>96</v>
      </c>
      <c r="H181" s="59">
        <f>VLOOKUP($D181,mapping!$F:$X,14,0)</f>
        <v>287.22000000000003</v>
      </c>
      <c r="I181" s="56">
        <f t="shared" si="36"/>
        <v>11.967500000000001</v>
      </c>
      <c r="J181" s="60">
        <f t="shared" si="37"/>
        <v>268.55070000000006</v>
      </c>
      <c r="K181" s="60">
        <f t="shared" si="38"/>
        <v>293.14457310600005</v>
      </c>
      <c r="L181" s="61">
        <f t="shared" si="39"/>
        <v>33.684314301000008</v>
      </c>
      <c r="M181" s="60">
        <f t="shared" si="40"/>
        <v>259.46025880500002</v>
      </c>
      <c r="N181" s="155">
        <v>0.111</v>
      </c>
      <c r="O181" s="62">
        <f t="shared" si="32"/>
        <v>2.7027110292187504</v>
      </c>
      <c r="P181" s="58">
        <v>1</v>
      </c>
      <c r="Q181" s="57">
        <v>45839</v>
      </c>
      <c r="R181" s="57">
        <v>45930</v>
      </c>
      <c r="U181" s="63">
        <f t="shared" si="33"/>
        <v>268.59240041925472</v>
      </c>
      <c r="V181" s="63">
        <f t="shared" si="34"/>
        <v>237.69238975155287</v>
      </c>
      <c r="W181" s="63">
        <f t="shared" si="35"/>
        <v>49527.610248447163</v>
      </c>
      <c r="X181" s="59" t="str">
        <f>VLOOKUP($D181,mapping!F:X,18,0)</f>
        <v>高端抽纸</v>
      </c>
      <c r="Y181" s="159">
        <v>6.5000000000000002E-2</v>
      </c>
      <c r="Z181" s="159">
        <v>3.4000000000000002E-2</v>
      </c>
    </row>
    <row r="182" spans="1:26">
      <c r="B182" s="5" t="s">
        <v>418</v>
      </c>
      <c r="C182" s="5" t="s">
        <v>419</v>
      </c>
      <c r="D182" s="5" t="s">
        <v>236</v>
      </c>
      <c r="E182" s="59" t="str">
        <f>VLOOKUP($D182,mapping!$F:$X,5,0)</f>
        <v>253000舒洁蚕丝洗脸巾80抽3包装</v>
      </c>
      <c r="F182" s="59">
        <f>VLOOKUP($D182,mapping!$F:$X,6,0)</f>
        <v>6</v>
      </c>
      <c r="G182" s="59">
        <f>VLOOKUP($D182,mapping!$F:$X,7,0)</f>
        <v>18</v>
      </c>
      <c r="H182" s="59">
        <f>VLOOKUP($D182,mapping!$F:$X,14,0)</f>
        <v>358.2</v>
      </c>
      <c r="I182" s="56">
        <f t="shared" si="36"/>
        <v>59.699999999999996</v>
      </c>
      <c r="J182" s="60">
        <f t="shared" si="37"/>
        <v>334.91700000000003</v>
      </c>
      <c r="K182" s="60">
        <f t="shared" si="38"/>
        <v>365.58869885999997</v>
      </c>
      <c r="L182" s="61">
        <f t="shared" si="39"/>
        <v>166.52073239999999</v>
      </c>
      <c r="M182" s="60">
        <f t="shared" si="40"/>
        <v>199.06796645999998</v>
      </c>
      <c r="N182" s="155">
        <v>0.44</v>
      </c>
      <c r="O182" s="62">
        <f t="shared" si="32"/>
        <v>11.059331469999998</v>
      </c>
      <c r="P182" s="58">
        <v>1</v>
      </c>
      <c r="Q182" s="57">
        <v>45839</v>
      </c>
      <c r="R182" s="57">
        <v>45930</v>
      </c>
      <c r="U182" s="63">
        <f t="shared" si="33"/>
        <v>206.07449944099378</v>
      </c>
      <c r="V182" s="63">
        <f t="shared" si="34"/>
        <v>182.36681366459629</v>
      </c>
      <c r="W182" s="63">
        <f t="shared" si="35"/>
        <v>175833.18633540371</v>
      </c>
      <c r="X182" s="59" t="str">
        <f>VLOOKUP($D182,mapping!F:X,18,0)</f>
        <v>舒洁棉柔巾</v>
      </c>
      <c r="Y182" s="159">
        <v>6.5000000000000002E-2</v>
      </c>
      <c r="Z182" s="159">
        <v>3.4000000000000002E-2</v>
      </c>
    </row>
    <row r="183" spans="1:26">
      <c r="B183" s="5" t="s">
        <v>420</v>
      </c>
      <c r="C183" s="5" t="s">
        <v>341</v>
      </c>
      <c r="D183" s="5" t="s">
        <v>172</v>
      </c>
      <c r="E183" s="59" t="str">
        <f>VLOOKUP($D183,mapping!$F:$X,5,0)</f>
        <v>210390舒洁小熊印花抽纸3层80抽4包FSC mix70%</v>
      </c>
      <c r="F183" s="59">
        <f>VLOOKUP($D183,mapping!$F:$X,6,0)</f>
        <v>24</v>
      </c>
      <c r="G183" s="59">
        <f>VLOOKUP($D183,mapping!$F:$X,7,0)</f>
        <v>96</v>
      </c>
      <c r="H183" s="59">
        <f>VLOOKUP($D183,mapping!$F:$X,14,0)</f>
        <v>287.22000000000003</v>
      </c>
      <c r="I183" s="56">
        <f t="shared" si="36"/>
        <v>11.967500000000001</v>
      </c>
      <c r="J183" s="60">
        <f t="shared" si="37"/>
        <v>268.55070000000006</v>
      </c>
      <c r="K183" s="60">
        <f t="shared" si="38"/>
        <v>293.14457310600005</v>
      </c>
      <c r="L183" s="61">
        <f t="shared" si="39"/>
        <v>15.173114550000003</v>
      </c>
      <c r="M183" s="60">
        <f t="shared" si="40"/>
        <v>277.97145855600007</v>
      </c>
      <c r="N183" s="155">
        <v>0.05</v>
      </c>
      <c r="O183" s="62">
        <f t="shared" si="32"/>
        <v>2.8955360266250008</v>
      </c>
      <c r="P183" s="58">
        <v>1</v>
      </c>
      <c r="Q183" s="57">
        <v>45839</v>
      </c>
      <c r="R183" s="57">
        <v>45930</v>
      </c>
      <c r="U183" s="63">
        <f t="shared" si="33"/>
        <v>287.75513308074545</v>
      </c>
      <c r="V183" s="63">
        <f t="shared" si="34"/>
        <v>254.65056024844733</v>
      </c>
      <c r="W183" s="63">
        <f t="shared" si="35"/>
        <v>32569.439751552694</v>
      </c>
      <c r="X183" s="59" t="str">
        <f>VLOOKUP($D183,mapping!F:X,18,0)</f>
        <v>高端抽纸</v>
      </c>
      <c r="Y183" s="159">
        <v>6.5000000000000002E-2</v>
      </c>
      <c r="Z183" s="159">
        <v>3.4000000000000002E-2</v>
      </c>
    </row>
    <row r="184" spans="1:26">
      <c r="B184" s="5" t="s">
        <v>420</v>
      </c>
      <c r="C184" s="5" t="s">
        <v>341</v>
      </c>
      <c r="D184" s="5" t="s">
        <v>187</v>
      </c>
      <c r="E184" s="59" t="str">
        <f>VLOOKUP($D184,mapping!$F:$X,5,0)</f>
        <v>210761舒洁卡通系列抽纸200抽3包 FSC mix70%</v>
      </c>
      <c r="F184" s="59">
        <f>VLOOKUP($D184,mapping!$F:$X,6,0)</f>
        <v>20</v>
      </c>
      <c r="G184" s="59">
        <f>VLOOKUP($D184,mapping!$F:$X,7,0)</f>
        <v>60</v>
      </c>
      <c r="H184" s="59">
        <f>VLOOKUP($D184,mapping!$F:$X,14,0)</f>
        <v>338.18198999999998</v>
      </c>
      <c r="I184" s="56">
        <f t="shared" si="36"/>
        <v>16.9090995</v>
      </c>
      <c r="J184" s="60">
        <f t="shared" si="37"/>
        <v>316.20016064999999</v>
      </c>
      <c r="K184" s="60">
        <f t="shared" si="38"/>
        <v>345.15777136232697</v>
      </c>
      <c r="L184" s="61">
        <f t="shared" si="39"/>
        <v>28.584494522759996</v>
      </c>
      <c r="M184" s="60">
        <f t="shared" si="40"/>
        <v>316.57327683956697</v>
      </c>
      <c r="N184" s="155">
        <v>0.08</v>
      </c>
      <c r="O184" s="62">
        <f t="shared" si="32"/>
        <v>5.27622128065945</v>
      </c>
      <c r="P184" s="58">
        <v>1</v>
      </c>
      <c r="Q184" s="57">
        <v>45839</v>
      </c>
      <c r="R184" s="57">
        <v>45930</v>
      </c>
      <c r="U184" s="63">
        <f t="shared" si="33"/>
        <v>327.71560749437577</v>
      </c>
      <c r="V184" s="63">
        <f t="shared" si="34"/>
        <v>290.0138119419255</v>
      </c>
      <c r="W184" s="63">
        <f t="shared" si="35"/>
        <v>48168.178058074489</v>
      </c>
      <c r="X184" s="59" t="str">
        <f>VLOOKUP($D184,mapping!F:X,18,0)</f>
        <v>高端抽纸</v>
      </c>
      <c r="Y184" s="159">
        <v>6.5000000000000002E-2</v>
      </c>
      <c r="Z184" s="159">
        <v>3.4000000000000002E-2</v>
      </c>
    </row>
    <row r="185" spans="1:26">
      <c r="B185" s="5" t="s">
        <v>420</v>
      </c>
      <c r="C185" s="5" t="s">
        <v>341</v>
      </c>
      <c r="D185" s="5" t="s">
        <v>211</v>
      </c>
      <c r="E185" s="59" t="str">
        <f>VLOOKUP($D185,mapping!$F:$X,5,0)</f>
        <v>221635舒洁卷纸3层纯白10粒（蓝色）</v>
      </c>
      <c r="F185" s="59">
        <f>VLOOKUP($D185,mapping!$F:$X,6,0)</f>
        <v>10</v>
      </c>
      <c r="G185" s="59">
        <f>VLOOKUP($D185,mapping!$F:$X,7,0)</f>
        <v>100</v>
      </c>
      <c r="H185" s="59">
        <f>VLOOKUP($D185,mapping!$F:$X,14,0)</f>
        <v>240.89676</v>
      </c>
      <c r="I185" s="56">
        <f t="shared" si="36"/>
        <v>24.089676000000001</v>
      </c>
      <c r="J185" s="60">
        <f t="shared" si="37"/>
        <v>225.2384706</v>
      </c>
      <c r="K185" s="60">
        <f t="shared" si="38"/>
        <v>245.86580973754795</v>
      </c>
      <c r="L185" s="61">
        <f t="shared" si="39"/>
        <v>30.542336613359996</v>
      </c>
      <c r="M185" s="60">
        <f t="shared" si="40"/>
        <v>215.32347312418796</v>
      </c>
      <c r="N185" s="155">
        <v>0.12</v>
      </c>
      <c r="O185" s="62">
        <f t="shared" si="32"/>
        <v>2.1532347312418794</v>
      </c>
      <c r="P185" s="58">
        <v>1</v>
      </c>
      <c r="Q185" s="57">
        <v>45839</v>
      </c>
      <c r="R185" s="57">
        <v>45930</v>
      </c>
      <c r="U185" s="63">
        <f t="shared" si="33"/>
        <v>222.90214609129188</v>
      </c>
      <c r="V185" s="63">
        <f t="shared" si="34"/>
        <v>197.25853636397514</v>
      </c>
      <c r="W185" s="63">
        <f t="shared" si="35"/>
        <v>43638.223636024864</v>
      </c>
      <c r="X185" s="59" t="str">
        <f>VLOOKUP($D185,mapping!F:X,18,0)</f>
        <v>卷纸</v>
      </c>
      <c r="Y185" s="159">
        <v>6.5000000000000002E-2</v>
      </c>
      <c r="Z185" s="159">
        <v>3.4000000000000002E-2</v>
      </c>
    </row>
    <row r="186" spans="1:26">
      <c r="B186" s="5" t="s">
        <v>420</v>
      </c>
      <c r="C186" s="5" t="s">
        <v>341</v>
      </c>
      <c r="D186" s="5" t="s">
        <v>219</v>
      </c>
      <c r="E186" s="59" t="str">
        <f>VLOOKUP($D186,mapping!$F:$X,5,0)</f>
        <v>229160舒洁绿茶洋甘菊印花清香卷纸10粒</v>
      </c>
      <c r="F186" s="59">
        <f>VLOOKUP($D186,mapping!$F:$X,6,0)</f>
        <v>5</v>
      </c>
      <c r="G186" s="59">
        <f>VLOOKUP($D186,mapping!$F:$X,7,0)</f>
        <v>50</v>
      </c>
      <c r="H186" s="59">
        <f>VLOOKUP($D186,mapping!$F:$X,14,0)</f>
        <v>153.64888999999999</v>
      </c>
      <c r="I186" s="56">
        <f t="shared" si="36"/>
        <v>30.729778</v>
      </c>
      <c r="J186" s="60">
        <f t="shared" si="37"/>
        <v>143.66171215</v>
      </c>
      <c r="K186" s="60">
        <f t="shared" si="38"/>
        <v>156.81825174869698</v>
      </c>
      <c r="L186" s="61">
        <f t="shared" si="39"/>
        <v>8.1168867364749993</v>
      </c>
      <c r="M186" s="60">
        <f t="shared" si="40"/>
        <v>148.70136501222197</v>
      </c>
      <c r="N186" s="155">
        <v>0.05</v>
      </c>
      <c r="O186" s="62">
        <f t="shared" si="32"/>
        <v>2.9740273002444395</v>
      </c>
      <c r="P186" s="58">
        <v>1</v>
      </c>
      <c r="Q186" s="57">
        <v>45839</v>
      </c>
      <c r="R186" s="57">
        <v>45930</v>
      </c>
      <c r="U186" s="63">
        <f t="shared" si="33"/>
        <v>153.93516046813869</v>
      </c>
      <c r="V186" s="63">
        <f t="shared" si="34"/>
        <v>136.22580572401657</v>
      </c>
      <c r="W186" s="63">
        <f t="shared" si="35"/>
        <v>17423.084275983427</v>
      </c>
      <c r="X186" s="59" t="str">
        <f>VLOOKUP($D186,mapping!F:X,18,0)</f>
        <v>卷纸</v>
      </c>
      <c r="Y186" s="159">
        <v>6.5000000000000002E-2</v>
      </c>
      <c r="Z186" s="159">
        <v>3.4000000000000002E-2</v>
      </c>
    </row>
    <row r="187" spans="1:26">
      <c r="B187" s="5" t="s">
        <v>420</v>
      </c>
      <c r="C187" s="5" t="s">
        <v>341</v>
      </c>
      <c r="D187" s="5" t="s">
        <v>195</v>
      </c>
      <c r="E187" s="59" t="str">
        <f>VLOOKUP($D187,mapping!$F:$X,5,0)</f>
        <v>231216 舒洁马蹄莲盒面纸200抽3盒 FSC mix70%</v>
      </c>
      <c r="F187" s="59">
        <f>VLOOKUP($D187,mapping!$F:$X,6,0)</f>
        <v>10</v>
      </c>
      <c r="G187" s="59">
        <f>VLOOKUP($D187,mapping!$F:$X,7,0)</f>
        <v>30</v>
      </c>
      <c r="H187" s="59">
        <f>VLOOKUP($D187,mapping!$F:$X,14,0)</f>
        <v>243.21306999999999</v>
      </c>
      <c r="I187" s="56">
        <f t="shared" si="36"/>
        <v>24.321306999999997</v>
      </c>
      <c r="J187" s="60">
        <f t="shared" si="37"/>
        <v>227.40422045</v>
      </c>
      <c r="K187" s="60">
        <f t="shared" si="38"/>
        <v>248.22989895881099</v>
      </c>
      <c r="L187" s="61">
        <f t="shared" si="39"/>
        <v>46.254018439529993</v>
      </c>
      <c r="M187" s="60">
        <f t="shared" si="40"/>
        <v>201.97588051928099</v>
      </c>
      <c r="N187" s="155">
        <v>0.18</v>
      </c>
      <c r="O187" s="62">
        <f t="shared" si="32"/>
        <v>6.7325293506426993</v>
      </c>
      <c r="P187" s="58">
        <v>1</v>
      </c>
      <c r="Q187" s="57">
        <v>45839</v>
      </c>
      <c r="R187" s="57">
        <v>45930</v>
      </c>
      <c r="U187" s="63">
        <f t="shared" si="33"/>
        <v>209.08476244231989</v>
      </c>
      <c r="V187" s="63">
        <f t="shared" si="34"/>
        <v>185.03076322329196</v>
      </c>
      <c r="W187" s="63">
        <f t="shared" si="35"/>
        <v>58182.306776708028</v>
      </c>
      <c r="X187" s="59" t="str">
        <f>VLOOKUP($D187,mapping!F:X,18,0)</f>
        <v>盒纸</v>
      </c>
      <c r="Y187" s="159">
        <v>6.5000000000000002E-2</v>
      </c>
      <c r="Z187" s="159">
        <v>3.4000000000000002E-2</v>
      </c>
    </row>
    <row r="188" spans="1:26">
      <c r="B188" s="5" t="s">
        <v>420</v>
      </c>
      <c r="C188" s="5" t="s">
        <v>341</v>
      </c>
      <c r="D188" s="5" t="s">
        <v>244</v>
      </c>
      <c r="E188" s="59" t="str">
        <f>VLOOKUP($D188,mapping!$F:$X,5,0)</f>
        <v>261300舒洁无香湿巾单包装</v>
      </c>
      <c r="F188" s="59">
        <f>VLOOKUP($D188,mapping!$F:$X,6,0)</f>
        <v>30</v>
      </c>
      <c r="G188" s="59">
        <f>VLOOKUP($D188,mapping!$F:$X,7,0)</f>
        <v>30</v>
      </c>
      <c r="H188" s="59">
        <f>VLOOKUP($D188,mapping!$F:$X,14,0)</f>
        <v>91.362830000000002</v>
      </c>
      <c r="I188" s="56">
        <f t="shared" si="36"/>
        <v>3.0454276666666669</v>
      </c>
      <c r="J188" s="60">
        <f t="shared" si="37"/>
        <v>85.424246050000008</v>
      </c>
      <c r="K188" s="60">
        <f t="shared" si="38"/>
        <v>93.247398503258992</v>
      </c>
      <c r="L188" s="61">
        <f t="shared" si="39"/>
        <v>9.6529398036499998</v>
      </c>
      <c r="M188" s="60">
        <f t="shared" si="40"/>
        <v>83.594458699608992</v>
      </c>
      <c r="N188" s="155">
        <v>0.1</v>
      </c>
      <c r="O188" s="62">
        <f t="shared" si="32"/>
        <v>2.786481956653633</v>
      </c>
      <c r="P188" s="58">
        <v>1</v>
      </c>
      <c r="Q188" s="57">
        <v>45839</v>
      </c>
      <c r="R188" s="57">
        <v>45930</v>
      </c>
      <c r="U188" s="63">
        <f t="shared" si="33"/>
        <v>86.536706728373701</v>
      </c>
      <c r="V188" s="63">
        <f t="shared" si="34"/>
        <v>76.581156396790888</v>
      </c>
      <c r="W188" s="63">
        <f t="shared" si="35"/>
        <v>14781.673603209114</v>
      </c>
      <c r="X188" s="59" t="str">
        <f>VLOOKUP($D188,mapping!F:X,18,0)</f>
        <v>舒洁湿巾</v>
      </c>
      <c r="Y188" s="159">
        <v>6.5000000000000002E-2</v>
      </c>
      <c r="Z188" s="159">
        <v>3.4000000000000002E-2</v>
      </c>
    </row>
    <row r="189" spans="1:26">
      <c r="A189" t="s">
        <v>391</v>
      </c>
      <c r="B189" s="5" t="s">
        <v>420</v>
      </c>
      <c r="C189" s="5" t="s">
        <v>341</v>
      </c>
      <c r="D189" s="5" t="s">
        <v>47</v>
      </c>
      <c r="E189" s="59" t="str">
        <f>VLOOKUP($D189,mapping!$F:$X,5,0)</f>
        <v>266000舒洁湿厕纸80片</v>
      </c>
      <c r="F189" s="59">
        <f>VLOOKUP($D189,mapping!$F:$X,6,0)</f>
        <v>24</v>
      </c>
      <c r="G189" s="59">
        <f>VLOOKUP($D189,mapping!$F:$X,7,0)</f>
        <v>24</v>
      </c>
      <c r="H189" s="59">
        <f>VLOOKUP($D189,mapping!$F:$X,14,0)</f>
        <v>326.88</v>
      </c>
      <c r="I189" s="56">
        <f t="shared" si="36"/>
        <v>13.62</v>
      </c>
      <c r="J189" s="60">
        <f t="shared" si="37"/>
        <v>305.63280000000003</v>
      </c>
      <c r="K189" s="60">
        <f t="shared" si="38"/>
        <v>333.622651824</v>
      </c>
      <c r="L189" s="61">
        <f t="shared" si="39"/>
        <v>153.68745348000002</v>
      </c>
      <c r="M189" s="60">
        <f t="shared" si="40"/>
        <v>179.93519834399999</v>
      </c>
      <c r="N189" s="155">
        <v>0.44500000000000001</v>
      </c>
      <c r="O189" s="62">
        <f t="shared" si="32"/>
        <v>7.4972999309999997</v>
      </c>
      <c r="P189" s="58">
        <v>1</v>
      </c>
      <c r="Q189" s="57">
        <v>45839</v>
      </c>
      <c r="R189" s="57">
        <v>45930</v>
      </c>
      <c r="U189" s="63">
        <f t="shared" si="33"/>
        <v>186.26832126708072</v>
      </c>
      <c r="V189" s="63">
        <f t="shared" si="34"/>
        <v>164.83922236024844</v>
      </c>
      <c r="W189" s="63">
        <f t="shared" si="35"/>
        <v>162040.77763975156</v>
      </c>
      <c r="X189" s="59" t="str">
        <f>VLOOKUP($D189,mapping!F:X,18,0)</f>
        <v>舒洁湿厕纸巾</v>
      </c>
      <c r="Y189" s="159">
        <v>6.5000000000000002E-2</v>
      </c>
      <c r="Z189" s="159">
        <v>3.4000000000000002E-2</v>
      </c>
    </row>
    <row r="190" spans="1:26">
      <c r="A190" t="s">
        <v>67</v>
      </c>
      <c r="B190" s="5" t="s">
        <v>420</v>
      </c>
      <c r="C190" s="5" t="s">
        <v>341</v>
      </c>
      <c r="D190" s="5" t="s">
        <v>2</v>
      </c>
      <c r="E190" s="59" t="str">
        <f>VLOOKUP($D190,mapping!$F:$X,5,0)</f>
        <v xml:space="preserve">266200舒洁湿厕纸80片x6包 </v>
      </c>
      <c r="F190" s="59">
        <f>VLOOKUP($D190,mapping!$F:$X,6,0)</f>
        <v>1</v>
      </c>
      <c r="G190" s="59">
        <f>VLOOKUP($D190,mapping!$F:$X,7,0)</f>
        <v>6</v>
      </c>
      <c r="H190" s="59">
        <f>VLOOKUP($D190,mapping!$F:$X,14,0)</f>
        <v>69.44</v>
      </c>
      <c r="I190" s="56">
        <f t="shared" si="36"/>
        <v>69.44</v>
      </c>
      <c r="J190" s="60">
        <f t="shared" si="37"/>
        <v>64.926400000000001</v>
      </c>
      <c r="K190" s="60">
        <f t="shared" si="38"/>
        <v>70.872359711999991</v>
      </c>
      <c r="L190" s="61">
        <f t="shared" si="39"/>
        <v>25.898491695999994</v>
      </c>
      <c r="M190" s="60">
        <f t="shared" si="40"/>
        <v>44.973868015999997</v>
      </c>
      <c r="N190" s="155">
        <v>0.35299999999999998</v>
      </c>
      <c r="O190" s="62">
        <f t="shared" si="32"/>
        <v>7.4956446693333332</v>
      </c>
      <c r="P190" s="58">
        <v>1</v>
      </c>
      <c r="Q190" s="57">
        <v>45839</v>
      </c>
      <c r="R190" s="57">
        <v>45930</v>
      </c>
      <c r="U190" s="63">
        <f t="shared" si="33"/>
        <v>46.556799188405797</v>
      </c>
      <c r="V190" s="63">
        <f t="shared" si="34"/>
        <v>41.200707246376815</v>
      </c>
      <c r="W190" s="63">
        <f t="shared" si="35"/>
        <v>28239.292753623184</v>
      </c>
      <c r="X190" s="59" t="str">
        <f>VLOOKUP($D190,mapping!F:X,18,0)</f>
        <v>舒洁湿厕纸巾</v>
      </c>
      <c r="Y190" s="159">
        <v>6.5000000000000002E-2</v>
      </c>
      <c r="Z190" s="159">
        <v>3.4000000000000002E-2</v>
      </c>
    </row>
    <row r="191" spans="1:26">
      <c r="A191" t="s">
        <v>392</v>
      </c>
      <c r="B191" s="5" t="s">
        <v>420</v>
      </c>
      <c r="C191" s="5" t="s">
        <v>341</v>
      </c>
      <c r="D191" s="5" t="s">
        <v>19</v>
      </c>
      <c r="E191" s="59" t="str">
        <f>VLOOKUP($D191,mapping!$F:$X,5,0)</f>
        <v>269430舒洁湿厕纸家庭装40抽</v>
      </c>
      <c r="F191" s="59">
        <f>VLOOKUP($D191,mapping!$F:$X,6,0)</f>
        <v>40</v>
      </c>
      <c r="G191" s="59">
        <f>VLOOKUP($D191,mapping!$F:$X,7,0)</f>
        <v>40</v>
      </c>
      <c r="H191" s="59">
        <f>VLOOKUP($D191,mapping!$F:$X,14,0)</f>
        <v>367.52197000000001</v>
      </c>
      <c r="I191" s="56">
        <f t="shared" si="36"/>
        <v>9.1880492500000006</v>
      </c>
      <c r="J191" s="60">
        <f t="shared" si="37"/>
        <v>343.63304195000001</v>
      </c>
      <c r="K191" s="60">
        <f t="shared" si="38"/>
        <v>375.10295593178091</v>
      </c>
      <c r="L191" s="61">
        <f t="shared" si="39"/>
        <v>194.92927937655699</v>
      </c>
      <c r="M191" s="60">
        <f t="shared" si="40"/>
        <v>180.17367655522392</v>
      </c>
      <c r="N191" s="155">
        <v>0.502</v>
      </c>
      <c r="O191" s="62">
        <f t="shared" si="32"/>
        <v>4.504341913880598</v>
      </c>
      <c r="P191" s="58">
        <v>1</v>
      </c>
      <c r="Q191" s="57">
        <v>45839</v>
      </c>
      <c r="R191" s="57">
        <v>45930</v>
      </c>
      <c r="U191" s="63">
        <f t="shared" si="33"/>
        <v>186.51519312134982</v>
      </c>
      <c r="V191" s="63">
        <f t="shared" si="34"/>
        <v>165.05769302774323</v>
      </c>
      <c r="W191" s="63">
        <f t="shared" si="35"/>
        <v>202464.27697225678</v>
      </c>
      <c r="X191" s="59" t="str">
        <f>VLOOKUP($D191,mapping!F:X,18,0)</f>
        <v>舒洁湿厕纸巾</v>
      </c>
      <c r="Y191" s="159">
        <v>6.5000000000000002E-2</v>
      </c>
      <c r="Z191" s="159">
        <v>3.4000000000000002E-2</v>
      </c>
    </row>
    <row r="192" spans="1:26">
      <c r="B192" s="5" t="s">
        <v>420</v>
      </c>
      <c r="C192" s="5" t="s">
        <v>341</v>
      </c>
      <c r="D192" s="5" t="s">
        <v>227</v>
      </c>
      <c r="E192" s="59" t="str">
        <f>VLOOKUP($D192,mapping!$F:$X,5,0)</f>
        <v>270190舒洁小熊印花手帕纸3层10包FSC mix70%</v>
      </c>
      <c r="F192" s="59">
        <f>VLOOKUP($D192,mapping!$F:$X,6,0)</f>
        <v>36</v>
      </c>
      <c r="G192" s="59">
        <f>VLOOKUP($D192,mapping!$F:$X,7,0)</f>
        <v>360</v>
      </c>
      <c r="H192" s="59">
        <f>VLOOKUP($D192,mapping!$F:$X,14,0)</f>
        <v>208.46834000000001</v>
      </c>
      <c r="I192" s="56">
        <f t="shared" si="36"/>
        <v>5.7907872222222228</v>
      </c>
      <c r="J192" s="60">
        <f t="shared" si="37"/>
        <v>194.91789790000001</v>
      </c>
      <c r="K192" s="60">
        <f t="shared" si="38"/>
        <v>212.768478989682</v>
      </c>
      <c r="L192" s="61">
        <f t="shared" si="39"/>
        <v>6.6077167388099998</v>
      </c>
      <c r="M192" s="60">
        <f t="shared" si="40"/>
        <v>206.16076225087198</v>
      </c>
      <c r="N192" s="155">
        <v>0.03</v>
      </c>
      <c r="O192" s="62">
        <f t="shared" si="32"/>
        <v>0.57266878403019994</v>
      </c>
      <c r="P192" s="58">
        <v>1</v>
      </c>
      <c r="Q192" s="57">
        <v>45839</v>
      </c>
      <c r="R192" s="57">
        <v>45930</v>
      </c>
      <c r="U192" s="63">
        <f t="shared" si="33"/>
        <v>213.41693814790062</v>
      </c>
      <c r="V192" s="63">
        <f t="shared" si="34"/>
        <v>188.86454703354039</v>
      </c>
      <c r="W192" s="63">
        <f t="shared" si="35"/>
        <v>19603.792966459623</v>
      </c>
      <c r="X192" s="59" t="str">
        <f>VLOOKUP($D192,mapping!F:X,18,0)</f>
        <v>手帕纸</v>
      </c>
      <c r="Y192" s="159">
        <v>6.5000000000000002E-2</v>
      </c>
      <c r="Z192" s="159">
        <v>3.4000000000000002E-2</v>
      </c>
    </row>
    <row r="193" spans="1:26">
      <c r="B193" s="5" t="s">
        <v>421</v>
      </c>
      <c r="C193" s="5" t="s">
        <v>345</v>
      </c>
      <c r="D193" s="5" t="s">
        <v>227</v>
      </c>
      <c r="E193" s="59" t="str">
        <f>VLOOKUP($D193,mapping!$F:$X,5,0)</f>
        <v>270190舒洁小熊印花手帕纸3层10包FSC mix70%</v>
      </c>
      <c r="F193" s="59">
        <f>VLOOKUP($D193,mapping!$F:$X,6,0)</f>
        <v>36</v>
      </c>
      <c r="G193" s="59">
        <f>VLOOKUP($D193,mapping!$F:$X,7,0)</f>
        <v>360</v>
      </c>
      <c r="H193" s="59">
        <f>VLOOKUP($D193,mapping!$F:$X,14,0)</f>
        <v>208.46834000000001</v>
      </c>
      <c r="I193" s="56">
        <f t="shared" si="36"/>
        <v>5.7907872222222228</v>
      </c>
      <c r="J193" s="60">
        <f t="shared" si="37"/>
        <v>194.91789790000001</v>
      </c>
      <c r="K193" s="60">
        <f t="shared" si="38"/>
        <v>212.768478989682</v>
      </c>
      <c r="L193" s="61">
        <f t="shared" si="39"/>
        <v>6.6077167388099998</v>
      </c>
      <c r="M193" s="60">
        <f t="shared" si="40"/>
        <v>206.16076225087198</v>
      </c>
      <c r="N193" s="155">
        <v>0.03</v>
      </c>
      <c r="O193" s="62">
        <f t="shared" si="32"/>
        <v>0.57266878403019994</v>
      </c>
      <c r="P193" s="58">
        <v>1</v>
      </c>
      <c r="Q193" s="57">
        <v>45839</v>
      </c>
      <c r="R193" s="57">
        <v>45930</v>
      </c>
      <c r="U193" s="63">
        <f t="shared" si="33"/>
        <v>213.41693814790062</v>
      </c>
      <c r="V193" s="63">
        <f t="shared" si="34"/>
        <v>188.86454703354039</v>
      </c>
      <c r="W193" s="63">
        <f t="shared" si="35"/>
        <v>19603.792966459623</v>
      </c>
      <c r="X193" s="59" t="str">
        <f>VLOOKUP($D193,mapping!F:X,18,0)</f>
        <v>手帕纸</v>
      </c>
      <c r="Y193" s="159">
        <v>6.5000000000000002E-2</v>
      </c>
      <c r="Z193" s="159">
        <v>3.4000000000000002E-2</v>
      </c>
    </row>
    <row r="194" spans="1:26">
      <c r="B194" s="5" t="s">
        <v>421</v>
      </c>
      <c r="C194" s="5" t="s">
        <v>345</v>
      </c>
      <c r="D194" s="5" t="s">
        <v>195</v>
      </c>
      <c r="E194" s="59" t="str">
        <f>VLOOKUP($D194,mapping!$F:$X,5,0)</f>
        <v>231216 舒洁马蹄莲盒面纸200抽3盒 FSC mix70%</v>
      </c>
      <c r="F194" s="59">
        <f>VLOOKUP($D194,mapping!$F:$X,6,0)</f>
        <v>10</v>
      </c>
      <c r="G194" s="59">
        <f>VLOOKUP($D194,mapping!$F:$X,7,0)</f>
        <v>30</v>
      </c>
      <c r="H194" s="59">
        <f>VLOOKUP($D194,mapping!$F:$X,14,0)</f>
        <v>243.21306999999999</v>
      </c>
      <c r="I194" s="56">
        <f t="shared" si="36"/>
        <v>24.321306999999997</v>
      </c>
      <c r="J194" s="60">
        <f t="shared" si="37"/>
        <v>227.40422045</v>
      </c>
      <c r="K194" s="60">
        <f t="shared" si="38"/>
        <v>248.22989895881099</v>
      </c>
      <c r="L194" s="61">
        <f t="shared" si="39"/>
        <v>12.848338455425001</v>
      </c>
      <c r="M194" s="60">
        <f t="shared" si="40"/>
        <v>235.381560503386</v>
      </c>
      <c r="N194" s="155">
        <v>0.05</v>
      </c>
      <c r="O194" s="62">
        <f t="shared" si="32"/>
        <v>7.8460520167795336</v>
      </c>
      <c r="P194" s="58">
        <v>1</v>
      </c>
      <c r="Q194" s="57">
        <v>45839</v>
      </c>
      <c r="R194" s="57">
        <v>45930</v>
      </c>
      <c r="U194" s="63">
        <f t="shared" si="33"/>
        <v>243.66621170122775</v>
      </c>
      <c r="V194" s="63">
        <f t="shared" si="34"/>
        <v>215.63381566480334</v>
      </c>
      <c r="W194" s="63">
        <f t="shared" si="35"/>
        <v>27579.254335196652</v>
      </c>
      <c r="X194" s="59" t="str">
        <f>VLOOKUP($D194,mapping!F:X,18,0)</f>
        <v>盒纸</v>
      </c>
      <c r="Y194" s="159">
        <v>6.5000000000000002E-2</v>
      </c>
      <c r="Z194" s="159">
        <v>3.4000000000000002E-2</v>
      </c>
    </row>
    <row r="195" spans="1:26">
      <c r="B195" s="5" t="s">
        <v>421</v>
      </c>
      <c r="C195" s="5" t="s">
        <v>345</v>
      </c>
      <c r="D195" s="5" t="s">
        <v>219</v>
      </c>
      <c r="E195" s="59" t="str">
        <f>VLOOKUP($D195,mapping!$F:$X,5,0)</f>
        <v>229160舒洁绿茶洋甘菊印花清香卷纸10粒</v>
      </c>
      <c r="F195" s="59">
        <f>VLOOKUP($D195,mapping!$F:$X,6,0)</f>
        <v>5</v>
      </c>
      <c r="G195" s="59">
        <f>VLOOKUP($D195,mapping!$F:$X,7,0)</f>
        <v>50</v>
      </c>
      <c r="H195" s="59">
        <f>VLOOKUP($D195,mapping!$F:$X,14,0)</f>
        <v>153.64888999999999</v>
      </c>
      <c r="I195" s="56">
        <f t="shared" si="36"/>
        <v>30.729778</v>
      </c>
      <c r="J195" s="60">
        <f t="shared" si="37"/>
        <v>143.66171215</v>
      </c>
      <c r="K195" s="60">
        <f t="shared" si="38"/>
        <v>156.81825174869698</v>
      </c>
      <c r="L195" s="61">
        <f t="shared" si="39"/>
        <v>8.1168867364749993</v>
      </c>
      <c r="M195" s="60">
        <f t="shared" si="40"/>
        <v>148.70136501222197</v>
      </c>
      <c r="N195" s="155">
        <v>0.05</v>
      </c>
      <c r="O195" s="62">
        <f>M195/G195</f>
        <v>2.9740273002444395</v>
      </c>
      <c r="P195" s="58">
        <v>1</v>
      </c>
      <c r="Q195" s="57">
        <v>45839</v>
      </c>
      <c r="R195" s="57">
        <v>45930</v>
      </c>
      <c r="U195" s="63">
        <f t="shared" si="33"/>
        <v>153.93516046813869</v>
      </c>
      <c r="V195" s="63">
        <f t="shared" si="34"/>
        <v>136.22580572401657</v>
      </c>
      <c r="W195" s="63">
        <f t="shared" si="35"/>
        <v>17423.084275983427</v>
      </c>
      <c r="X195" s="59" t="str">
        <f>VLOOKUP($D195,mapping!F:X,18,0)</f>
        <v>卷纸</v>
      </c>
      <c r="Y195" s="159">
        <v>6.5000000000000002E-2</v>
      </c>
      <c r="Z195" s="159">
        <v>3.4000000000000002E-2</v>
      </c>
    </row>
    <row r="196" spans="1:26">
      <c r="A196" t="s">
        <v>392</v>
      </c>
      <c r="B196" s="5" t="s">
        <v>421</v>
      </c>
      <c r="C196" s="5" t="s">
        <v>345</v>
      </c>
      <c r="D196" s="5" t="s">
        <v>19</v>
      </c>
      <c r="E196" s="59" t="str">
        <f>VLOOKUP($D196,mapping!$F:$X,5,0)</f>
        <v>269430舒洁湿厕纸家庭装40抽</v>
      </c>
      <c r="F196" s="59">
        <f>VLOOKUP($D196,mapping!$F:$X,6,0)</f>
        <v>40</v>
      </c>
      <c r="G196" s="59">
        <f>VLOOKUP($D196,mapping!$F:$X,7,0)</f>
        <v>40</v>
      </c>
      <c r="H196" s="59">
        <f>VLOOKUP($D196,mapping!$F:$X,14,0)</f>
        <v>367.52197000000001</v>
      </c>
      <c r="I196" s="56">
        <f t="shared" si="36"/>
        <v>9.1880492500000006</v>
      </c>
      <c r="J196" s="60">
        <f t="shared" si="37"/>
        <v>343.63304195000001</v>
      </c>
      <c r="K196" s="60">
        <f t="shared" si="38"/>
        <v>375.10295593178091</v>
      </c>
      <c r="L196" s="61">
        <f t="shared" si="39"/>
        <v>155.3221349614</v>
      </c>
      <c r="M196" s="60">
        <f t="shared" si="40"/>
        <v>219.78082097038092</v>
      </c>
      <c r="N196" s="155">
        <v>0.4</v>
      </c>
      <c r="O196" s="62">
        <f>M196/G196</f>
        <v>5.4945205242595225</v>
      </c>
      <c r="P196" s="58">
        <v>1</v>
      </c>
      <c r="Q196" s="57">
        <v>45839</v>
      </c>
      <c r="R196" s="57">
        <v>45930</v>
      </c>
      <c r="U196" s="63">
        <f>M196/0.966</f>
        <v>227.51637781612931</v>
      </c>
      <c r="V196" s="63">
        <f>U196/1.13</f>
        <v>201.3419272709109</v>
      </c>
      <c r="W196" s="63">
        <f>(H196-V196)*1000</f>
        <v>166180.04272908909</v>
      </c>
      <c r="X196" s="59" t="str">
        <f>VLOOKUP($D196,mapping!F:X,18,0)</f>
        <v>舒洁湿厕纸巾</v>
      </c>
      <c r="Y196" s="159">
        <v>6.5000000000000002E-2</v>
      </c>
      <c r="Z196" s="159">
        <v>3.4000000000000002E-2</v>
      </c>
    </row>
  </sheetData>
  <autoFilter ref="A3:AA196" xr:uid="{1BC1E646-28F9-4DB6-9A21-521CC3C3D0B5}"/>
  <phoneticPr fontId="2"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D9AF93-EB63-4B0E-8DE2-72FD56B64C55}">
  <sheetPr>
    <tabColor rgb="FFFFFF00"/>
  </sheetPr>
  <dimension ref="A1:W33"/>
  <sheetViews>
    <sheetView zoomScale="57" zoomScaleNormal="57" workbookViewId="0">
      <selection activeCell="U4" sqref="U4"/>
    </sheetView>
  </sheetViews>
  <sheetFormatPr defaultRowHeight="14" outlineLevelCol="1"/>
  <cols>
    <col min="1" max="1" width="23.1796875" customWidth="1"/>
    <col min="2" max="2" width="15.453125" style="2" customWidth="1"/>
    <col min="4" max="4" width="11.453125" customWidth="1"/>
    <col min="5" max="5" width="45.81640625" customWidth="1"/>
    <col min="6" max="7" width="8.6328125" outlineLevel="1"/>
    <col min="8" max="8" width="7.6328125" customWidth="1" outlineLevel="1"/>
    <col min="9" max="9" width="8.90625" customWidth="1" outlineLevel="1"/>
    <col min="10" max="10" width="9.453125" customWidth="1" outlineLevel="1"/>
    <col min="11" max="11" width="12.08984375" bestFit="1" customWidth="1" outlineLevel="1"/>
    <col min="12" max="12" width="8.6328125" outlineLevel="1"/>
    <col min="13" max="13" width="9.90625" bestFit="1" customWidth="1" outlineLevel="1"/>
    <col min="14" max="14" width="9.453125" customWidth="1" outlineLevel="1"/>
    <col min="15" max="16" width="10.26953125" customWidth="1"/>
    <col min="17" max="17" width="10.90625" customWidth="1"/>
    <col min="18" max="18" width="10.7265625" customWidth="1"/>
    <col min="19" max="20" width="11.08984375" bestFit="1" customWidth="1"/>
    <col min="21" max="21" width="10.81640625" customWidth="1"/>
    <col min="22" max="23" width="11.1796875" customWidth="1"/>
  </cols>
  <sheetData>
    <row r="1" spans="1:23">
      <c r="U1" s="2" t="s">
        <v>22</v>
      </c>
      <c r="V1" s="2" t="s">
        <v>22</v>
      </c>
      <c r="W1" s="2" t="s">
        <v>22</v>
      </c>
    </row>
    <row r="2" spans="1:23" s="2" customFormat="1" ht="23">
      <c r="A2" s="46" t="s">
        <v>268</v>
      </c>
      <c r="B2" s="5" t="s">
        <v>255</v>
      </c>
      <c r="C2" s="5" t="s">
        <v>255</v>
      </c>
      <c r="D2" s="5" t="s">
        <v>255</v>
      </c>
      <c r="E2" s="2" t="s">
        <v>22</v>
      </c>
      <c r="F2" s="2" t="s">
        <v>22</v>
      </c>
      <c r="G2" s="2" t="s">
        <v>22</v>
      </c>
      <c r="H2" s="2" t="s">
        <v>22</v>
      </c>
      <c r="I2" s="2" t="s">
        <v>22</v>
      </c>
      <c r="J2" s="2" t="s">
        <v>22</v>
      </c>
      <c r="K2" s="2" t="s">
        <v>22</v>
      </c>
      <c r="L2" s="2" t="s">
        <v>22</v>
      </c>
      <c r="M2" s="2" t="s">
        <v>22</v>
      </c>
      <c r="N2" s="2" t="s">
        <v>22</v>
      </c>
      <c r="O2" s="5" t="s">
        <v>255</v>
      </c>
      <c r="P2" s="5" t="s">
        <v>255</v>
      </c>
      <c r="Q2" s="5" t="s">
        <v>255</v>
      </c>
      <c r="R2" s="5" t="s">
        <v>255</v>
      </c>
      <c r="S2" s="2" t="s">
        <v>22</v>
      </c>
      <c r="T2" s="2" t="s">
        <v>22</v>
      </c>
      <c r="U2" s="2" t="s">
        <v>270</v>
      </c>
      <c r="V2" s="2" t="s">
        <v>270</v>
      </c>
      <c r="W2" s="2" t="s">
        <v>270</v>
      </c>
    </row>
    <row r="3" spans="1:23" s="6" customFormat="1" ht="53" customHeight="1">
      <c r="A3" s="33" t="s">
        <v>263</v>
      </c>
      <c r="B3" s="34" t="s">
        <v>259</v>
      </c>
      <c r="C3" s="42" t="s">
        <v>0</v>
      </c>
      <c r="D3" s="42" t="s">
        <v>5</v>
      </c>
      <c r="E3" s="35" t="s">
        <v>4</v>
      </c>
      <c r="F3" s="35" t="s">
        <v>6</v>
      </c>
      <c r="G3" s="35" t="s">
        <v>254</v>
      </c>
      <c r="H3" s="36" t="s">
        <v>252</v>
      </c>
      <c r="I3" s="41" t="s">
        <v>10</v>
      </c>
      <c r="J3" s="36" t="s">
        <v>11</v>
      </c>
      <c r="K3" s="36" t="s">
        <v>12</v>
      </c>
      <c r="L3" s="36" t="s">
        <v>14</v>
      </c>
      <c r="M3" s="36" t="s">
        <v>15</v>
      </c>
      <c r="N3" s="39" t="s">
        <v>13</v>
      </c>
      <c r="O3" s="40" t="s">
        <v>16</v>
      </c>
      <c r="P3" s="34" t="s">
        <v>256</v>
      </c>
      <c r="Q3" s="34" t="s">
        <v>258</v>
      </c>
      <c r="R3" s="34" t="s">
        <v>257</v>
      </c>
      <c r="S3" s="39" t="s">
        <v>1</v>
      </c>
      <c r="T3" s="39" t="s">
        <v>21</v>
      </c>
      <c r="U3" s="39" t="s">
        <v>373</v>
      </c>
      <c r="V3" s="39" t="s">
        <v>271</v>
      </c>
      <c r="W3" s="39" t="s">
        <v>272</v>
      </c>
    </row>
    <row r="4" spans="1:23" s="141" customFormat="1" ht="27.5" customHeight="1">
      <c r="A4" s="138" t="s">
        <v>18</v>
      </c>
      <c r="B4" s="135" t="s">
        <v>260</v>
      </c>
      <c r="C4" s="130" t="s">
        <v>7</v>
      </c>
      <c r="D4" s="130" t="s">
        <v>19</v>
      </c>
      <c r="E4" s="138" t="str">
        <f>VLOOKUP($D4,mapping!$F:$X,5,0)</f>
        <v>269430舒洁湿厕纸家庭装40抽</v>
      </c>
      <c r="F4" s="138">
        <f>VLOOKUP($D4,mapping!$F:$X,6,0)</f>
        <v>40</v>
      </c>
      <c r="G4" s="138">
        <f>VLOOKUP($D4,mapping!$F:$X,7,0)</f>
        <v>40</v>
      </c>
      <c r="H4" s="138">
        <f>VLOOKUP($D4,mapping!$F:$X,14,0)</f>
        <v>367.52197000000001</v>
      </c>
      <c r="I4" s="48">
        <f t="shared" ref="I4:I21" si="0">H4/F4</f>
        <v>9.1880492500000006</v>
      </c>
      <c r="J4" s="139">
        <f t="shared" ref="J4:J21" si="1">H4*0.935</f>
        <v>343.63304195000001</v>
      </c>
      <c r="K4" s="139">
        <f t="shared" ref="K4:K21" si="2">J4*1.13*0.966</f>
        <v>375.10295593178091</v>
      </c>
      <c r="L4" s="139">
        <f t="shared" ref="L4:L21" si="3">K4-M4</f>
        <v>204.30295593178093</v>
      </c>
      <c r="M4" s="139">
        <f>O4*G4</f>
        <v>170.79999999999998</v>
      </c>
      <c r="N4" s="140">
        <f t="shared" ref="N4:N21" si="4">L4/(J4*1.13)</f>
        <v>0.52613996319984513</v>
      </c>
      <c r="O4" s="130">
        <v>4.2699999999999996</v>
      </c>
      <c r="P4" s="130">
        <v>1000</v>
      </c>
      <c r="Q4" s="135">
        <v>45748</v>
      </c>
      <c r="R4" s="135">
        <v>45777</v>
      </c>
      <c r="S4" s="137">
        <f>P4*H4</f>
        <v>367521.97000000003</v>
      </c>
      <c r="T4" s="137">
        <f>M4*P4/1.13</f>
        <v>151150.44247787609</v>
      </c>
      <c r="U4" s="137">
        <f>M4/0.966</f>
        <v>176.81159420289853</v>
      </c>
      <c r="V4" s="137">
        <f>U4/1.13</f>
        <v>156.47043734769784</v>
      </c>
      <c r="W4" s="137">
        <f>(H4-V4)*1000</f>
        <v>211051.53265230218</v>
      </c>
    </row>
    <row r="5" spans="1:23">
      <c r="D5" t="s">
        <v>244</v>
      </c>
      <c r="E5" s="138" t="str">
        <f>VLOOKUP($D5,mapping!$F:$X,5,0)</f>
        <v>261300舒洁无香湿巾单包装</v>
      </c>
      <c r="F5" s="138">
        <f>VLOOKUP($D5,mapping!$F:$X,6,0)</f>
        <v>30</v>
      </c>
      <c r="G5" s="138">
        <f>VLOOKUP($D5,mapping!$F:$X,7,0)</f>
        <v>30</v>
      </c>
      <c r="H5" s="138">
        <f>VLOOKUP($D5,mapping!$F:$X,14,0)</f>
        <v>91.362830000000002</v>
      </c>
      <c r="I5" s="48">
        <f t="shared" si="0"/>
        <v>3.0454276666666669</v>
      </c>
      <c r="J5" s="139">
        <f t="shared" si="1"/>
        <v>85.424246050000008</v>
      </c>
      <c r="K5" s="139">
        <f t="shared" si="2"/>
        <v>93.247398503258992</v>
      </c>
      <c r="L5" s="139">
        <f t="shared" si="3"/>
        <v>33.847398503258994</v>
      </c>
      <c r="M5" s="139">
        <f t="shared" ref="M5:M21" si="5">O5*G5</f>
        <v>59.4</v>
      </c>
      <c r="N5" s="140">
        <f t="shared" si="4"/>
        <v>0.35064342254015207</v>
      </c>
      <c r="O5">
        <v>1.98</v>
      </c>
      <c r="P5" s="130">
        <v>1000</v>
      </c>
      <c r="U5" s="137">
        <f t="shared" ref="U5:U11" si="6">M5/0.966</f>
        <v>61.490683229813662</v>
      </c>
      <c r="V5" s="137">
        <f t="shared" ref="V5:V11" si="7">U5/1.13</f>
        <v>54.416533831693513</v>
      </c>
      <c r="W5" s="137">
        <f t="shared" ref="W5:W11" si="8">(H5-V5)*1000</f>
        <v>36946.296168306486</v>
      </c>
    </row>
    <row r="6" spans="1:23">
      <c r="D6" t="s">
        <v>211</v>
      </c>
      <c r="E6" s="138" t="str">
        <f>VLOOKUP($D6,mapping!$F:$X,5,0)</f>
        <v>221635舒洁卷纸3层纯白10粒（蓝色）</v>
      </c>
      <c r="F6" s="138">
        <f>VLOOKUP($D6,mapping!$F:$X,6,0)</f>
        <v>10</v>
      </c>
      <c r="G6" s="138">
        <f>VLOOKUP($D6,mapping!$F:$X,7,0)</f>
        <v>100</v>
      </c>
      <c r="H6" s="138">
        <f>VLOOKUP($D6,mapping!$F:$X,14,0)</f>
        <v>240.89676</v>
      </c>
      <c r="I6" s="48">
        <f t="shared" si="0"/>
        <v>24.089676000000001</v>
      </c>
      <c r="J6" s="139">
        <f t="shared" si="1"/>
        <v>225.2384706</v>
      </c>
      <c r="K6" s="139">
        <f t="shared" si="2"/>
        <v>245.86580973754795</v>
      </c>
      <c r="L6" s="139">
        <f t="shared" si="3"/>
        <v>65.865809737547949</v>
      </c>
      <c r="M6" s="139">
        <f t="shared" si="5"/>
        <v>180</v>
      </c>
      <c r="N6" s="140">
        <f t="shared" si="4"/>
        <v>0.25878495376965976</v>
      </c>
      <c r="O6">
        <v>1.8</v>
      </c>
      <c r="P6" s="130">
        <v>1000</v>
      </c>
      <c r="U6" s="137">
        <f t="shared" si="6"/>
        <v>186.33540372670808</v>
      </c>
      <c r="V6" s="137">
        <f t="shared" si="7"/>
        <v>164.89858736876823</v>
      </c>
      <c r="W6" s="137">
        <f>(H6-V6)*1000</f>
        <v>75998.172631231762</v>
      </c>
    </row>
    <row r="7" spans="1:23">
      <c r="D7" t="s">
        <v>227</v>
      </c>
      <c r="E7" s="138" t="str">
        <f>VLOOKUP($D7,mapping!$F:$X,5,0)</f>
        <v>270190舒洁小熊印花手帕纸3层10包FSC mix70%</v>
      </c>
      <c r="F7" s="138">
        <f>VLOOKUP($D7,mapping!$F:$X,6,0)</f>
        <v>36</v>
      </c>
      <c r="G7" s="138">
        <f>VLOOKUP($D7,mapping!$F:$X,7,0)</f>
        <v>360</v>
      </c>
      <c r="H7" s="138">
        <f>VLOOKUP($D7,mapping!$F:$X,14,0)</f>
        <v>208.46834000000001</v>
      </c>
      <c r="I7" s="48">
        <f t="shared" si="0"/>
        <v>5.7907872222222228</v>
      </c>
      <c r="J7" s="139">
        <f t="shared" si="1"/>
        <v>194.91789790000001</v>
      </c>
      <c r="K7" s="139">
        <f t="shared" si="2"/>
        <v>212.768478989682</v>
      </c>
      <c r="L7" s="139">
        <f t="shared" si="3"/>
        <v>36.368478989681989</v>
      </c>
      <c r="M7" s="139">
        <f>O7*G7</f>
        <v>176.4</v>
      </c>
      <c r="N7" s="140">
        <f t="shared" si="4"/>
        <v>0.16511821145150213</v>
      </c>
      <c r="O7">
        <v>0.49</v>
      </c>
      <c r="P7" s="130">
        <v>1000</v>
      </c>
      <c r="U7" s="137">
        <f>M7/0.966</f>
        <v>182.60869565217394</v>
      </c>
      <c r="V7" s="137">
        <f>U7/1.13</f>
        <v>161.60061562139288</v>
      </c>
      <c r="W7" s="137">
        <f>(H7-V7)*1000</f>
        <v>46867.724378607134</v>
      </c>
    </row>
    <row r="8" spans="1:23">
      <c r="D8" t="s">
        <v>96</v>
      </c>
      <c r="E8" s="138" t="str">
        <f>VLOOKUP($D8,mapping!$F:$X,5,0)</f>
        <v>265500舒洁湿厕纸7抽6包装</v>
      </c>
      <c r="F8" s="138">
        <f>VLOOKUP($D8,mapping!$F:$X,6,0)</f>
        <v>16</v>
      </c>
      <c r="G8" s="138">
        <f>VLOOKUP($D8,mapping!$F:$X,7,0)</f>
        <v>96</v>
      </c>
      <c r="H8" s="138">
        <f>VLOOKUP($D8,mapping!$F:$X,14,0)</f>
        <v>179.2</v>
      </c>
      <c r="I8" s="48">
        <f t="shared" si="0"/>
        <v>11.2</v>
      </c>
      <c r="J8" s="139">
        <f t="shared" si="1"/>
        <v>167.55199999999999</v>
      </c>
      <c r="K8" s="139">
        <f t="shared" si="2"/>
        <v>182.89641215999998</v>
      </c>
      <c r="L8" s="139">
        <f t="shared" si="3"/>
        <v>66.736412159999986</v>
      </c>
      <c r="M8" s="139">
        <f t="shared" si="5"/>
        <v>116.16</v>
      </c>
      <c r="N8" s="140">
        <f t="shared" si="4"/>
        <v>0.35248025581914177</v>
      </c>
      <c r="O8">
        <v>1.21</v>
      </c>
      <c r="P8" s="130">
        <v>1000</v>
      </c>
      <c r="U8" s="137">
        <f t="shared" si="6"/>
        <v>120.24844720496894</v>
      </c>
      <c r="V8" s="137">
        <f t="shared" si="7"/>
        <v>106.41455504864508</v>
      </c>
      <c r="W8" s="137">
        <f t="shared" si="8"/>
        <v>72785.444951354904</v>
      </c>
    </row>
    <row r="9" spans="1:23">
      <c r="D9" t="s">
        <v>211</v>
      </c>
      <c r="E9" s="138" t="str">
        <f>VLOOKUP($D9,mapping!$F:$X,5,0)</f>
        <v>221635舒洁卷纸3层纯白10粒（蓝色）</v>
      </c>
      <c r="F9" s="138">
        <f>VLOOKUP($D9,mapping!$F:$X,6,0)</f>
        <v>10</v>
      </c>
      <c r="G9" s="138">
        <f>VLOOKUP($D9,mapping!$F:$X,7,0)</f>
        <v>100</v>
      </c>
      <c r="H9" s="138">
        <f>VLOOKUP($D9,mapping!$F:$X,14,0)</f>
        <v>240.89676</v>
      </c>
      <c r="I9" s="48">
        <f t="shared" si="0"/>
        <v>24.089676000000001</v>
      </c>
      <c r="J9" s="139">
        <f t="shared" si="1"/>
        <v>225.2384706</v>
      </c>
      <c r="K9" s="139">
        <f t="shared" si="2"/>
        <v>245.86580973754795</v>
      </c>
      <c r="L9" s="139">
        <f t="shared" si="3"/>
        <v>50.865809737547949</v>
      </c>
      <c r="M9" s="139">
        <f t="shared" si="5"/>
        <v>195</v>
      </c>
      <c r="N9" s="140">
        <f t="shared" si="4"/>
        <v>0.19985036658379809</v>
      </c>
      <c r="O9">
        <v>1.95</v>
      </c>
      <c r="P9" s="130">
        <v>1000</v>
      </c>
      <c r="U9" s="137">
        <f>M9/0.966</f>
        <v>201.8633540372671</v>
      </c>
      <c r="V9" s="137">
        <f t="shared" si="7"/>
        <v>178.64013631616558</v>
      </c>
      <c r="W9" s="137">
        <f t="shared" si="8"/>
        <v>62256.623683834419</v>
      </c>
    </row>
    <row r="10" spans="1:23">
      <c r="D10" t="s">
        <v>143</v>
      </c>
      <c r="E10" s="138" t="str">
        <f>VLOOKUP($D10,mapping!$F:$X,5,0)</f>
        <v>215610舒洁®北海道轻牛乳系列乳霜纸面巾100抽3包装</v>
      </c>
      <c r="F10" s="138">
        <f>VLOOKUP($D10,mapping!$F:$X,6,0)</f>
        <v>6</v>
      </c>
      <c r="G10" s="138">
        <f>VLOOKUP($D10,mapping!$F:$X,7,0)</f>
        <v>18</v>
      </c>
      <c r="H10" s="138">
        <f>VLOOKUP($D10,mapping!$F:$X,14,0)</f>
        <v>215.4</v>
      </c>
      <c r="I10" s="48">
        <f t="shared" si="0"/>
        <v>35.9</v>
      </c>
      <c r="J10" s="139">
        <f t="shared" si="1"/>
        <v>201.39900000000003</v>
      </c>
      <c r="K10" s="139">
        <f t="shared" si="2"/>
        <v>219.84312041999999</v>
      </c>
      <c r="L10" s="139">
        <f t="shared" si="3"/>
        <v>102.48312042000001</v>
      </c>
      <c r="M10" s="139">
        <f t="shared" si="5"/>
        <v>117.35999999999999</v>
      </c>
      <c r="N10" s="140">
        <f t="shared" si="4"/>
        <v>0.45031517991824183</v>
      </c>
      <c r="O10">
        <v>6.52</v>
      </c>
      <c r="P10" s="130">
        <v>1000</v>
      </c>
      <c r="U10" s="137">
        <f t="shared" si="6"/>
        <v>121.49068322981365</v>
      </c>
      <c r="V10" s="137">
        <f t="shared" si="7"/>
        <v>107.51387896443687</v>
      </c>
      <c r="W10" s="137">
        <f t="shared" si="8"/>
        <v>107886.12103556313</v>
      </c>
    </row>
    <row r="11" spans="1:23">
      <c r="D11" t="s">
        <v>172</v>
      </c>
      <c r="E11" s="138" t="str">
        <f>VLOOKUP($D11,mapping!$F:$X,5,0)</f>
        <v>210390舒洁小熊印花抽纸3层80抽4包FSC mix70%</v>
      </c>
      <c r="F11" s="138">
        <f>VLOOKUP($D11,mapping!$F:$X,6,0)</f>
        <v>24</v>
      </c>
      <c r="G11" s="138">
        <f>VLOOKUP($D11,mapping!$F:$X,7,0)</f>
        <v>96</v>
      </c>
      <c r="H11" s="138">
        <f>VLOOKUP($D11,mapping!$F:$X,14,0)</f>
        <v>287.22000000000003</v>
      </c>
      <c r="I11" s="48">
        <f t="shared" si="0"/>
        <v>11.967500000000001</v>
      </c>
      <c r="J11" s="139">
        <f t="shared" si="1"/>
        <v>268.55070000000006</v>
      </c>
      <c r="K11" s="139">
        <f t="shared" si="2"/>
        <v>293.14457310600005</v>
      </c>
      <c r="L11" s="139">
        <f t="shared" si="3"/>
        <v>75.865572750000013</v>
      </c>
      <c r="M11" s="139">
        <f t="shared" si="5"/>
        <v>217.27900035600004</v>
      </c>
      <c r="N11" s="140">
        <f t="shared" si="4"/>
        <v>0.25</v>
      </c>
      <c r="O11">
        <v>2.2633229203750003</v>
      </c>
      <c r="P11" s="130">
        <v>1000</v>
      </c>
      <c r="U11" s="137">
        <f t="shared" si="6"/>
        <v>224.92650140372675</v>
      </c>
      <c r="V11" s="137">
        <f t="shared" si="7"/>
        <v>199.05000124223608</v>
      </c>
      <c r="W11" s="137">
        <f t="shared" si="8"/>
        <v>88169.998757763955</v>
      </c>
    </row>
    <row r="12" spans="1:23" ht="15">
      <c r="D12" s="72" t="s">
        <v>307</v>
      </c>
      <c r="E12" s="138" t="str">
        <f>VLOOKUP($D12,mapping!$F:$X,5,0)</f>
        <v>266000舒洁湿厕纸80片</v>
      </c>
      <c r="F12" s="138">
        <f>VLOOKUP($D12,mapping!$F:$X,6,0)</f>
        <v>24</v>
      </c>
      <c r="G12" s="138">
        <f>VLOOKUP($D12,mapping!$F:$X,7,0)</f>
        <v>24</v>
      </c>
      <c r="H12" s="138">
        <f>VLOOKUP($D12,mapping!$F:$X,14,0)</f>
        <v>326.88</v>
      </c>
      <c r="I12" s="48">
        <f t="shared" si="0"/>
        <v>13.62</v>
      </c>
      <c r="J12" s="139">
        <f t="shared" si="1"/>
        <v>305.63280000000003</v>
      </c>
      <c r="K12" s="139">
        <f t="shared" si="2"/>
        <v>333.622651824</v>
      </c>
      <c r="L12" s="139">
        <f t="shared" si="3"/>
        <v>153.68745348000002</v>
      </c>
      <c r="M12" s="139">
        <f>O12*G12</f>
        <v>179.93519834399999</v>
      </c>
      <c r="N12" s="140">
        <f t="shared" si="4"/>
        <v>0.44500000000000001</v>
      </c>
      <c r="O12">
        <v>7.4972999309999997</v>
      </c>
      <c r="U12" s="137">
        <f t="shared" ref="U12:U26" si="9">M12/0.966</f>
        <v>186.26832126708072</v>
      </c>
      <c r="V12" s="137">
        <f t="shared" ref="V12:V26" si="10">U12/1.13</f>
        <v>164.83922236024844</v>
      </c>
      <c r="W12" s="137">
        <f t="shared" ref="W12:W26" si="11">(H12-V12)*1000</f>
        <v>162040.77763975156</v>
      </c>
    </row>
    <row r="13" spans="1:23">
      <c r="D13" t="s">
        <v>2</v>
      </c>
      <c r="E13" s="138" t="str">
        <f>VLOOKUP($D13,mapping!$F:$X,5,0)</f>
        <v xml:space="preserve">266200舒洁湿厕纸80片x6包 </v>
      </c>
      <c r="F13" s="138">
        <f>VLOOKUP($D13,mapping!$F:$X,6,0)</f>
        <v>1</v>
      </c>
      <c r="G13" s="138">
        <f>VLOOKUP($D13,mapping!$F:$X,7,0)</f>
        <v>6</v>
      </c>
      <c r="H13" s="138">
        <f>VLOOKUP($D13,mapping!$F:$X,14,0)</f>
        <v>69.44</v>
      </c>
      <c r="I13" s="48">
        <f t="shared" si="0"/>
        <v>69.44</v>
      </c>
      <c r="J13" s="139">
        <f t="shared" si="1"/>
        <v>64.926400000000001</v>
      </c>
      <c r="K13" s="139">
        <f t="shared" si="2"/>
        <v>70.872359711999991</v>
      </c>
      <c r="L13" s="139">
        <f t="shared" si="3"/>
        <v>25.888560125999994</v>
      </c>
      <c r="M13" s="139">
        <f t="shared" si="5"/>
        <v>44.983799585999996</v>
      </c>
      <c r="N13" s="140">
        <f t="shared" si="4"/>
        <v>0.3528646313364055</v>
      </c>
      <c r="O13">
        <v>7.4972999309999997</v>
      </c>
      <c r="U13" s="137">
        <f t="shared" si="9"/>
        <v>46.567080316770181</v>
      </c>
      <c r="V13" s="137">
        <f t="shared" si="10"/>
        <v>41.209805590062111</v>
      </c>
      <c r="W13" s="137">
        <f t="shared" si="11"/>
        <v>28230.194409937889</v>
      </c>
    </row>
    <row r="14" spans="1:23">
      <c r="D14" s="232" t="s">
        <v>187</v>
      </c>
      <c r="E14" s="138" t="str">
        <f>VLOOKUP($D14,mapping!$F:$X,5,0)</f>
        <v>210761舒洁卡通系列抽纸200抽3包 FSC mix70%</v>
      </c>
      <c r="F14" s="138">
        <f>VLOOKUP($D14,mapping!$F:$X,6,0)</f>
        <v>20</v>
      </c>
      <c r="G14" s="138">
        <f>VLOOKUP($D14,mapping!$F:$X,7,0)</f>
        <v>60</v>
      </c>
      <c r="H14" s="138">
        <f>VLOOKUP($D14,mapping!$F:$X,14,0)</f>
        <v>338.18198999999998</v>
      </c>
      <c r="I14" s="48">
        <f t="shared" si="0"/>
        <v>16.9090995</v>
      </c>
      <c r="J14" s="139">
        <f t="shared" si="1"/>
        <v>316.20016064999999</v>
      </c>
      <c r="K14" s="139">
        <f t="shared" si="2"/>
        <v>345.15777136232697</v>
      </c>
      <c r="L14" s="139">
        <f t="shared" si="3"/>
        <v>76.357771362326957</v>
      </c>
      <c r="M14" s="139">
        <f t="shared" si="5"/>
        <v>268.8</v>
      </c>
      <c r="N14" s="140">
        <f t="shared" si="4"/>
        <v>0.21370403118803635</v>
      </c>
      <c r="O14">
        <v>4.4800000000000004</v>
      </c>
      <c r="U14" s="137">
        <f t="shared" si="9"/>
        <v>278.26086956521743</v>
      </c>
      <c r="V14" s="137">
        <f t="shared" si="10"/>
        <v>246.24855713736059</v>
      </c>
      <c r="W14" s="137">
        <f t="shared" si="11"/>
        <v>91933.432862639398</v>
      </c>
    </row>
    <row r="15" spans="1:23">
      <c r="D15" t="s">
        <v>195</v>
      </c>
      <c r="E15" s="138" t="str">
        <f>VLOOKUP($D15,mapping!$F:$X,5,0)</f>
        <v>231216 舒洁马蹄莲盒面纸200抽3盒 FSC mix70%</v>
      </c>
      <c r="F15" s="138">
        <f>VLOOKUP($D15,mapping!$F:$X,6,0)</f>
        <v>10</v>
      </c>
      <c r="G15" s="138">
        <f>VLOOKUP($D15,mapping!$F:$X,7,0)</f>
        <v>30</v>
      </c>
      <c r="H15" s="138">
        <f>VLOOKUP($D15,mapping!$F:$X,14,0)</f>
        <v>243.21306999999999</v>
      </c>
      <c r="I15" s="48">
        <f t="shared" si="0"/>
        <v>24.321306999999997</v>
      </c>
      <c r="J15" s="139">
        <f t="shared" si="1"/>
        <v>227.40422045</v>
      </c>
      <c r="K15" s="139">
        <f t="shared" si="2"/>
        <v>248.22989895881099</v>
      </c>
      <c r="L15" s="139">
        <f t="shared" si="3"/>
        <v>41.114683057360054</v>
      </c>
      <c r="M15" s="139">
        <f t="shared" si="5"/>
        <v>207.11521590145094</v>
      </c>
      <c r="N15" s="140">
        <f t="shared" si="4"/>
        <v>0.16000000000000023</v>
      </c>
      <c r="O15">
        <v>6.903840530048365</v>
      </c>
      <c r="U15" s="137">
        <f t="shared" si="9"/>
        <v>214.40498540522873</v>
      </c>
      <c r="V15" s="137">
        <f t="shared" si="10"/>
        <v>189.73892513737059</v>
      </c>
      <c r="W15" s="137">
        <f t="shared" si="11"/>
        <v>53474.1448626294</v>
      </c>
    </row>
    <row r="16" spans="1:23">
      <c r="D16" t="s">
        <v>227</v>
      </c>
      <c r="E16" s="138" t="str">
        <f>VLOOKUP($D16,mapping!$F:$X,5,0)</f>
        <v>270190舒洁小熊印花手帕纸3层10包FSC mix70%</v>
      </c>
      <c r="F16" s="138">
        <f>VLOOKUP($D16,mapping!$F:$X,6,0)</f>
        <v>36</v>
      </c>
      <c r="G16" s="138">
        <f>VLOOKUP($D16,mapping!$F:$X,7,0)</f>
        <v>360</v>
      </c>
      <c r="H16" s="138">
        <f>VLOOKUP($D16,mapping!$F:$X,14,0)</f>
        <v>208.46834000000001</v>
      </c>
      <c r="I16" s="48">
        <f t="shared" si="0"/>
        <v>5.7907872222222228</v>
      </c>
      <c r="J16" s="139">
        <f t="shared" si="1"/>
        <v>194.91789790000001</v>
      </c>
      <c r="K16" s="139">
        <f t="shared" si="2"/>
        <v>212.768478989682</v>
      </c>
      <c r="L16" s="139">
        <f t="shared" si="3"/>
        <v>46.914788845550987</v>
      </c>
      <c r="M16" s="139">
        <f t="shared" si="5"/>
        <v>165.85369014413101</v>
      </c>
      <c r="N16" s="140">
        <f t="shared" si="4"/>
        <v>0.21299999999999994</v>
      </c>
      <c r="O16">
        <v>0.46070469484480836</v>
      </c>
      <c r="U16" s="137">
        <f t="shared" si="9"/>
        <v>171.69119062539443</v>
      </c>
      <c r="V16" s="137">
        <f t="shared" si="10"/>
        <v>151.93910674813668</v>
      </c>
      <c r="W16" s="137">
        <f t="shared" si="11"/>
        <v>56529.233251863334</v>
      </c>
    </row>
    <row r="17" spans="4:23">
      <c r="D17" t="s">
        <v>8</v>
      </c>
      <c r="E17" s="138" t="str">
        <f>VLOOKUP($D17,mapping!$F:$X,5,0)</f>
        <v>269440舒洁湿厕纸家庭装40抽10包装</v>
      </c>
      <c r="F17" s="138">
        <f>VLOOKUP($D17,mapping!$F:$X,6,0)</f>
        <v>4</v>
      </c>
      <c r="G17" s="138">
        <f>VLOOKUP($D17,mapping!$F:$X,7,0)</f>
        <v>40</v>
      </c>
      <c r="H17" s="138">
        <f>VLOOKUP($D17,mapping!$F:$X,14,0)</f>
        <v>330.25036</v>
      </c>
      <c r="I17" s="48">
        <f t="shared" si="0"/>
        <v>82.56259</v>
      </c>
      <c r="J17" s="139">
        <f t="shared" si="1"/>
        <v>308.78408660000002</v>
      </c>
      <c r="K17" s="139">
        <f t="shared" si="2"/>
        <v>337.06253325082798</v>
      </c>
      <c r="L17" s="139">
        <f t="shared" si="3"/>
        <v>157.06253325082798</v>
      </c>
      <c r="M17" s="139">
        <f t="shared" si="5"/>
        <v>180</v>
      </c>
      <c r="N17" s="140">
        <f t="shared" si="4"/>
        <v>0.45013133218041268</v>
      </c>
      <c r="O17" s="47">
        <v>4.5</v>
      </c>
      <c r="U17" s="137">
        <f t="shared" si="9"/>
        <v>186.33540372670808</v>
      </c>
      <c r="V17" s="137">
        <f t="shared" si="10"/>
        <v>164.89858736876823</v>
      </c>
      <c r="W17" s="137">
        <f t="shared" si="11"/>
        <v>165351.77263123175</v>
      </c>
    </row>
    <row r="18" spans="4:23">
      <c r="D18" t="s">
        <v>219</v>
      </c>
      <c r="E18" s="138" t="str">
        <f>VLOOKUP($D18,mapping!$F:$X,5,0)</f>
        <v>229160舒洁绿茶洋甘菊印花清香卷纸10粒</v>
      </c>
      <c r="F18" s="138">
        <f>VLOOKUP($D18,mapping!$F:$X,6,0)</f>
        <v>5</v>
      </c>
      <c r="G18" s="138">
        <f>VLOOKUP($D18,mapping!$F:$X,7,0)</f>
        <v>50</v>
      </c>
      <c r="H18" s="138">
        <f>VLOOKUP($D18,mapping!$F:$X,14,0)</f>
        <v>153.64888999999999</v>
      </c>
      <c r="I18" s="48">
        <f t="shared" si="0"/>
        <v>30.729778</v>
      </c>
      <c r="J18" s="139">
        <f t="shared" si="1"/>
        <v>143.66171215</v>
      </c>
      <c r="K18" s="139">
        <f t="shared" si="2"/>
        <v>156.81825174869698</v>
      </c>
      <c r="L18" s="139">
        <f t="shared" si="3"/>
        <v>47.077943071554984</v>
      </c>
      <c r="M18" s="139">
        <f t="shared" si="5"/>
        <v>109.740308677142</v>
      </c>
      <c r="N18" s="140">
        <f t="shared" si="4"/>
        <v>0.28999999999999992</v>
      </c>
      <c r="O18">
        <v>2.1948061735428399</v>
      </c>
      <c r="U18" s="137">
        <f t="shared" si="9"/>
        <v>113.60280401360455</v>
      </c>
      <c r="V18" s="137">
        <f t="shared" si="10"/>
        <v>100.53345487929607</v>
      </c>
      <c r="W18" s="137">
        <f t="shared" si="11"/>
        <v>53115.435120703922</v>
      </c>
    </row>
    <row r="19" spans="4:23">
      <c r="D19" t="s">
        <v>211</v>
      </c>
      <c r="E19" s="138" t="str">
        <f>VLOOKUP($D19,mapping!$F:$X,5,0)</f>
        <v>221635舒洁卷纸3层纯白10粒（蓝色）</v>
      </c>
      <c r="F19" s="138">
        <f>VLOOKUP($D19,mapping!$F:$X,6,0)</f>
        <v>10</v>
      </c>
      <c r="G19" s="138">
        <f>VLOOKUP($D19,mapping!$F:$X,7,0)</f>
        <v>100</v>
      </c>
      <c r="H19" s="138">
        <f>VLOOKUP($D19,mapping!$F:$X,14,0)</f>
        <v>240.89676</v>
      </c>
      <c r="I19" s="48">
        <f t="shared" si="0"/>
        <v>24.089676000000001</v>
      </c>
      <c r="J19" s="139">
        <f t="shared" si="1"/>
        <v>225.2384706</v>
      </c>
      <c r="K19" s="139">
        <f t="shared" si="2"/>
        <v>245.86580973754795</v>
      </c>
      <c r="L19" s="139">
        <f t="shared" si="3"/>
        <v>48.86773858137596</v>
      </c>
      <c r="M19" s="139">
        <f t="shared" si="5"/>
        <v>196.99807115617199</v>
      </c>
      <c r="N19" s="140">
        <f t="shared" si="4"/>
        <v>0.19199999999999987</v>
      </c>
      <c r="O19">
        <v>1.9699807115617198</v>
      </c>
      <c r="U19" s="137">
        <f t="shared" si="9"/>
        <v>203.93175067926708</v>
      </c>
      <c r="V19" s="137">
        <f t="shared" si="10"/>
        <v>180.47057582236027</v>
      </c>
      <c r="W19" s="137">
        <f t="shared" si="11"/>
        <v>60426.184177639727</v>
      </c>
    </row>
    <row r="20" spans="4:23">
      <c r="D20" t="s">
        <v>77</v>
      </c>
      <c r="E20" s="138" t="str">
        <f>VLOOKUP($D20,mapping!$F:$X,5,0)</f>
        <v>267030舒洁湿厕纸旅行装10包装</v>
      </c>
      <c r="F20" s="138">
        <f>VLOOKUP($D20,mapping!$F:$X,6,0)</f>
        <v>4</v>
      </c>
      <c r="G20" s="138">
        <f>VLOOKUP($D20,mapping!$F:$X,7,0)</f>
        <v>40</v>
      </c>
      <c r="H20" s="138">
        <f>VLOOKUP($D20,mapping!$F:$X,14,0)</f>
        <v>151.33257</v>
      </c>
      <c r="I20" s="48">
        <f t="shared" si="0"/>
        <v>37.833142500000001</v>
      </c>
      <c r="J20" s="139">
        <f t="shared" si="1"/>
        <v>141.49595295</v>
      </c>
      <c r="K20" s="139">
        <f t="shared" si="2"/>
        <v>154.45415232116099</v>
      </c>
      <c r="L20" s="139">
        <f t="shared" si="3"/>
        <v>55.96164939172499</v>
      </c>
      <c r="M20" s="139">
        <f t="shared" si="5"/>
        <v>98.492502929436</v>
      </c>
      <c r="N20" s="140">
        <f t="shared" si="4"/>
        <v>0.35</v>
      </c>
      <c r="O20">
        <v>2.4623125732358999</v>
      </c>
      <c r="U20" s="137">
        <f t="shared" si="9"/>
        <v>101.9591127633913</v>
      </c>
      <c r="V20" s="137">
        <f t="shared" si="10"/>
        <v>90.229303330434789</v>
      </c>
      <c r="W20" s="137">
        <f t="shared" si="11"/>
        <v>61103.266669565215</v>
      </c>
    </row>
    <row r="21" spans="4:23">
      <c r="D21" t="s">
        <v>127</v>
      </c>
      <c r="E21" s="138" t="str">
        <f>VLOOKUP($D21,mapping!$F:$X,5,0)</f>
        <v>215204舒洁鎏金系列乳霜纸巾40抽8包</v>
      </c>
      <c r="F21" s="138">
        <f>VLOOKUP($D21,mapping!$F:$X,6,0)</f>
        <v>4</v>
      </c>
      <c r="G21" s="138">
        <f>VLOOKUP($D21,mapping!$F:$X,7,0)</f>
        <v>32</v>
      </c>
      <c r="H21" s="138">
        <f>VLOOKUP($D21,mapping!$F:$X,14,0)</f>
        <v>105.79</v>
      </c>
      <c r="I21" s="48">
        <f t="shared" si="0"/>
        <v>26.447500000000002</v>
      </c>
      <c r="J21" s="139">
        <f t="shared" si="1"/>
        <v>98.913650000000018</v>
      </c>
      <c r="K21" s="139">
        <f t="shared" si="2"/>
        <v>107.97216206700001</v>
      </c>
      <c r="L21" s="139">
        <f t="shared" si="3"/>
        <v>39.13216206700001</v>
      </c>
      <c r="M21" s="139">
        <f t="shared" si="5"/>
        <v>68.84</v>
      </c>
      <c r="N21" s="140">
        <f t="shared" si="4"/>
        <v>0.35010569236600936</v>
      </c>
      <c r="O21">
        <v>2.1512500000000001</v>
      </c>
      <c r="U21" s="137">
        <f t="shared" si="9"/>
        <v>71.262939958592142</v>
      </c>
      <c r="V21" s="137">
        <f t="shared" si="10"/>
        <v>63.064548635922257</v>
      </c>
      <c r="W21" s="137">
        <f t="shared" si="11"/>
        <v>42725.451364077751</v>
      </c>
    </row>
    <row r="22" spans="4:23">
      <c r="D22" t="s">
        <v>150</v>
      </c>
      <c r="E22" s="138" t="str">
        <f>VLOOKUP($D22,mapping!$F:$X,5,0)</f>
        <v>216208舒洁®北海道牛乳系列乳霜纸面巾20抽8包装</v>
      </c>
      <c r="F22" s="138">
        <f>VLOOKUP($D22,mapping!$F:$X,6,0)</f>
        <v>4</v>
      </c>
      <c r="G22" s="138">
        <f>VLOOKUP($D22,mapping!$F:$X,7,0)</f>
        <v>32</v>
      </c>
      <c r="H22" s="138">
        <f>VLOOKUP($D22,mapping!$F:$X,14,0)</f>
        <v>100.5</v>
      </c>
      <c r="I22" s="48">
        <f t="shared" ref="I22:I25" si="12">H22/F22</f>
        <v>25.125</v>
      </c>
      <c r="J22" s="139">
        <f t="shared" ref="J22:J26" si="13">H22*0.935</f>
        <v>93.967500000000001</v>
      </c>
      <c r="K22" s="139">
        <f t="shared" ref="K22:K26" si="14">J22*1.13*0.966</f>
        <v>102.57304364999999</v>
      </c>
      <c r="L22" s="139">
        <f t="shared" ref="L22:L26" si="15">K22-M22</f>
        <v>31.413043649999992</v>
      </c>
      <c r="M22" s="139">
        <f t="shared" ref="M22:M23" si="16">O22*G22</f>
        <v>71.16</v>
      </c>
      <c r="N22" s="140">
        <f t="shared" ref="N22:N26" si="17">L22/(J22*1.13)</f>
        <v>0.29583796176940291</v>
      </c>
      <c r="O22">
        <v>2.2237499999999999</v>
      </c>
      <c r="U22" s="137">
        <f t="shared" si="9"/>
        <v>73.66459627329192</v>
      </c>
      <c r="V22" s="137">
        <f t="shared" si="10"/>
        <v>65.189908206453026</v>
      </c>
      <c r="W22" s="137">
        <f t="shared" si="11"/>
        <v>35310.091793546977</v>
      </c>
    </row>
    <row r="23" spans="4:23">
      <c r="D23" t="s">
        <v>2</v>
      </c>
      <c r="E23" s="138" t="str">
        <f>VLOOKUP($D23,mapping!$F:$X,5,0)</f>
        <v xml:space="preserve">266200舒洁湿厕纸80片x6包 </v>
      </c>
      <c r="F23" s="138">
        <f>VLOOKUP($D23,mapping!$F:$X,6,0)</f>
        <v>1</v>
      </c>
      <c r="G23" s="138">
        <f>VLOOKUP($D23,mapping!$F:$X,7,0)</f>
        <v>6</v>
      </c>
      <c r="H23" s="138">
        <f>VLOOKUP($D23,mapping!$F:$X,14,0)</f>
        <v>69.44</v>
      </c>
      <c r="I23" s="48">
        <f t="shared" si="12"/>
        <v>69.44</v>
      </c>
      <c r="J23" s="139">
        <f t="shared" si="13"/>
        <v>64.926400000000001</v>
      </c>
      <c r="K23" s="139">
        <f t="shared" si="14"/>
        <v>70.872359711999991</v>
      </c>
      <c r="L23" s="139">
        <f t="shared" si="15"/>
        <v>25.872359711999991</v>
      </c>
      <c r="M23" s="139">
        <f t="shared" si="16"/>
        <v>45</v>
      </c>
      <c r="N23" s="140">
        <f t="shared" si="17"/>
        <v>0.35264381746781698</v>
      </c>
      <c r="O23">
        <v>7.5</v>
      </c>
      <c r="U23" s="137">
        <f t="shared" si="9"/>
        <v>46.58385093167702</v>
      </c>
      <c r="V23" s="137">
        <f t="shared" si="10"/>
        <v>41.224646842192058</v>
      </c>
      <c r="W23" s="137">
        <f t="shared" si="11"/>
        <v>28215.353157807938</v>
      </c>
    </row>
    <row r="24" spans="4:23">
      <c r="D24" t="s">
        <v>608</v>
      </c>
      <c r="E24" s="142" t="s">
        <v>609</v>
      </c>
      <c r="F24" s="142">
        <v>1</v>
      </c>
      <c r="G24" s="142">
        <v>8</v>
      </c>
      <c r="H24" s="142">
        <v>92.6</v>
      </c>
      <c r="I24" s="48">
        <f t="shared" si="12"/>
        <v>92.6</v>
      </c>
      <c r="J24" s="139">
        <f t="shared" si="13"/>
        <v>86.581000000000003</v>
      </c>
      <c r="K24" s="139">
        <f t="shared" si="14"/>
        <v>94.510087979999994</v>
      </c>
      <c r="L24" s="139">
        <f t="shared" si="15"/>
        <v>39.827342529333329</v>
      </c>
      <c r="M24" s="139">
        <f>O24*G24</f>
        <v>54.682745450666665</v>
      </c>
      <c r="N24" s="140">
        <f t="shared" si="17"/>
        <v>0.40708048956083509</v>
      </c>
      <c r="O24">
        <v>6.8353431813333332</v>
      </c>
      <c r="U24" s="137">
        <f t="shared" si="9"/>
        <v>56.607396946859907</v>
      </c>
      <c r="V24" s="137">
        <f t="shared" si="10"/>
        <v>50.095041545893729</v>
      </c>
      <c r="W24" s="137">
        <f t="shared" si="11"/>
        <v>42504.958454106265</v>
      </c>
    </row>
    <row r="25" spans="4:23">
      <c r="D25" t="s">
        <v>559</v>
      </c>
      <c r="E25" s="138" t="str">
        <f>VLOOKUP($D25,mapping!$F:$X,5,0)</f>
        <v xml:space="preserve">269450舒洁湿厕纸家庭装40抽 </v>
      </c>
      <c r="F25" s="138">
        <f>VLOOKUP($D25,mapping!$F:$X,6,0)</f>
        <v>40</v>
      </c>
      <c r="G25" s="138">
        <f>VLOOKUP($D25,mapping!$F:$X,7,0)</f>
        <v>40</v>
      </c>
      <c r="H25" s="138">
        <f>VLOOKUP($D25,mapping!$F:$X,14,0)</f>
        <v>367.52197000000001</v>
      </c>
      <c r="I25" s="48">
        <f t="shared" si="12"/>
        <v>9.1880492500000006</v>
      </c>
      <c r="J25" s="139">
        <f t="shared" si="13"/>
        <v>343.63304195000001</v>
      </c>
      <c r="K25" s="139">
        <f>J25*1.13*0.966</f>
        <v>375.10295593178091</v>
      </c>
      <c r="L25" s="139">
        <f t="shared" si="15"/>
        <v>195.10295593178091</v>
      </c>
      <c r="M25" s="139">
        <f t="shared" ref="M25:M26" si="18">O25*G25</f>
        <v>180</v>
      </c>
      <c r="N25" s="140">
        <f t="shared" si="17"/>
        <v>0.50244726800920447</v>
      </c>
      <c r="O25">
        <v>4.5</v>
      </c>
      <c r="U25" s="137">
        <f t="shared" si="9"/>
        <v>186.33540372670808</v>
      </c>
      <c r="V25" s="137">
        <f t="shared" si="10"/>
        <v>164.89858736876823</v>
      </c>
      <c r="W25" s="137">
        <f t="shared" si="11"/>
        <v>202623.38263123177</v>
      </c>
    </row>
    <row r="26" spans="4:23">
      <c r="D26" t="s">
        <v>567</v>
      </c>
      <c r="E26" s="138" t="str">
        <f>VLOOKUP($D26,mapping!$F:$X,5,0)</f>
        <v>269460舒洁湿厕纸家庭装40抽10包装</v>
      </c>
      <c r="F26" s="138">
        <f>VLOOKUP($D26,mapping!$F:$X,6,0)</f>
        <v>4</v>
      </c>
      <c r="G26" s="138">
        <f>VLOOKUP($D26,mapping!$F:$X,7,0)</f>
        <v>40</v>
      </c>
      <c r="H26" s="138">
        <f>VLOOKUP($D26,mapping!$F:$X,14,0)</f>
        <v>330.25036</v>
      </c>
      <c r="I26" s="48">
        <f>H26/F26</f>
        <v>82.56259</v>
      </c>
      <c r="J26" s="139">
        <f t="shared" si="13"/>
        <v>308.78408660000002</v>
      </c>
      <c r="K26" s="139">
        <f t="shared" si="14"/>
        <v>337.06253325082798</v>
      </c>
      <c r="L26" s="139">
        <f t="shared" si="15"/>
        <v>157.06253325082798</v>
      </c>
      <c r="M26" s="139">
        <f t="shared" si="18"/>
        <v>180</v>
      </c>
      <c r="N26" s="140">
        <f t="shared" si="17"/>
        <v>0.45013133218041268</v>
      </c>
      <c r="O26">
        <v>4.5</v>
      </c>
      <c r="U26" s="137">
        <f t="shared" si="9"/>
        <v>186.33540372670808</v>
      </c>
      <c r="V26" s="137">
        <f t="shared" si="10"/>
        <v>164.89858736876823</v>
      </c>
      <c r="W26" s="137">
        <f t="shared" si="11"/>
        <v>165351.77263123175</v>
      </c>
    </row>
    <row r="27" spans="4:23">
      <c r="D27" t="s">
        <v>227</v>
      </c>
      <c r="E27" t="s">
        <v>289</v>
      </c>
      <c r="F27" s="138">
        <f>VLOOKUP($D27,mapping!$F:$X,6,0)</f>
        <v>36</v>
      </c>
      <c r="G27" s="138">
        <f>VLOOKUP($D27,mapping!$F:$X,7,0)</f>
        <v>360</v>
      </c>
      <c r="H27" s="138">
        <f>VLOOKUP($D27,mapping!$F:$X,14,0)</f>
        <v>208.46834000000001</v>
      </c>
      <c r="I27" s="48">
        <f t="shared" ref="I27:I30" si="19">H27/F27</f>
        <v>5.7907872222222228</v>
      </c>
      <c r="J27" s="139">
        <f>H27*0.935</f>
        <v>194.91789790000001</v>
      </c>
      <c r="K27" s="139">
        <f>J27*1.13*0.966</f>
        <v>212.768478989682</v>
      </c>
      <c r="L27" s="139">
        <f>K27-M27</f>
        <v>68.768478989681995</v>
      </c>
      <c r="M27" s="139">
        <f>O27*G27</f>
        <v>144</v>
      </c>
      <c r="N27" s="140">
        <f>L27/(J27*1.13)</f>
        <v>0.31221894812367523</v>
      </c>
      <c r="O27">
        <v>0.4</v>
      </c>
    </row>
    <row r="28" spans="4:23">
      <c r="D28" t="s">
        <v>47</v>
      </c>
      <c r="E28" t="s">
        <v>50</v>
      </c>
      <c r="F28" s="138">
        <f>VLOOKUP($D28,mapping!$F:$X,6,0)</f>
        <v>24</v>
      </c>
      <c r="G28" s="138">
        <f>VLOOKUP($D28,mapping!$F:$X,7,0)</f>
        <v>24</v>
      </c>
      <c r="H28" s="138">
        <f>VLOOKUP($D28,mapping!$F:$X,14,0)</f>
        <v>326.88</v>
      </c>
      <c r="I28" s="48">
        <f t="shared" si="19"/>
        <v>13.62</v>
      </c>
      <c r="J28" s="139">
        <f t="shared" ref="J28:J30" si="20">H28*0.935</f>
        <v>305.63280000000003</v>
      </c>
      <c r="K28" s="139">
        <f t="shared" ref="K28:K30" si="21">J28*1.13*0.966</f>
        <v>333.622651824</v>
      </c>
      <c r="L28" s="139">
        <f t="shared" ref="L28:L30" si="22">K28-M28</f>
        <v>169.46265182400001</v>
      </c>
      <c r="M28" s="139">
        <f t="shared" ref="M28:M30" si="23">O28*G28</f>
        <v>164.16</v>
      </c>
      <c r="N28" s="140">
        <f t="shared" ref="N28:N30" si="24">L28/(J28*1.13)</f>
        <v>0.49067687930357656</v>
      </c>
      <c r="O28">
        <v>6.84</v>
      </c>
    </row>
    <row r="29" spans="4:23">
      <c r="D29" t="s">
        <v>164</v>
      </c>
      <c r="E29" t="s">
        <v>519</v>
      </c>
      <c r="F29" s="138">
        <f>VLOOKUP($D29,mapping!$F:$X,6,0)</f>
        <v>3</v>
      </c>
      <c r="G29" s="138">
        <f>VLOOKUP($D29,mapping!$F:$X,7,0)</f>
        <v>15</v>
      </c>
      <c r="H29" s="138">
        <f>VLOOKUP($D29,mapping!$F:$X,14,0)</f>
        <v>215.57</v>
      </c>
      <c r="I29" s="48">
        <f t="shared" si="19"/>
        <v>71.856666666666669</v>
      </c>
      <c r="J29" s="139">
        <f t="shared" si="20"/>
        <v>201.55795000000001</v>
      </c>
      <c r="K29" s="139">
        <f>J29*1.13*0.966</f>
        <v>220.01662706099998</v>
      </c>
      <c r="L29" s="139">
        <f t="shared" si="22"/>
        <v>100.01662706099998</v>
      </c>
      <c r="M29" s="139">
        <f>O29*G29</f>
        <v>120</v>
      </c>
      <c r="N29" s="140">
        <f t="shared" si="24"/>
        <v>0.43913072857961327</v>
      </c>
      <c r="O29" s="47">
        <v>8</v>
      </c>
    </row>
    <row r="30" spans="4:23">
      <c r="D30" t="s">
        <v>172</v>
      </c>
      <c r="E30" t="s">
        <v>276</v>
      </c>
      <c r="F30" s="138">
        <f>VLOOKUP($D30,mapping!$F:$X,6,0)</f>
        <v>24</v>
      </c>
      <c r="G30" s="138">
        <f>VLOOKUP($D30,mapping!$F:$X,7,0)</f>
        <v>96</v>
      </c>
      <c r="H30" s="138">
        <f>VLOOKUP($D30,mapping!$F:$X,14,0)</f>
        <v>287.22000000000003</v>
      </c>
      <c r="I30" s="48">
        <f t="shared" si="19"/>
        <v>11.967500000000001</v>
      </c>
      <c r="J30" s="139">
        <f t="shared" si="20"/>
        <v>268.55070000000006</v>
      </c>
      <c r="K30" s="139">
        <f t="shared" si="21"/>
        <v>293.14457310600005</v>
      </c>
      <c r="L30" s="139">
        <f t="shared" si="22"/>
        <v>65.144573106000053</v>
      </c>
      <c r="M30" s="139">
        <f t="shared" si="23"/>
        <v>228</v>
      </c>
      <c r="N30" s="140">
        <f t="shared" si="24"/>
        <v>0.21467106470240166</v>
      </c>
      <c r="O30">
        <v>2.375</v>
      </c>
    </row>
    <row r="33" spans="11:13">
      <c r="K33" s="31"/>
      <c r="M33" s="271">
        <f>M29*600</f>
        <v>72000</v>
      </c>
    </row>
  </sheetData>
  <phoneticPr fontId="2" type="noConversion"/>
  <conditionalFormatting sqref="D12">
    <cfRule type="duplicateValues" dxfId="24" priority="1"/>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C5E8C-0035-436C-95DE-3817549E6B3B}">
  <dimension ref="A1:E68"/>
  <sheetViews>
    <sheetView zoomScale="69" zoomScaleNormal="69" workbookViewId="0">
      <selection activeCell="G27" sqref="G27"/>
    </sheetView>
  </sheetViews>
  <sheetFormatPr defaultRowHeight="14"/>
  <cols>
    <col min="1" max="1" width="22.453125" customWidth="1"/>
    <col min="2" max="2" width="14.36328125" customWidth="1"/>
    <col min="3" max="3" width="48.90625" style="66" customWidth="1"/>
    <col min="4" max="5" width="16.453125" bestFit="1" customWidth="1"/>
  </cols>
  <sheetData>
    <row r="1" spans="1:5">
      <c r="A1" s="65" t="s">
        <v>274</v>
      </c>
      <c r="B1" t="s">
        <v>273</v>
      </c>
    </row>
    <row r="3" spans="1:5">
      <c r="A3" s="65" t="s">
        <v>291</v>
      </c>
      <c r="B3" s="65" t="s">
        <v>29</v>
      </c>
      <c r="C3" s="65" t="s">
        <v>290</v>
      </c>
      <c r="D3" s="67" t="s">
        <v>13</v>
      </c>
      <c r="E3" s="65" t="s">
        <v>16</v>
      </c>
    </row>
    <row r="4" spans="1:5">
      <c r="A4" t="s">
        <v>54</v>
      </c>
      <c r="B4" s="47" t="s">
        <v>47</v>
      </c>
      <c r="C4" s="47" t="s">
        <v>50</v>
      </c>
      <c r="D4" s="70">
        <v>0.44500000000000001</v>
      </c>
      <c r="E4" s="71">
        <v>7.4972999309999997</v>
      </c>
    </row>
    <row r="5" spans="1:5">
      <c r="C5"/>
      <c r="D5" s="68">
        <v>0.3</v>
      </c>
      <c r="E5" s="69">
        <v>9.5838805259999997</v>
      </c>
    </row>
    <row r="6" spans="1:5">
      <c r="C6"/>
      <c r="D6" s="68">
        <v>0.32</v>
      </c>
      <c r="E6" s="69">
        <v>9.2960763059999998</v>
      </c>
    </row>
    <row r="7" spans="1:5">
      <c r="C7"/>
      <c r="D7" s="68">
        <v>0.4</v>
      </c>
      <c r="E7" s="69">
        <v>8.144859426</v>
      </c>
    </row>
    <row r="8" spans="1:5">
      <c r="B8" t="s">
        <v>2</v>
      </c>
      <c r="C8" t="s">
        <v>3</v>
      </c>
      <c r="D8" s="68">
        <v>0.35299999999999998</v>
      </c>
      <c r="E8" s="69">
        <v>7.4956446693333332</v>
      </c>
    </row>
    <row r="9" spans="1:5">
      <c r="B9" s="47" t="s">
        <v>19</v>
      </c>
      <c r="C9" s="47" t="s">
        <v>86</v>
      </c>
      <c r="D9" s="70">
        <v>0.51500000000000001</v>
      </c>
      <c r="E9" s="71">
        <v>4.3781426792244611</v>
      </c>
    </row>
    <row r="10" spans="1:5">
      <c r="C10"/>
      <c r="D10" s="68">
        <v>0.45</v>
      </c>
      <c r="E10" s="69">
        <v>5.0091388525051483</v>
      </c>
    </row>
    <row r="11" spans="1:5">
      <c r="C11"/>
      <c r="D11" s="68">
        <v>0.4</v>
      </c>
      <c r="E11" s="69">
        <v>5.4945205242595225</v>
      </c>
    </row>
    <row r="12" spans="1:5">
      <c r="B12" t="s">
        <v>8</v>
      </c>
      <c r="C12" t="s">
        <v>9</v>
      </c>
      <c r="D12" s="68">
        <v>0.4017</v>
      </c>
      <c r="E12" s="69">
        <v>4.9224737969317349</v>
      </c>
    </row>
    <row r="13" spans="1:5">
      <c r="B13" t="s">
        <v>96</v>
      </c>
      <c r="C13" t="s">
        <v>285</v>
      </c>
      <c r="D13" s="68">
        <v>0.25</v>
      </c>
      <c r="E13" s="69">
        <v>1.4121142933333333</v>
      </c>
    </row>
    <row r="14" spans="1:5">
      <c r="B14" t="s">
        <v>70</v>
      </c>
      <c r="C14" t="s">
        <v>286</v>
      </c>
      <c r="D14" s="68">
        <v>0.15</v>
      </c>
      <c r="E14" s="69">
        <v>12.465176899999998</v>
      </c>
    </row>
    <row r="15" spans="1:5">
      <c r="B15" t="s">
        <v>77</v>
      </c>
      <c r="C15" t="s">
        <v>17</v>
      </c>
      <c r="D15" s="68">
        <v>0.45</v>
      </c>
      <c r="E15" s="69">
        <v>2.06258650615215</v>
      </c>
    </row>
    <row r="16" spans="1:5">
      <c r="B16" t="s">
        <v>104</v>
      </c>
      <c r="C16" t="s">
        <v>107</v>
      </c>
      <c r="D16" s="68">
        <v>0.15</v>
      </c>
      <c r="E16" s="69">
        <v>8.7938769600000004</v>
      </c>
    </row>
    <row r="17" spans="1:5">
      <c r="B17" t="s">
        <v>112</v>
      </c>
      <c r="C17" t="s">
        <v>287</v>
      </c>
      <c r="D17" s="68">
        <v>0.18</v>
      </c>
      <c r="E17" s="69">
        <v>8.6989459424999982</v>
      </c>
    </row>
    <row r="18" spans="1:5">
      <c r="B18" t="s">
        <v>118</v>
      </c>
      <c r="C18" t="s">
        <v>288</v>
      </c>
      <c r="D18" s="68">
        <v>0.3</v>
      </c>
      <c r="E18" s="69">
        <v>4.4929771966703251</v>
      </c>
    </row>
    <row r="19" spans="1:5">
      <c r="A19" t="s">
        <v>134</v>
      </c>
      <c r="B19" t="s">
        <v>172</v>
      </c>
      <c r="C19" t="s">
        <v>276</v>
      </c>
      <c r="D19" s="68">
        <v>0.15</v>
      </c>
      <c r="E19" s="69">
        <v>2.5794294735000007</v>
      </c>
    </row>
    <row r="20" spans="1:5">
      <c r="C20"/>
      <c r="D20" s="68">
        <v>0.05</v>
      </c>
      <c r="E20" s="69">
        <v>2.8955360266250008</v>
      </c>
    </row>
    <row r="21" spans="1:5">
      <c r="B21" t="s">
        <v>187</v>
      </c>
      <c r="C21" t="s">
        <v>190</v>
      </c>
      <c r="D21" s="68">
        <v>0.15</v>
      </c>
      <c r="E21" s="69">
        <v>4.8593640688691995</v>
      </c>
    </row>
    <row r="22" spans="1:5">
      <c r="C22"/>
      <c r="D22" s="68">
        <v>0.08</v>
      </c>
      <c r="E22" s="69">
        <v>5.27622128065945</v>
      </c>
    </row>
    <row r="23" spans="1:5">
      <c r="B23" t="s">
        <v>180</v>
      </c>
      <c r="C23" t="s">
        <v>183</v>
      </c>
      <c r="D23" s="68">
        <v>0.03</v>
      </c>
      <c r="E23" s="69">
        <v>2.9235393481758742</v>
      </c>
    </row>
    <row r="24" spans="1:5">
      <c r="B24" t="s">
        <v>127</v>
      </c>
      <c r="C24" t="s">
        <v>277</v>
      </c>
      <c r="D24" s="68">
        <v>0.3</v>
      </c>
      <c r="E24" s="69">
        <v>2.3262635849062505</v>
      </c>
    </row>
    <row r="25" spans="1:5">
      <c r="B25" t="s">
        <v>136</v>
      </c>
      <c r="C25" t="s">
        <v>278</v>
      </c>
      <c r="D25" s="68">
        <v>0.25</v>
      </c>
      <c r="E25" s="69">
        <v>3.5050694066666668</v>
      </c>
    </row>
    <row r="26" spans="1:5">
      <c r="B26" t="s">
        <v>143</v>
      </c>
      <c r="C26" t="s">
        <v>279</v>
      </c>
      <c r="D26" s="68">
        <v>0.18</v>
      </c>
      <c r="E26" s="69">
        <v>9.9376979899999984</v>
      </c>
    </row>
    <row r="27" spans="1:5">
      <c r="B27" t="s">
        <v>150</v>
      </c>
      <c r="C27" t="s">
        <v>280</v>
      </c>
      <c r="D27" s="68">
        <v>0.246</v>
      </c>
      <c r="E27" s="69">
        <v>2.3891236874999997</v>
      </c>
    </row>
    <row r="28" spans="1:5">
      <c r="B28" t="s">
        <v>157</v>
      </c>
      <c r="C28" t="s">
        <v>281</v>
      </c>
      <c r="D28" s="68">
        <v>0.05</v>
      </c>
      <c r="E28" s="69">
        <v>1.6355816619999999</v>
      </c>
    </row>
    <row r="29" spans="1:5">
      <c r="A29" t="s">
        <v>200</v>
      </c>
      <c r="B29" t="s">
        <v>195</v>
      </c>
      <c r="C29" t="s">
        <v>282</v>
      </c>
      <c r="D29" s="68">
        <v>0.18</v>
      </c>
      <c r="E29" s="69">
        <v>6.7325293506426993</v>
      </c>
    </row>
    <row r="30" spans="1:5">
      <c r="A30" t="s">
        <v>209</v>
      </c>
      <c r="B30" t="s">
        <v>211</v>
      </c>
      <c r="C30" t="s">
        <v>214</v>
      </c>
      <c r="D30" s="68">
        <v>0.15</v>
      </c>
      <c r="E30" s="69">
        <v>2.0768788897084796</v>
      </c>
    </row>
    <row r="31" spans="1:5">
      <c r="C31"/>
      <c r="D31" s="68">
        <v>0.05</v>
      </c>
      <c r="E31" s="69">
        <v>2.3313983614864795</v>
      </c>
    </row>
    <row r="32" spans="1:5">
      <c r="B32" t="s">
        <v>219</v>
      </c>
      <c r="C32" t="s">
        <v>222</v>
      </c>
      <c r="D32" s="68">
        <v>0.15</v>
      </c>
      <c r="E32" s="69">
        <v>2.6493518307854398</v>
      </c>
    </row>
    <row r="33" spans="1:5">
      <c r="A33" t="s">
        <v>225</v>
      </c>
      <c r="B33" t="s">
        <v>227</v>
      </c>
      <c r="C33" t="s">
        <v>289</v>
      </c>
      <c r="D33" s="68">
        <v>0.03</v>
      </c>
      <c r="E33" s="69">
        <v>0.63629864892244437</v>
      </c>
    </row>
    <row r="34" spans="1:5">
      <c r="A34" t="s">
        <v>242</v>
      </c>
      <c r="B34" t="s">
        <v>236</v>
      </c>
      <c r="C34" t="s">
        <v>283</v>
      </c>
      <c r="D34" s="68">
        <v>0.44040000000000001</v>
      </c>
      <c r="E34" s="69">
        <v>11.050921331999998</v>
      </c>
    </row>
    <row r="35" spans="1:5">
      <c r="A35" t="s">
        <v>251</v>
      </c>
      <c r="B35" t="s">
        <v>244</v>
      </c>
      <c r="C35" t="s">
        <v>284</v>
      </c>
      <c r="D35" s="68">
        <v>0.1</v>
      </c>
      <c r="E35" s="69">
        <v>2.786481956653633</v>
      </c>
    </row>
    <row r="36" spans="1:5">
      <c r="A36" s="68" t="s">
        <v>275</v>
      </c>
      <c r="B36" s="68"/>
      <c r="C36" s="68"/>
      <c r="D36" s="68"/>
      <c r="E36" s="68"/>
    </row>
    <row r="37" spans="1:5">
      <c r="C37"/>
    </row>
    <row r="38" spans="1:5">
      <c r="C38"/>
    </row>
    <row r="39" spans="1:5">
      <c r="C39"/>
    </row>
    <row r="40" spans="1:5">
      <c r="C40"/>
    </row>
    <row r="41" spans="1:5">
      <c r="C41"/>
    </row>
    <row r="42" spans="1:5">
      <c r="C42"/>
    </row>
    <row r="43" spans="1:5">
      <c r="C43"/>
    </row>
    <row r="44" spans="1:5">
      <c r="C44"/>
    </row>
    <row r="45" spans="1:5">
      <c r="C45"/>
    </row>
    <row r="46" spans="1:5">
      <c r="C46"/>
    </row>
    <row r="47" spans="1:5">
      <c r="C47"/>
    </row>
    <row r="48" spans="1:5">
      <c r="C48"/>
    </row>
    <row r="49" spans="3:3">
      <c r="C49"/>
    </row>
    <row r="50" spans="3:3">
      <c r="C50"/>
    </row>
    <row r="51" spans="3:3">
      <c r="C51"/>
    </row>
    <row r="52" spans="3:3">
      <c r="C52"/>
    </row>
    <row r="53" spans="3:3">
      <c r="C53"/>
    </row>
    <row r="54" spans="3:3">
      <c r="C54"/>
    </row>
    <row r="55" spans="3:3">
      <c r="C55"/>
    </row>
    <row r="56" spans="3:3">
      <c r="C56"/>
    </row>
    <row r="57" spans="3:3">
      <c r="C57"/>
    </row>
    <row r="58" spans="3:3">
      <c r="C58"/>
    </row>
    <row r="59" spans="3:3">
      <c r="C59"/>
    </row>
    <row r="60" spans="3:3">
      <c r="C60"/>
    </row>
    <row r="61" spans="3:3">
      <c r="C61"/>
    </row>
    <row r="62" spans="3:3">
      <c r="C62"/>
    </row>
    <row r="63" spans="3:3">
      <c r="C63"/>
    </row>
    <row r="64" spans="3:3">
      <c r="C64"/>
    </row>
    <row r="65" spans="3:3">
      <c r="C65"/>
    </row>
    <row r="66" spans="3:3">
      <c r="C66"/>
    </row>
    <row r="67" spans="3:3">
      <c r="C67"/>
    </row>
    <row r="68" spans="3:3">
      <c r="C68"/>
    </row>
  </sheetData>
  <phoneticPr fontId="2" type="noConversion"/>
  <conditionalFormatting sqref="A1:A1048576">
    <cfRule type="duplicateValues" dxfId="23" priority="1"/>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2B5F2-98A9-4034-9890-AD9EC8748857}">
  <dimension ref="A1:X35"/>
  <sheetViews>
    <sheetView zoomScale="54" zoomScaleNormal="54" workbookViewId="0">
      <selection activeCell="F30" sqref="F30"/>
    </sheetView>
  </sheetViews>
  <sheetFormatPr defaultRowHeight="14" outlineLevelCol="1"/>
  <cols>
    <col min="2" max="2" width="10.453125" customWidth="1"/>
    <col min="4" max="5" width="11.26953125" customWidth="1"/>
    <col min="6" max="6" width="12.26953125" bestFit="1" customWidth="1"/>
    <col min="7" max="7" width="9" customWidth="1" outlineLevel="1"/>
    <col min="8" max="8" width="16.453125" customWidth="1"/>
    <col min="9" max="9" width="11.36328125" customWidth="1"/>
    <col min="10" max="10" width="47.453125" customWidth="1"/>
    <col min="11" max="12" width="6.36328125" style="4" customWidth="1"/>
    <col min="13" max="13" width="8.6328125" style="4" customWidth="1"/>
    <col min="14" max="14" width="8.6328125" style="4" customWidth="1" outlineLevel="1"/>
    <col min="15" max="15" width="10.1796875" style="4" customWidth="1"/>
    <col min="16" max="18" width="14.453125" style="4" hidden="1" customWidth="1" outlineLevel="1"/>
    <col min="19" max="19" width="10.08984375" customWidth="1" collapsed="1"/>
    <col min="20" max="20" width="10.08984375" customWidth="1"/>
    <col min="21" max="21" width="11.36328125" customWidth="1"/>
    <col min="23" max="23" width="13.36328125" customWidth="1"/>
    <col min="24" max="24" width="11.36328125" customWidth="1"/>
  </cols>
  <sheetData>
    <row r="1" spans="2:24">
      <c r="K1" s="4" t="s">
        <v>23</v>
      </c>
      <c r="S1" t="s">
        <v>24</v>
      </c>
    </row>
    <row r="2" spans="2:24" ht="49.5" customHeight="1">
      <c r="B2" s="7" t="s">
        <v>25</v>
      </c>
      <c r="C2" s="7" t="s">
        <v>26</v>
      </c>
      <c r="D2" s="7" t="s">
        <v>27</v>
      </c>
      <c r="E2" s="8" t="s">
        <v>28</v>
      </c>
      <c r="F2" s="9" t="s">
        <v>29</v>
      </c>
      <c r="G2" s="9" t="s">
        <v>30</v>
      </c>
      <c r="H2" s="9" t="s">
        <v>31</v>
      </c>
      <c r="I2" s="10" t="s">
        <v>32</v>
      </c>
      <c r="J2" s="9" t="s">
        <v>33</v>
      </c>
      <c r="K2" s="10" t="s">
        <v>34</v>
      </c>
      <c r="L2" s="10" t="s">
        <v>253</v>
      </c>
      <c r="M2" s="10" t="s">
        <v>35</v>
      </c>
      <c r="N2" s="10" t="s">
        <v>36</v>
      </c>
      <c r="O2" s="10" t="s">
        <v>37</v>
      </c>
      <c r="P2" s="10" t="s">
        <v>38</v>
      </c>
      <c r="Q2" s="10" t="s">
        <v>39</v>
      </c>
      <c r="R2" s="10" t="s">
        <v>40</v>
      </c>
      <c r="S2" s="11" t="s">
        <v>41</v>
      </c>
      <c r="T2" s="11" t="s">
        <v>42</v>
      </c>
      <c r="U2" s="7" t="s">
        <v>25</v>
      </c>
      <c r="V2" s="9" t="s">
        <v>29</v>
      </c>
      <c r="W2" t="s">
        <v>43</v>
      </c>
      <c r="X2" s="7" t="s">
        <v>25</v>
      </c>
    </row>
    <row r="3" spans="2:24" s="12" customFormat="1">
      <c r="B3" s="12" t="s">
        <v>44</v>
      </c>
      <c r="C3" s="13">
        <v>1</v>
      </c>
      <c r="D3" s="12" t="s">
        <v>45</v>
      </c>
      <c r="E3" s="12" t="s">
        <v>46</v>
      </c>
      <c r="F3" s="12" t="s">
        <v>47</v>
      </c>
      <c r="G3" s="14">
        <v>266000</v>
      </c>
      <c r="H3" s="14" t="s">
        <v>48</v>
      </c>
      <c r="I3" s="15" t="s">
        <v>49</v>
      </c>
      <c r="J3" s="12" t="s">
        <v>50</v>
      </c>
      <c r="K3" s="14">
        <v>24</v>
      </c>
      <c r="L3" s="14">
        <v>24</v>
      </c>
      <c r="M3" s="14" t="s">
        <v>51</v>
      </c>
      <c r="N3" s="14">
        <v>80</v>
      </c>
      <c r="O3" s="14">
        <f>K3*N3</f>
        <v>1920</v>
      </c>
      <c r="P3" s="14" t="s">
        <v>52</v>
      </c>
      <c r="Q3" s="14">
        <v>2.9000000000000001E-2</v>
      </c>
      <c r="R3" s="14" t="s">
        <v>53</v>
      </c>
      <c r="S3" s="16">
        <v>326.88</v>
      </c>
      <c r="T3" s="16">
        <f>S3/K3</f>
        <v>13.62</v>
      </c>
      <c r="U3" s="12" t="s">
        <v>44</v>
      </c>
      <c r="V3" s="12" t="s">
        <v>47</v>
      </c>
      <c r="W3" s="12" t="s">
        <v>54</v>
      </c>
      <c r="X3" s="12" t="s">
        <v>44</v>
      </c>
    </row>
    <row r="4" spans="2:24" s="12" customFormat="1">
      <c r="B4" s="12" t="s">
        <v>44</v>
      </c>
      <c r="C4" s="13">
        <v>2</v>
      </c>
      <c r="D4" s="12" t="s">
        <v>55</v>
      </c>
      <c r="E4" s="12" t="s">
        <v>56</v>
      </c>
      <c r="F4" s="12" t="s">
        <v>57</v>
      </c>
      <c r="G4" s="14">
        <v>266100</v>
      </c>
      <c r="H4" s="14" t="s">
        <v>58</v>
      </c>
      <c r="I4" s="15" t="s">
        <v>59</v>
      </c>
      <c r="J4" s="12" t="s">
        <v>60</v>
      </c>
      <c r="K4" s="14">
        <v>8</v>
      </c>
      <c r="L4" s="14">
        <v>24</v>
      </c>
      <c r="M4" s="14" t="s">
        <v>61</v>
      </c>
      <c r="N4" s="14">
        <v>240</v>
      </c>
      <c r="O4" s="14">
        <f t="shared" ref="O4:O29" si="0">K4*N4</f>
        <v>1920</v>
      </c>
      <c r="P4" s="14" t="s">
        <v>62</v>
      </c>
      <c r="Q4" s="14">
        <v>0.03</v>
      </c>
      <c r="R4" s="14" t="s">
        <v>53</v>
      </c>
      <c r="S4" s="16">
        <v>310.48</v>
      </c>
      <c r="T4" s="16">
        <f t="shared" ref="T4:T29" si="1">S4/K4</f>
        <v>38.81</v>
      </c>
      <c r="U4" s="12" t="s">
        <v>44</v>
      </c>
      <c r="V4" s="12" t="s">
        <v>57</v>
      </c>
      <c r="W4" s="12" t="s">
        <v>54</v>
      </c>
      <c r="X4" s="12" t="s">
        <v>44</v>
      </c>
    </row>
    <row r="5" spans="2:24" s="17" customFormat="1">
      <c r="B5" s="17" t="s">
        <v>44</v>
      </c>
      <c r="C5" s="18">
        <v>3</v>
      </c>
      <c r="D5" s="17" t="s">
        <v>55</v>
      </c>
      <c r="E5" s="17" t="s">
        <v>63</v>
      </c>
      <c r="F5" s="17" t="s">
        <v>2</v>
      </c>
      <c r="G5" s="19">
        <v>266200</v>
      </c>
      <c r="H5" s="19" t="s">
        <v>64</v>
      </c>
      <c r="I5" s="20" t="s">
        <v>65</v>
      </c>
      <c r="J5" s="17" t="s">
        <v>66</v>
      </c>
      <c r="K5" s="19">
        <v>1</v>
      </c>
      <c r="L5" s="19">
        <v>6</v>
      </c>
      <c r="M5" s="19" t="s">
        <v>67</v>
      </c>
      <c r="N5" s="19">
        <v>480</v>
      </c>
      <c r="O5" s="19">
        <f t="shared" si="0"/>
        <v>480</v>
      </c>
      <c r="P5" s="19" t="s">
        <v>68</v>
      </c>
      <c r="Q5" s="19">
        <v>8.0000000000000002E-3</v>
      </c>
      <c r="R5" s="19" t="s">
        <v>53</v>
      </c>
      <c r="S5" s="21">
        <v>69.44</v>
      </c>
      <c r="T5" s="21">
        <f t="shared" si="1"/>
        <v>69.44</v>
      </c>
      <c r="U5" s="17" t="s">
        <v>44</v>
      </c>
      <c r="V5" s="17" t="s">
        <v>2</v>
      </c>
      <c r="W5" s="17" t="s">
        <v>54</v>
      </c>
      <c r="X5" s="17" t="s">
        <v>44</v>
      </c>
    </row>
    <row r="6" spans="2:24">
      <c r="B6" t="s">
        <v>44</v>
      </c>
      <c r="C6" s="2">
        <v>4</v>
      </c>
      <c r="D6" t="s">
        <v>55</v>
      </c>
      <c r="E6" t="s">
        <v>69</v>
      </c>
      <c r="F6" t="s">
        <v>70</v>
      </c>
      <c r="G6" s="4">
        <v>266600</v>
      </c>
      <c r="H6" s="4" t="s">
        <v>71</v>
      </c>
      <c r="I6" s="22" t="s">
        <v>72</v>
      </c>
      <c r="J6" t="s">
        <v>73</v>
      </c>
      <c r="K6" s="4">
        <v>1</v>
      </c>
      <c r="L6" s="4">
        <v>6</v>
      </c>
      <c r="M6" s="4" t="s">
        <v>74</v>
      </c>
      <c r="N6" s="4">
        <v>600</v>
      </c>
      <c r="O6" s="4">
        <f t="shared" si="0"/>
        <v>600</v>
      </c>
      <c r="P6" s="4" t="s">
        <v>75</v>
      </c>
      <c r="Q6" s="4">
        <v>1.0999999999999999E-2</v>
      </c>
      <c r="R6" s="4" t="s">
        <v>53</v>
      </c>
      <c r="S6" s="23">
        <v>86.75</v>
      </c>
      <c r="T6" s="23">
        <f t="shared" si="1"/>
        <v>86.75</v>
      </c>
      <c r="U6" t="s">
        <v>44</v>
      </c>
      <c r="V6" t="s">
        <v>70</v>
      </c>
      <c r="W6" t="s">
        <v>54</v>
      </c>
      <c r="X6" t="s">
        <v>44</v>
      </c>
    </row>
    <row r="7" spans="2:24">
      <c r="B7" t="s">
        <v>44</v>
      </c>
      <c r="C7" s="2">
        <v>5</v>
      </c>
      <c r="D7" t="s">
        <v>55</v>
      </c>
      <c r="E7" t="s">
        <v>76</v>
      </c>
      <c r="F7" t="s">
        <v>77</v>
      </c>
      <c r="G7" s="4">
        <v>267030</v>
      </c>
      <c r="H7" s="4" t="s">
        <v>78</v>
      </c>
      <c r="I7" s="22" t="s">
        <v>79</v>
      </c>
      <c r="J7" t="s">
        <v>80</v>
      </c>
      <c r="K7" s="4">
        <v>4</v>
      </c>
      <c r="L7" s="4">
        <v>40</v>
      </c>
      <c r="M7" s="4" t="s">
        <v>81</v>
      </c>
      <c r="N7" s="4">
        <v>100</v>
      </c>
      <c r="O7" s="4">
        <f t="shared" si="0"/>
        <v>400</v>
      </c>
      <c r="P7" s="4" t="s">
        <v>82</v>
      </c>
      <c r="Q7" s="4">
        <v>8.0000000000000002E-3</v>
      </c>
      <c r="R7" s="4" t="s">
        <v>53</v>
      </c>
      <c r="S7" s="23">
        <v>151.33257</v>
      </c>
      <c r="T7" s="23">
        <f>S7/K7</f>
        <v>37.833142500000001</v>
      </c>
      <c r="U7" t="s">
        <v>44</v>
      </c>
      <c r="V7" t="s">
        <v>77</v>
      </c>
      <c r="W7" t="s">
        <v>54</v>
      </c>
      <c r="X7" t="s">
        <v>44</v>
      </c>
    </row>
    <row r="8" spans="2:24" s="17" customFormat="1">
      <c r="B8" s="17" t="s">
        <v>44</v>
      </c>
      <c r="C8" s="18">
        <v>6</v>
      </c>
      <c r="D8" s="17" t="s">
        <v>55</v>
      </c>
      <c r="E8" s="17" t="s">
        <v>83</v>
      </c>
      <c r="F8" s="17" t="s">
        <v>19</v>
      </c>
      <c r="G8" s="19">
        <v>269430</v>
      </c>
      <c r="H8" s="19" t="s">
        <v>84</v>
      </c>
      <c r="I8" s="20" t="s">
        <v>85</v>
      </c>
      <c r="J8" s="17" t="s">
        <v>86</v>
      </c>
      <c r="K8" s="19">
        <v>40</v>
      </c>
      <c r="L8" s="19">
        <v>40</v>
      </c>
      <c r="M8" s="19" t="s">
        <v>87</v>
      </c>
      <c r="N8" s="19">
        <v>40</v>
      </c>
      <c r="O8" s="19">
        <f t="shared" si="0"/>
        <v>1600</v>
      </c>
      <c r="P8" s="19" t="s">
        <v>88</v>
      </c>
      <c r="Q8" s="19">
        <v>2.5999999999999999E-2</v>
      </c>
      <c r="R8" s="19" t="s">
        <v>53</v>
      </c>
      <c r="S8" s="21">
        <v>367.52197000000001</v>
      </c>
      <c r="T8" s="21">
        <f>S8/K8</f>
        <v>9.1880492500000006</v>
      </c>
      <c r="U8" s="17" t="s">
        <v>44</v>
      </c>
      <c r="V8" s="17" t="s">
        <v>19</v>
      </c>
      <c r="W8" s="17" t="s">
        <v>54</v>
      </c>
      <c r="X8" s="17" t="s">
        <v>44</v>
      </c>
    </row>
    <row r="9" spans="2:24" s="12" customFormat="1">
      <c r="B9" s="12" t="s">
        <v>44</v>
      </c>
      <c r="C9" s="13">
        <v>7</v>
      </c>
      <c r="D9" s="12" t="s">
        <v>55</v>
      </c>
      <c r="E9" s="12" t="s">
        <v>89</v>
      </c>
      <c r="F9" s="12" t="s">
        <v>8</v>
      </c>
      <c r="G9" s="14">
        <v>269440</v>
      </c>
      <c r="H9" s="14" t="s">
        <v>90</v>
      </c>
      <c r="I9" s="15" t="s">
        <v>91</v>
      </c>
      <c r="J9" s="12" t="s">
        <v>92</v>
      </c>
      <c r="K9" s="14">
        <v>4</v>
      </c>
      <c r="L9" s="14">
        <v>40</v>
      </c>
      <c r="M9" s="14" t="s">
        <v>93</v>
      </c>
      <c r="N9" s="14">
        <v>400</v>
      </c>
      <c r="O9" s="14">
        <f t="shared" si="0"/>
        <v>1600</v>
      </c>
      <c r="P9" s="14" t="s">
        <v>88</v>
      </c>
      <c r="Q9" s="14">
        <v>2.5999999999999999E-2</v>
      </c>
      <c r="R9" s="14" t="s">
        <v>53</v>
      </c>
      <c r="S9" s="16">
        <v>330.25036</v>
      </c>
      <c r="T9" s="16">
        <f>S9/K9</f>
        <v>82.56259</v>
      </c>
      <c r="U9" s="12" t="s">
        <v>44</v>
      </c>
      <c r="V9" s="12" t="s">
        <v>8</v>
      </c>
      <c r="W9" s="12" t="s">
        <v>54</v>
      </c>
      <c r="X9" s="12" t="s">
        <v>44</v>
      </c>
    </row>
    <row r="10" spans="2:24">
      <c r="B10" t="s">
        <v>44</v>
      </c>
      <c r="C10" s="2">
        <v>8</v>
      </c>
      <c r="D10" t="s">
        <v>94</v>
      </c>
      <c r="E10" t="s">
        <v>95</v>
      </c>
      <c r="F10" t="s">
        <v>96</v>
      </c>
      <c r="G10" s="4">
        <v>265500</v>
      </c>
      <c r="H10" s="4" t="s">
        <v>97</v>
      </c>
      <c r="I10" s="22" t="s">
        <v>98</v>
      </c>
      <c r="J10" t="s">
        <v>99</v>
      </c>
      <c r="K10" s="4">
        <v>16</v>
      </c>
      <c r="L10" s="4">
        <f>K10*6</f>
        <v>96</v>
      </c>
      <c r="M10" s="4" t="s">
        <v>100</v>
      </c>
      <c r="N10" s="4">
        <v>42</v>
      </c>
      <c r="O10" s="4">
        <f t="shared" si="0"/>
        <v>672</v>
      </c>
      <c r="P10" s="4" t="s">
        <v>101</v>
      </c>
      <c r="Q10" s="4">
        <v>1.2E-2</v>
      </c>
      <c r="R10" s="4" t="s">
        <v>102</v>
      </c>
      <c r="S10" s="23">
        <v>179.2</v>
      </c>
      <c r="T10" s="23">
        <f t="shared" si="1"/>
        <v>11.2</v>
      </c>
      <c r="U10" t="s">
        <v>44</v>
      </c>
      <c r="V10" t="s">
        <v>96</v>
      </c>
      <c r="W10" t="s">
        <v>54</v>
      </c>
      <c r="X10" t="s">
        <v>44</v>
      </c>
    </row>
    <row r="11" spans="2:24">
      <c r="B11" t="s">
        <v>44</v>
      </c>
      <c r="C11" s="2">
        <v>9</v>
      </c>
      <c r="D11" t="s">
        <v>55</v>
      </c>
      <c r="E11" t="s">
        <v>103</v>
      </c>
      <c r="F11" t="s">
        <v>104</v>
      </c>
      <c r="G11" s="4">
        <v>267300</v>
      </c>
      <c r="H11" s="4" t="s">
        <v>105</v>
      </c>
      <c r="I11" s="22" t="s">
        <v>106</v>
      </c>
      <c r="J11" t="s">
        <v>107</v>
      </c>
      <c r="K11" s="4">
        <v>24</v>
      </c>
      <c r="L11" s="4">
        <v>24</v>
      </c>
      <c r="M11" s="4" t="s">
        <v>108</v>
      </c>
      <c r="N11" s="4">
        <v>60</v>
      </c>
      <c r="O11" s="4">
        <f t="shared" si="0"/>
        <v>1440</v>
      </c>
      <c r="P11" s="4" t="s">
        <v>109</v>
      </c>
      <c r="Q11" s="4">
        <v>2.5999999999999999E-2</v>
      </c>
      <c r="R11" s="4" t="s">
        <v>110</v>
      </c>
      <c r="S11" s="23">
        <v>244.8</v>
      </c>
      <c r="T11" s="23">
        <f t="shared" si="1"/>
        <v>10.200000000000001</v>
      </c>
      <c r="U11" t="s">
        <v>44</v>
      </c>
      <c r="V11" t="s">
        <v>104</v>
      </c>
      <c r="W11" t="s">
        <v>54</v>
      </c>
      <c r="X11" t="s">
        <v>44</v>
      </c>
    </row>
    <row r="12" spans="2:24">
      <c r="B12" t="s">
        <v>44</v>
      </c>
      <c r="C12" s="2">
        <v>10</v>
      </c>
      <c r="D12" t="s">
        <v>55</v>
      </c>
      <c r="E12" t="s">
        <v>111</v>
      </c>
      <c r="F12" t="s">
        <v>112</v>
      </c>
      <c r="G12" s="4">
        <v>267400</v>
      </c>
      <c r="H12" s="4" t="s">
        <v>105</v>
      </c>
      <c r="I12" s="22" t="s">
        <v>113</v>
      </c>
      <c r="J12" t="s">
        <v>114</v>
      </c>
      <c r="K12" s="4">
        <v>1</v>
      </c>
      <c r="L12" s="4">
        <v>4</v>
      </c>
      <c r="M12" s="4" t="s">
        <v>115</v>
      </c>
      <c r="N12" s="4">
        <v>240</v>
      </c>
      <c r="O12" s="4">
        <f t="shared" si="0"/>
        <v>240</v>
      </c>
      <c r="P12" s="4" t="s">
        <v>116</v>
      </c>
      <c r="Q12" s="4">
        <v>5.0000000000000001E-3</v>
      </c>
      <c r="R12" s="4" t="s">
        <v>110</v>
      </c>
      <c r="S12" s="23">
        <v>41.9</v>
      </c>
      <c r="T12" s="23">
        <f t="shared" si="1"/>
        <v>41.9</v>
      </c>
      <c r="U12" t="s">
        <v>44</v>
      </c>
      <c r="V12" t="s">
        <v>112</v>
      </c>
      <c r="W12" t="s">
        <v>54</v>
      </c>
      <c r="X12" t="s">
        <v>44</v>
      </c>
    </row>
    <row r="13" spans="2:24">
      <c r="B13" t="s">
        <v>44</v>
      </c>
      <c r="C13" s="2">
        <v>11</v>
      </c>
      <c r="D13" t="s">
        <v>55</v>
      </c>
      <c r="E13" t="s">
        <v>117</v>
      </c>
      <c r="F13" t="s">
        <v>118</v>
      </c>
      <c r="G13" s="4">
        <v>268220</v>
      </c>
      <c r="H13" s="4" t="s">
        <v>119</v>
      </c>
      <c r="I13" s="22" t="s">
        <v>120</v>
      </c>
      <c r="J13" t="s">
        <v>121</v>
      </c>
      <c r="K13" s="4">
        <v>4</v>
      </c>
      <c r="L13" s="4">
        <v>40</v>
      </c>
      <c r="M13" s="4" t="s">
        <v>122</v>
      </c>
      <c r="N13" s="4">
        <v>240</v>
      </c>
      <c r="O13" s="4">
        <f t="shared" si="0"/>
        <v>960</v>
      </c>
      <c r="P13" s="4" t="s">
        <v>123</v>
      </c>
      <c r="Q13" s="4">
        <v>1.9E-2</v>
      </c>
      <c r="R13" s="4" t="s">
        <v>53</v>
      </c>
      <c r="S13" s="23">
        <v>255.40530999999999</v>
      </c>
      <c r="T13" s="23">
        <f t="shared" si="1"/>
        <v>63.851327499999996</v>
      </c>
      <c r="U13" t="s">
        <v>44</v>
      </c>
      <c r="V13" t="s">
        <v>118</v>
      </c>
      <c r="W13" t="s">
        <v>54</v>
      </c>
      <c r="X13" t="s">
        <v>44</v>
      </c>
    </row>
    <row r="14" spans="2:24">
      <c r="B14" t="s">
        <v>124</v>
      </c>
      <c r="C14" s="2">
        <v>12</v>
      </c>
      <c r="D14" t="s">
        <v>125</v>
      </c>
      <c r="E14" t="s">
        <v>126</v>
      </c>
      <c r="F14" t="s">
        <v>127</v>
      </c>
      <c r="G14" s="4">
        <v>215204</v>
      </c>
      <c r="H14" s="4" t="s">
        <v>128</v>
      </c>
      <c r="I14" s="24" t="s">
        <v>129</v>
      </c>
      <c r="J14" t="s">
        <v>130</v>
      </c>
      <c r="K14" s="4">
        <v>4</v>
      </c>
      <c r="L14" s="4">
        <v>32</v>
      </c>
      <c r="M14" s="4" t="s">
        <v>131</v>
      </c>
      <c r="N14" s="4">
        <v>320</v>
      </c>
      <c r="O14" s="4">
        <f t="shared" si="0"/>
        <v>1280</v>
      </c>
      <c r="P14" s="4" t="s">
        <v>132</v>
      </c>
      <c r="Q14" s="4">
        <v>1.2E-2</v>
      </c>
      <c r="R14" s="4" t="s">
        <v>133</v>
      </c>
      <c r="S14" s="23">
        <v>105.79</v>
      </c>
      <c r="T14" s="23">
        <f t="shared" si="1"/>
        <v>26.447500000000002</v>
      </c>
      <c r="U14" t="s">
        <v>124</v>
      </c>
      <c r="V14" t="s">
        <v>127</v>
      </c>
      <c r="W14" t="s">
        <v>134</v>
      </c>
      <c r="X14" t="s">
        <v>124</v>
      </c>
    </row>
    <row r="15" spans="2:24">
      <c r="B15" t="s">
        <v>124</v>
      </c>
      <c r="C15" s="2">
        <v>13</v>
      </c>
      <c r="D15" t="s">
        <v>125</v>
      </c>
      <c r="E15" t="s">
        <v>135</v>
      </c>
      <c r="F15" t="s">
        <v>136</v>
      </c>
      <c r="G15" s="4">
        <v>215503</v>
      </c>
      <c r="H15" s="4" t="s">
        <v>137</v>
      </c>
      <c r="I15" s="24" t="s">
        <v>138</v>
      </c>
      <c r="J15" t="s">
        <v>139</v>
      </c>
      <c r="K15" s="4">
        <v>16</v>
      </c>
      <c r="L15" s="4">
        <f>16*3</f>
        <v>48</v>
      </c>
      <c r="M15" s="4" t="s">
        <v>140</v>
      </c>
      <c r="N15" s="4">
        <v>120</v>
      </c>
      <c r="O15" s="4">
        <f t="shared" si="0"/>
        <v>1920</v>
      </c>
      <c r="P15" s="4" t="s">
        <v>141</v>
      </c>
      <c r="Q15" s="4">
        <v>0.02</v>
      </c>
      <c r="R15" s="4" t="s">
        <v>133</v>
      </c>
      <c r="S15" s="23">
        <v>222.4</v>
      </c>
      <c r="T15" s="23">
        <f t="shared" si="1"/>
        <v>13.9</v>
      </c>
      <c r="U15" t="s">
        <v>124</v>
      </c>
      <c r="V15" t="s">
        <v>136</v>
      </c>
      <c r="W15" t="s">
        <v>134</v>
      </c>
      <c r="X15" t="s">
        <v>124</v>
      </c>
    </row>
    <row r="16" spans="2:24" s="12" customFormat="1">
      <c r="B16" s="12" t="s">
        <v>124</v>
      </c>
      <c r="C16" s="13">
        <v>14</v>
      </c>
      <c r="D16" t="s">
        <v>125</v>
      </c>
      <c r="E16" s="12" t="s">
        <v>142</v>
      </c>
      <c r="F16" s="12" t="s">
        <v>143</v>
      </c>
      <c r="G16" s="14">
        <v>215610</v>
      </c>
      <c r="H16" s="14" t="s">
        <v>144</v>
      </c>
      <c r="I16" s="25" t="s">
        <v>145</v>
      </c>
      <c r="J16" s="12" t="s">
        <v>146</v>
      </c>
      <c r="K16" s="14">
        <v>6</v>
      </c>
      <c r="L16" s="14">
        <v>18</v>
      </c>
      <c r="M16" s="14" t="s">
        <v>147</v>
      </c>
      <c r="N16" s="14">
        <v>300</v>
      </c>
      <c r="O16" s="14">
        <f t="shared" si="0"/>
        <v>1800</v>
      </c>
      <c r="P16" s="14" t="s">
        <v>148</v>
      </c>
      <c r="Q16" s="14">
        <v>2.1000000000000001E-2</v>
      </c>
      <c r="R16" s="14" t="s">
        <v>133</v>
      </c>
      <c r="S16" s="16">
        <v>215.4</v>
      </c>
      <c r="T16" s="16">
        <f t="shared" si="1"/>
        <v>35.9</v>
      </c>
      <c r="U16" s="12" t="s">
        <v>124</v>
      </c>
      <c r="V16" s="12" t="s">
        <v>143</v>
      </c>
      <c r="W16" t="s">
        <v>134</v>
      </c>
      <c r="X16" s="12" t="s">
        <v>124</v>
      </c>
    </row>
    <row r="17" spans="1:24" s="26" customFormat="1">
      <c r="B17" s="26" t="s">
        <v>124</v>
      </c>
      <c r="C17" s="27">
        <v>15</v>
      </c>
      <c r="D17" t="s">
        <v>125</v>
      </c>
      <c r="E17" s="26" t="s">
        <v>149</v>
      </c>
      <c r="F17" s="26" t="s">
        <v>150</v>
      </c>
      <c r="G17" s="28">
        <v>216208</v>
      </c>
      <c r="H17" s="28" t="s">
        <v>151</v>
      </c>
      <c r="I17" s="29" t="s">
        <v>152</v>
      </c>
      <c r="J17" s="26" t="s">
        <v>153</v>
      </c>
      <c r="K17" s="28">
        <v>4</v>
      </c>
      <c r="L17" s="28">
        <v>32</v>
      </c>
      <c r="M17" s="28" t="s">
        <v>154</v>
      </c>
      <c r="N17" s="28">
        <v>160</v>
      </c>
      <c r="O17" s="28">
        <f t="shared" si="0"/>
        <v>640</v>
      </c>
      <c r="P17" s="28" t="s">
        <v>155</v>
      </c>
      <c r="Q17" s="28">
        <v>1.0999999999999999E-2</v>
      </c>
      <c r="R17" s="28" t="s">
        <v>133</v>
      </c>
      <c r="S17" s="30">
        <v>100.5</v>
      </c>
      <c r="T17" s="30">
        <f t="shared" si="1"/>
        <v>25.125</v>
      </c>
      <c r="U17" s="26" t="s">
        <v>124</v>
      </c>
      <c r="V17" s="26" t="s">
        <v>150</v>
      </c>
      <c r="W17" t="s">
        <v>134</v>
      </c>
      <c r="X17" s="26" t="s">
        <v>124</v>
      </c>
    </row>
    <row r="18" spans="1:24">
      <c r="B18" t="s">
        <v>124</v>
      </c>
      <c r="C18" s="2">
        <v>16</v>
      </c>
      <c r="D18" t="s">
        <v>125</v>
      </c>
      <c r="E18" t="s">
        <v>156</v>
      </c>
      <c r="F18" t="s">
        <v>157</v>
      </c>
      <c r="G18" s="4">
        <v>216710</v>
      </c>
      <c r="H18" s="4" t="s">
        <v>158</v>
      </c>
      <c r="I18" s="24" t="s">
        <v>159</v>
      </c>
      <c r="J18" t="s">
        <v>160</v>
      </c>
      <c r="K18" s="4">
        <v>12</v>
      </c>
      <c r="L18" s="4">
        <v>120</v>
      </c>
      <c r="M18" s="4" t="s">
        <v>161</v>
      </c>
      <c r="N18" s="4">
        <v>70</v>
      </c>
      <c r="O18" s="4">
        <f t="shared" si="0"/>
        <v>840</v>
      </c>
      <c r="P18" s="4" t="s">
        <v>162</v>
      </c>
      <c r="Q18" s="4">
        <v>0.02</v>
      </c>
      <c r="R18" s="4" t="s">
        <v>133</v>
      </c>
      <c r="S18" s="23">
        <v>202.8</v>
      </c>
      <c r="T18" s="23">
        <f t="shared" si="1"/>
        <v>16.900000000000002</v>
      </c>
      <c r="U18" t="s">
        <v>124</v>
      </c>
      <c r="V18" t="s">
        <v>157</v>
      </c>
      <c r="W18" t="s">
        <v>134</v>
      </c>
      <c r="X18" t="s">
        <v>124</v>
      </c>
    </row>
    <row r="19" spans="1:24">
      <c r="B19" t="s">
        <v>124</v>
      </c>
      <c r="C19" s="2">
        <v>17</v>
      </c>
      <c r="D19" t="s">
        <v>125</v>
      </c>
      <c r="E19" t="s">
        <v>163</v>
      </c>
      <c r="F19" t="s">
        <v>164</v>
      </c>
      <c r="G19" s="4">
        <v>216805</v>
      </c>
      <c r="H19" s="4" t="s">
        <v>165</v>
      </c>
      <c r="I19" s="24" t="s">
        <v>166</v>
      </c>
      <c r="J19" t="s">
        <v>167</v>
      </c>
      <c r="K19" s="4">
        <v>3</v>
      </c>
      <c r="L19" s="4">
        <v>15</v>
      </c>
      <c r="M19" s="4" t="s">
        <v>168</v>
      </c>
      <c r="N19" s="4">
        <v>400</v>
      </c>
      <c r="O19" s="4">
        <f t="shared" si="0"/>
        <v>1200</v>
      </c>
      <c r="P19" s="4" t="s">
        <v>169</v>
      </c>
      <c r="Q19" s="4">
        <v>1.9E-2</v>
      </c>
      <c r="R19" s="4" t="s">
        <v>133</v>
      </c>
      <c r="S19" s="23">
        <v>215.57</v>
      </c>
      <c r="T19" s="23">
        <f t="shared" si="1"/>
        <v>71.856666666666669</v>
      </c>
      <c r="U19" t="s">
        <v>124</v>
      </c>
      <c r="V19" t="s">
        <v>164</v>
      </c>
      <c r="W19" t="s">
        <v>134</v>
      </c>
      <c r="X19" t="s">
        <v>124</v>
      </c>
    </row>
    <row r="20" spans="1:24">
      <c r="B20" t="s">
        <v>170</v>
      </c>
      <c r="C20" s="2">
        <v>18</v>
      </c>
      <c r="D20" t="s">
        <v>125</v>
      </c>
      <c r="E20" t="s">
        <v>171</v>
      </c>
      <c r="F20" t="s">
        <v>172</v>
      </c>
      <c r="G20" s="4">
        <v>210390</v>
      </c>
      <c r="H20" s="4" t="s">
        <v>173</v>
      </c>
      <c r="I20" s="24" t="s">
        <v>174</v>
      </c>
      <c r="J20" t="s">
        <v>175</v>
      </c>
      <c r="K20" s="4">
        <v>24</v>
      </c>
      <c r="L20" s="4">
        <f>4*24</f>
        <v>96</v>
      </c>
      <c r="M20" s="4" t="s">
        <v>176</v>
      </c>
      <c r="N20" s="4">
        <v>320</v>
      </c>
      <c r="O20" s="4">
        <f t="shared" si="0"/>
        <v>7680</v>
      </c>
      <c r="P20" s="4" t="s">
        <v>177</v>
      </c>
      <c r="Q20" s="4">
        <v>8.4000000000000005E-2</v>
      </c>
      <c r="R20" s="4" t="s">
        <v>178</v>
      </c>
      <c r="S20" s="23">
        <v>287.22000000000003</v>
      </c>
      <c r="T20" s="23">
        <f t="shared" si="1"/>
        <v>11.967500000000001</v>
      </c>
      <c r="U20" t="s">
        <v>170</v>
      </c>
      <c r="V20" t="s">
        <v>172</v>
      </c>
      <c r="W20" t="s">
        <v>134</v>
      </c>
      <c r="X20" t="s">
        <v>170</v>
      </c>
    </row>
    <row r="21" spans="1:24">
      <c r="B21" t="s">
        <v>170</v>
      </c>
      <c r="C21" s="2">
        <v>19</v>
      </c>
      <c r="D21" t="s">
        <v>125</v>
      </c>
      <c r="E21" t="s">
        <v>179</v>
      </c>
      <c r="F21" t="s">
        <v>180</v>
      </c>
      <c r="G21" s="4">
        <v>214890</v>
      </c>
      <c r="H21" s="4" t="s">
        <v>181</v>
      </c>
      <c r="I21" s="24" t="s">
        <v>182</v>
      </c>
      <c r="J21" t="s">
        <v>183</v>
      </c>
      <c r="K21" s="4">
        <v>6</v>
      </c>
      <c r="L21" s="4">
        <f>6*16</f>
        <v>96</v>
      </c>
      <c r="M21" s="4" t="s">
        <v>184</v>
      </c>
      <c r="N21" s="4">
        <v>1280</v>
      </c>
      <c r="O21" s="4">
        <f>K21*N21</f>
        <v>7680</v>
      </c>
      <c r="P21" s="4" t="s">
        <v>177</v>
      </c>
      <c r="Q21" s="4">
        <v>8.4000000000000005E-2</v>
      </c>
      <c r="R21" s="4" t="s">
        <v>178</v>
      </c>
      <c r="S21" s="23">
        <v>283.80122999999998</v>
      </c>
      <c r="T21" s="23">
        <f t="shared" si="1"/>
        <v>47.300204999999998</v>
      </c>
      <c r="U21" t="s">
        <v>170</v>
      </c>
      <c r="V21" t="s">
        <v>180</v>
      </c>
      <c r="W21" t="s">
        <v>134</v>
      </c>
      <c r="X21" t="s">
        <v>170</v>
      </c>
    </row>
    <row r="22" spans="1:24">
      <c r="B22" t="s">
        <v>170</v>
      </c>
      <c r="C22" s="2">
        <v>20</v>
      </c>
      <c r="D22" t="s">
        <v>185</v>
      </c>
      <c r="E22" t="s">
        <v>186</v>
      </c>
      <c r="F22" t="s">
        <v>187</v>
      </c>
      <c r="G22" s="4">
        <v>210760</v>
      </c>
      <c r="H22" s="4" t="s">
        <v>188</v>
      </c>
      <c r="I22" s="24" t="s">
        <v>189</v>
      </c>
      <c r="J22" t="s">
        <v>190</v>
      </c>
      <c r="K22" s="4">
        <v>20</v>
      </c>
      <c r="L22" s="4">
        <f>3*20</f>
        <v>60</v>
      </c>
      <c r="M22" s="4" t="s">
        <v>191</v>
      </c>
      <c r="N22" s="4">
        <v>600</v>
      </c>
      <c r="O22" s="4">
        <f t="shared" si="0"/>
        <v>12000</v>
      </c>
      <c r="P22" s="4" t="s">
        <v>192</v>
      </c>
      <c r="Q22" s="4">
        <v>0.106</v>
      </c>
      <c r="R22" s="4" t="s">
        <v>193</v>
      </c>
      <c r="S22" s="23">
        <v>338.18198999999998</v>
      </c>
      <c r="T22" s="23">
        <f t="shared" si="1"/>
        <v>16.9090995</v>
      </c>
      <c r="U22" t="s">
        <v>170</v>
      </c>
      <c r="V22" t="s">
        <v>187</v>
      </c>
      <c r="W22" t="s">
        <v>134</v>
      </c>
      <c r="X22" t="s">
        <v>170</v>
      </c>
    </row>
    <row r="23" spans="1:24">
      <c r="B23" t="s">
        <v>170</v>
      </c>
      <c r="C23" s="2">
        <v>21</v>
      </c>
      <c r="D23" t="s">
        <v>185</v>
      </c>
      <c r="E23" t="s">
        <v>194</v>
      </c>
      <c r="F23" t="s">
        <v>195</v>
      </c>
      <c r="G23" s="4">
        <v>231216</v>
      </c>
      <c r="H23" s="4" t="s">
        <v>196</v>
      </c>
      <c r="I23" s="24" t="s">
        <v>197</v>
      </c>
      <c r="J23" t="s">
        <v>198</v>
      </c>
      <c r="K23" s="4">
        <v>10</v>
      </c>
      <c r="L23" s="4">
        <v>30</v>
      </c>
      <c r="M23" s="4" t="s">
        <v>191</v>
      </c>
      <c r="N23" s="4">
        <v>600</v>
      </c>
      <c r="O23" s="4">
        <f t="shared" si="0"/>
        <v>6000</v>
      </c>
      <c r="P23" s="4" t="s">
        <v>199</v>
      </c>
      <c r="Q23" s="4">
        <v>0.09</v>
      </c>
      <c r="R23" s="4" t="s">
        <v>193</v>
      </c>
      <c r="S23" s="23">
        <v>243.21306999999999</v>
      </c>
      <c r="T23" s="23">
        <f t="shared" si="1"/>
        <v>24.321306999999997</v>
      </c>
      <c r="U23" t="s">
        <v>170</v>
      </c>
      <c r="V23" t="s">
        <v>195</v>
      </c>
      <c r="W23" t="s">
        <v>200</v>
      </c>
      <c r="X23" t="s">
        <v>170</v>
      </c>
    </row>
    <row r="24" spans="1:24">
      <c r="B24" t="s">
        <v>170</v>
      </c>
      <c r="C24" s="2">
        <v>22</v>
      </c>
      <c r="D24" t="s">
        <v>125</v>
      </c>
      <c r="E24" t="s">
        <v>201</v>
      </c>
      <c r="F24" t="s">
        <v>202</v>
      </c>
      <c r="G24" s="4">
        <v>230620</v>
      </c>
      <c r="H24" s="4" t="s">
        <v>203</v>
      </c>
      <c r="I24" s="24" t="s">
        <v>204</v>
      </c>
      <c r="J24" t="s">
        <v>205</v>
      </c>
      <c r="K24" s="4">
        <v>1</v>
      </c>
      <c r="L24" s="4">
        <v>6</v>
      </c>
      <c r="M24" s="4" t="s">
        <v>206</v>
      </c>
      <c r="N24" s="4">
        <v>1080</v>
      </c>
      <c r="O24" s="4">
        <f t="shared" si="0"/>
        <v>1080</v>
      </c>
      <c r="P24" s="4" t="s">
        <v>207</v>
      </c>
      <c r="Q24" s="4">
        <v>1.4E-2</v>
      </c>
      <c r="R24" s="4" t="s">
        <v>208</v>
      </c>
      <c r="S24" s="23">
        <v>48.6</v>
      </c>
      <c r="T24" s="23">
        <f t="shared" si="1"/>
        <v>48.6</v>
      </c>
      <c r="U24" t="s">
        <v>170</v>
      </c>
      <c r="V24" t="s">
        <v>202</v>
      </c>
      <c r="W24" t="s">
        <v>200</v>
      </c>
      <c r="X24" t="s">
        <v>170</v>
      </c>
    </row>
    <row r="25" spans="1:24">
      <c r="B25" t="s">
        <v>209</v>
      </c>
      <c r="C25" s="2">
        <v>23</v>
      </c>
      <c r="D25" t="s">
        <v>125</v>
      </c>
      <c r="E25" t="s">
        <v>210</v>
      </c>
      <c r="F25" t="s">
        <v>211</v>
      </c>
      <c r="G25" s="4">
        <v>221635</v>
      </c>
      <c r="H25" s="4" t="s">
        <v>212</v>
      </c>
      <c r="I25" s="24" t="s">
        <v>213</v>
      </c>
      <c r="J25" t="s">
        <v>214</v>
      </c>
      <c r="K25" s="4">
        <v>10</v>
      </c>
      <c r="L25" s="4">
        <v>100</v>
      </c>
      <c r="M25" s="4" t="s">
        <v>215</v>
      </c>
      <c r="N25" s="4">
        <v>2100</v>
      </c>
      <c r="O25" s="4">
        <v>21000</v>
      </c>
      <c r="P25" s="4" t="s">
        <v>216</v>
      </c>
      <c r="Q25" s="4">
        <v>0.122</v>
      </c>
      <c r="R25" s="4" t="s">
        <v>217</v>
      </c>
      <c r="S25" s="23">
        <v>240.89676</v>
      </c>
      <c r="T25" s="23">
        <f t="shared" si="1"/>
        <v>24.089676000000001</v>
      </c>
      <c r="U25" t="s">
        <v>209</v>
      </c>
      <c r="V25" t="s">
        <v>211</v>
      </c>
      <c r="W25" t="s">
        <v>209</v>
      </c>
      <c r="X25" t="s">
        <v>209</v>
      </c>
    </row>
    <row r="26" spans="1:24">
      <c r="B26" t="s">
        <v>209</v>
      </c>
      <c r="C26" s="2">
        <v>24</v>
      </c>
      <c r="D26" t="s">
        <v>185</v>
      </c>
      <c r="E26" t="s">
        <v>218</v>
      </c>
      <c r="F26" t="s">
        <v>219</v>
      </c>
      <c r="G26" s="4">
        <v>229160</v>
      </c>
      <c r="H26" s="4" t="s">
        <v>220</v>
      </c>
      <c r="I26" s="24" t="s">
        <v>221</v>
      </c>
      <c r="J26" t="s">
        <v>222</v>
      </c>
      <c r="K26" s="4">
        <v>5</v>
      </c>
      <c r="L26" s="4">
        <v>50</v>
      </c>
      <c r="M26" s="4" t="s">
        <v>223</v>
      </c>
      <c r="N26" s="4">
        <v>2500</v>
      </c>
      <c r="O26" s="4">
        <f t="shared" si="0"/>
        <v>12500</v>
      </c>
      <c r="P26" s="4" t="s">
        <v>224</v>
      </c>
      <c r="Q26" s="4">
        <v>6.6000000000000003E-2</v>
      </c>
      <c r="R26" s="4" t="s">
        <v>217</v>
      </c>
      <c r="S26" s="23">
        <v>153.64888999999999</v>
      </c>
      <c r="T26" s="23">
        <f t="shared" si="1"/>
        <v>30.729778</v>
      </c>
      <c r="U26" t="s">
        <v>209</v>
      </c>
      <c r="V26" t="s">
        <v>219</v>
      </c>
      <c r="W26" t="s">
        <v>209</v>
      </c>
      <c r="X26" t="s">
        <v>209</v>
      </c>
    </row>
    <row r="27" spans="1:24">
      <c r="B27" t="s">
        <v>225</v>
      </c>
      <c r="C27" s="2">
        <v>25</v>
      </c>
      <c r="D27" t="s">
        <v>185</v>
      </c>
      <c r="E27" t="s">
        <v>226</v>
      </c>
      <c r="F27" t="s">
        <v>227</v>
      </c>
      <c r="G27" s="4">
        <v>270190</v>
      </c>
      <c r="H27" s="4" t="s">
        <v>228</v>
      </c>
      <c r="I27" s="24" t="s">
        <v>229</v>
      </c>
      <c r="J27" t="s">
        <v>230</v>
      </c>
      <c r="K27" s="4">
        <v>36</v>
      </c>
      <c r="L27" s="4">
        <f>10*36</f>
        <v>360</v>
      </c>
      <c r="M27" s="4" t="s">
        <v>231</v>
      </c>
      <c r="N27" s="4">
        <v>90</v>
      </c>
      <c r="O27" s="4">
        <f t="shared" si="0"/>
        <v>3240</v>
      </c>
      <c r="P27" s="4" t="s">
        <v>232</v>
      </c>
      <c r="Q27" s="4">
        <v>0.04</v>
      </c>
      <c r="R27" s="4" t="s">
        <v>233</v>
      </c>
      <c r="S27" s="23">
        <v>208.46834000000001</v>
      </c>
      <c r="T27" s="23">
        <f t="shared" si="1"/>
        <v>5.7907872222222228</v>
      </c>
      <c r="U27" t="s">
        <v>225</v>
      </c>
      <c r="V27" t="s">
        <v>227</v>
      </c>
      <c r="W27" t="s">
        <v>225</v>
      </c>
      <c r="X27" t="s">
        <v>225</v>
      </c>
    </row>
    <row r="28" spans="1:24">
      <c r="B28" t="s">
        <v>234</v>
      </c>
      <c r="C28" s="2">
        <v>26</v>
      </c>
      <c r="D28" t="s">
        <v>94</v>
      </c>
      <c r="E28" t="s">
        <v>235</v>
      </c>
      <c r="F28" t="s">
        <v>236</v>
      </c>
      <c r="G28" s="4">
        <v>253000</v>
      </c>
      <c r="H28" s="4" t="s">
        <v>237</v>
      </c>
      <c r="I28" s="24" t="s">
        <v>238</v>
      </c>
      <c r="J28" t="s">
        <v>239</v>
      </c>
      <c r="K28" s="4">
        <v>6</v>
      </c>
      <c r="L28" s="4">
        <f>18</f>
        <v>18</v>
      </c>
      <c r="M28" s="4" t="s">
        <v>61</v>
      </c>
      <c r="N28" s="4">
        <v>240</v>
      </c>
      <c r="O28" s="4">
        <f t="shared" si="0"/>
        <v>1440</v>
      </c>
      <c r="P28" s="4" t="s">
        <v>240</v>
      </c>
      <c r="Q28" s="4">
        <v>3.3000000000000002E-2</v>
      </c>
      <c r="R28" s="4" t="s">
        <v>241</v>
      </c>
      <c r="S28" s="23">
        <v>358.2</v>
      </c>
      <c r="T28" s="23">
        <f t="shared" si="1"/>
        <v>59.699999999999996</v>
      </c>
      <c r="U28" t="s">
        <v>234</v>
      </c>
      <c r="V28" t="s">
        <v>236</v>
      </c>
      <c r="W28" t="s">
        <v>242</v>
      </c>
      <c r="X28" t="s">
        <v>234</v>
      </c>
    </row>
    <row r="29" spans="1:24">
      <c r="B29" t="s">
        <v>44</v>
      </c>
      <c r="C29" s="2">
        <v>27</v>
      </c>
      <c r="D29" t="s">
        <v>94</v>
      </c>
      <c r="E29" t="s">
        <v>243</v>
      </c>
      <c r="F29" t="s">
        <v>244</v>
      </c>
      <c r="G29" s="4">
        <v>261300</v>
      </c>
      <c r="H29" s="4" t="s">
        <v>245</v>
      </c>
      <c r="I29" s="24" t="s">
        <v>246</v>
      </c>
      <c r="J29" t="s">
        <v>247</v>
      </c>
      <c r="K29" s="4">
        <v>30</v>
      </c>
      <c r="L29" s="4">
        <v>30</v>
      </c>
      <c r="M29" s="4" t="s">
        <v>248</v>
      </c>
      <c r="N29" s="4">
        <v>10</v>
      </c>
      <c r="O29" s="4">
        <f t="shared" si="0"/>
        <v>300</v>
      </c>
      <c r="P29" s="4" t="s">
        <v>249</v>
      </c>
      <c r="Q29" s="4">
        <v>0.01</v>
      </c>
      <c r="R29" s="4" t="s">
        <v>250</v>
      </c>
      <c r="S29" s="23">
        <v>91.362830000000002</v>
      </c>
      <c r="T29" s="23">
        <f t="shared" si="1"/>
        <v>3.0454276666666669</v>
      </c>
      <c r="U29" t="s">
        <v>44</v>
      </c>
      <c r="V29" t="s">
        <v>244</v>
      </c>
      <c r="W29" t="s">
        <v>251</v>
      </c>
      <c r="X29" t="s">
        <v>44</v>
      </c>
    </row>
    <row r="30" spans="1:24" s="233" customFormat="1">
      <c r="A30" s="233" t="s">
        <v>574</v>
      </c>
      <c r="B30" s="234" t="s">
        <v>44</v>
      </c>
      <c r="C30" s="235">
        <v>33</v>
      </c>
      <c r="D30" s="234" t="s">
        <v>549</v>
      </c>
      <c r="E30" s="234" t="s">
        <v>550</v>
      </c>
      <c r="F30" s="234" t="s">
        <v>551</v>
      </c>
      <c r="G30" s="236">
        <v>267040</v>
      </c>
      <c r="H30" s="234" t="s">
        <v>78</v>
      </c>
      <c r="I30" s="234" t="s">
        <v>552</v>
      </c>
      <c r="J30" s="234" t="s">
        <v>553</v>
      </c>
      <c r="K30" s="4">
        <v>4</v>
      </c>
      <c r="L30" s="4">
        <v>40</v>
      </c>
      <c r="M30" s="236" t="s">
        <v>81</v>
      </c>
      <c r="N30" s="236">
        <v>100</v>
      </c>
      <c r="O30" s="236">
        <v>400</v>
      </c>
      <c r="P30" s="237"/>
      <c r="Q30" s="237"/>
      <c r="R30" s="237"/>
      <c r="S30" s="238">
        <v>151.33257</v>
      </c>
      <c r="T30" s="238">
        <v>37.833142500000001</v>
      </c>
      <c r="U30" s="234" t="s">
        <v>44</v>
      </c>
      <c r="V30" s="234" t="s">
        <v>551</v>
      </c>
    </row>
    <row r="31" spans="1:24" s="233" customFormat="1">
      <c r="A31" s="233" t="s">
        <v>574</v>
      </c>
      <c r="B31" s="234" t="s">
        <v>44</v>
      </c>
      <c r="C31" s="235">
        <v>34</v>
      </c>
      <c r="D31" s="234" t="s">
        <v>549</v>
      </c>
      <c r="E31" s="234" t="s">
        <v>554</v>
      </c>
      <c r="F31" s="234" t="s">
        <v>555</v>
      </c>
      <c r="G31" s="236">
        <v>266010</v>
      </c>
      <c r="H31" s="234" t="s">
        <v>48</v>
      </c>
      <c r="I31" s="234" t="s">
        <v>556</v>
      </c>
      <c r="J31" s="234" t="s">
        <v>557</v>
      </c>
      <c r="K31" s="14">
        <v>24</v>
      </c>
      <c r="L31" s="236">
        <v>24</v>
      </c>
      <c r="M31" s="236" t="s">
        <v>51</v>
      </c>
      <c r="N31" s="236">
        <v>80</v>
      </c>
      <c r="O31" s="236">
        <v>1920</v>
      </c>
      <c r="P31" s="237"/>
      <c r="Q31" s="237"/>
      <c r="R31" s="237"/>
      <c r="S31" s="238">
        <v>326.88</v>
      </c>
      <c r="T31" s="238">
        <v>13.62</v>
      </c>
      <c r="U31" s="234" t="s">
        <v>44</v>
      </c>
      <c r="V31" s="234" t="s">
        <v>555</v>
      </c>
    </row>
    <row r="32" spans="1:24" s="233" customFormat="1">
      <c r="A32" s="233" t="s">
        <v>574</v>
      </c>
      <c r="B32" s="234" t="s">
        <v>44</v>
      </c>
      <c r="C32" s="235">
        <v>35</v>
      </c>
      <c r="D32" s="234" t="s">
        <v>549</v>
      </c>
      <c r="E32" s="234" t="s">
        <v>558</v>
      </c>
      <c r="F32" s="234" t="s">
        <v>559</v>
      </c>
      <c r="G32" s="236">
        <v>269450</v>
      </c>
      <c r="H32" s="234" t="s">
        <v>84</v>
      </c>
      <c r="I32" s="234" t="s">
        <v>560</v>
      </c>
      <c r="J32" s="234" t="s">
        <v>561</v>
      </c>
      <c r="K32" s="19">
        <v>40</v>
      </c>
      <c r="L32" s="236">
        <v>40</v>
      </c>
      <c r="M32" s="236" t="s">
        <v>87</v>
      </c>
      <c r="N32" s="236">
        <v>40</v>
      </c>
      <c r="O32" s="236">
        <v>1600</v>
      </c>
      <c r="P32" s="237"/>
      <c r="Q32" s="237"/>
      <c r="R32" s="237"/>
      <c r="S32" s="238">
        <v>367.52197000000001</v>
      </c>
      <c r="T32" s="238">
        <v>9.1880492500000006</v>
      </c>
      <c r="U32" s="234" t="s">
        <v>44</v>
      </c>
      <c r="V32" s="234" t="s">
        <v>559</v>
      </c>
    </row>
    <row r="33" spans="1:22" s="233" customFormat="1">
      <c r="A33" s="233" t="s">
        <v>574</v>
      </c>
      <c r="B33" s="234" t="s">
        <v>44</v>
      </c>
      <c r="C33" s="235">
        <v>36</v>
      </c>
      <c r="D33" s="234" t="s">
        <v>549</v>
      </c>
      <c r="E33" s="234" t="s">
        <v>562</v>
      </c>
      <c r="F33" s="234" t="s">
        <v>563</v>
      </c>
      <c r="G33" s="236">
        <v>266210</v>
      </c>
      <c r="H33" s="234" t="s">
        <v>64</v>
      </c>
      <c r="I33" s="234" t="s">
        <v>564</v>
      </c>
      <c r="J33" s="234" t="s">
        <v>565</v>
      </c>
      <c r="K33" s="19">
        <v>1</v>
      </c>
      <c r="L33" s="19">
        <v>6</v>
      </c>
      <c r="M33" s="236" t="s">
        <v>67</v>
      </c>
      <c r="N33" s="236">
        <v>480</v>
      </c>
      <c r="O33" s="236">
        <v>480</v>
      </c>
      <c r="P33" s="237"/>
      <c r="Q33" s="237"/>
      <c r="R33" s="237"/>
      <c r="S33" s="238">
        <v>69.44</v>
      </c>
      <c r="T33" s="238">
        <v>69.44</v>
      </c>
      <c r="U33" s="234" t="s">
        <v>44</v>
      </c>
      <c r="V33" s="234" t="s">
        <v>563</v>
      </c>
    </row>
    <row r="34" spans="1:22" s="233" customFormat="1">
      <c r="A34" s="233" t="s">
        <v>574</v>
      </c>
      <c r="B34" s="234" t="s">
        <v>44</v>
      </c>
      <c r="C34" s="235">
        <v>37</v>
      </c>
      <c r="D34" s="234" t="s">
        <v>549</v>
      </c>
      <c r="E34" s="234" t="s">
        <v>566</v>
      </c>
      <c r="F34" s="234" t="s">
        <v>567</v>
      </c>
      <c r="G34" s="236">
        <v>269460</v>
      </c>
      <c r="H34" s="234" t="s">
        <v>90</v>
      </c>
      <c r="I34" s="234" t="s">
        <v>568</v>
      </c>
      <c r="J34" s="234" t="s">
        <v>569</v>
      </c>
      <c r="K34" s="14">
        <v>4</v>
      </c>
      <c r="L34" s="14">
        <v>40</v>
      </c>
      <c r="M34" s="236" t="s">
        <v>93</v>
      </c>
      <c r="N34" s="236">
        <v>400</v>
      </c>
      <c r="O34" s="236">
        <v>1600</v>
      </c>
      <c r="P34" s="237"/>
      <c r="Q34" s="237"/>
      <c r="R34" s="237"/>
      <c r="S34" s="238">
        <v>330.25036</v>
      </c>
      <c r="T34" s="238">
        <v>82.56259</v>
      </c>
      <c r="U34" s="234" t="s">
        <v>44</v>
      </c>
      <c r="V34" s="234" t="s">
        <v>567</v>
      </c>
    </row>
    <row r="35" spans="1:22" s="233" customFormat="1">
      <c r="A35" s="233" t="s">
        <v>574</v>
      </c>
      <c r="B35" s="234" t="s">
        <v>44</v>
      </c>
      <c r="C35" s="235">
        <v>38</v>
      </c>
      <c r="D35" s="234" t="s">
        <v>549</v>
      </c>
      <c r="E35" s="234" t="s">
        <v>570</v>
      </c>
      <c r="F35" s="234" t="s">
        <v>571</v>
      </c>
      <c r="G35" s="236">
        <v>266110</v>
      </c>
      <c r="H35" s="234" t="s">
        <v>58</v>
      </c>
      <c r="I35" s="234" t="s">
        <v>572</v>
      </c>
      <c r="J35" s="234" t="s">
        <v>573</v>
      </c>
      <c r="K35" s="14">
        <v>8</v>
      </c>
      <c r="L35" s="14">
        <v>24</v>
      </c>
      <c r="M35" s="236" t="s">
        <v>61</v>
      </c>
      <c r="N35" s="236">
        <v>240</v>
      </c>
      <c r="O35" s="236">
        <v>1920</v>
      </c>
      <c r="P35" s="237"/>
      <c r="Q35" s="237"/>
      <c r="R35" s="237"/>
      <c r="S35" s="238">
        <v>310.48</v>
      </c>
      <c r="T35" s="238">
        <v>38.81</v>
      </c>
      <c r="U35" s="234" t="s">
        <v>44</v>
      </c>
      <c r="V35" s="234" t="s">
        <v>571</v>
      </c>
    </row>
  </sheetData>
  <autoFilter ref="B2:V29" xr:uid="{37C37608-2401-452A-953D-F5EA1F6E3EA5}"/>
  <phoneticPr fontId="2" type="noConversion"/>
  <conditionalFormatting sqref="B2">
    <cfRule type="duplicateValues" dxfId="22" priority="12"/>
  </conditionalFormatting>
  <conditionalFormatting sqref="C2:E2">
    <cfRule type="duplicateValues" dxfId="21" priority="11"/>
  </conditionalFormatting>
  <conditionalFormatting sqref="E3:E29">
    <cfRule type="duplicateValues" dxfId="20" priority="14"/>
  </conditionalFormatting>
  <conditionalFormatting sqref="F1:F29 F36:F1048576">
    <cfRule type="duplicateValues" dxfId="19" priority="10"/>
  </conditionalFormatting>
  <conditionalFormatting sqref="F2:F13">
    <cfRule type="duplicateValues" dxfId="18" priority="15"/>
  </conditionalFormatting>
  <conditionalFormatting sqref="F3:F29">
    <cfRule type="duplicateValues" dxfId="17" priority="24"/>
  </conditionalFormatting>
  <conditionalFormatting sqref="F30:F35">
    <cfRule type="duplicateValues" dxfId="16" priority="4"/>
  </conditionalFormatting>
  <conditionalFormatting sqref="G2:H2">
    <cfRule type="duplicateValues" dxfId="15" priority="13"/>
  </conditionalFormatting>
  <conditionalFormatting sqref="G2:H13 H14:H29">
    <cfRule type="duplicateValues" dxfId="14" priority="21"/>
  </conditionalFormatting>
  <conditionalFormatting sqref="G3:H13 H14:H29">
    <cfRule type="duplicateValues" dxfId="13" priority="22"/>
  </conditionalFormatting>
  <conditionalFormatting sqref="H30:H35">
    <cfRule type="duplicateValues" dxfId="12" priority="3"/>
  </conditionalFormatting>
  <conditionalFormatting sqref="I2:I13">
    <cfRule type="duplicateValues" dxfId="11" priority="16"/>
    <cfRule type="duplicateValues" dxfId="10" priority="17"/>
  </conditionalFormatting>
  <conditionalFormatting sqref="I30:I35">
    <cfRule type="duplicateValues" dxfId="9" priority="2"/>
  </conditionalFormatting>
  <conditionalFormatting sqref="J2:J13">
    <cfRule type="duplicateValues" dxfId="8" priority="18"/>
    <cfRule type="duplicateValues" dxfId="7" priority="19"/>
  </conditionalFormatting>
  <conditionalFormatting sqref="K2:T2">
    <cfRule type="duplicateValues" dxfId="6" priority="25"/>
  </conditionalFormatting>
  <conditionalFormatting sqref="U2">
    <cfRule type="duplicateValues" dxfId="5" priority="9"/>
  </conditionalFormatting>
  <conditionalFormatting sqref="V2:V13">
    <cfRule type="duplicateValues" dxfId="4" priority="7"/>
  </conditionalFormatting>
  <conditionalFormatting sqref="V2:V29">
    <cfRule type="duplicateValues" dxfId="3" priority="6"/>
  </conditionalFormatting>
  <conditionalFormatting sqref="V3:V29">
    <cfRule type="duplicateValues" dxfId="2" priority="8"/>
  </conditionalFormatting>
  <conditionalFormatting sqref="V30:V35">
    <cfRule type="duplicateValues" dxfId="1" priority="1"/>
  </conditionalFormatting>
  <conditionalFormatting sqref="X2">
    <cfRule type="duplicateValues" dxfId="0" priority="5"/>
  </conditionalFormatting>
  <pageMargins left="0.7" right="0.7" top="0.75" bottom="0.75" header="0.3" footer="0.3"/>
  <headerFooter>
    <oddFooter>&amp;L_x000D_&amp;1#&amp;"Calibri"&amp;10&amp;K000000 Kimberly-Clark has determined the classification of this information to be "Public"</oddFooter>
  </headerFooter>
  <legacy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E883EA-B046-4A3F-981D-C0742E34894D}">
  <sheetPr>
    <tabColor rgb="FFFF0000"/>
  </sheetPr>
  <dimension ref="A1:W9"/>
  <sheetViews>
    <sheetView topLeftCell="B1" zoomScale="57" zoomScaleNormal="57" workbookViewId="0">
      <selection activeCell="M22" sqref="M22"/>
    </sheetView>
  </sheetViews>
  <sheetFormatPr defaultRowHeight="14" outlineLevelCol="1"/>
  <cols>
    <col min="1" max="1" width="23.1796875" customWidth="1"/>
    <col min="2" max="2" width="15.453125" style="2" customWidth="1"/>
    <col min="3" max="3" width="32.6328125" bestFit="1" customWidth="1"/>
    <col min="4" max="4" width="11.453125" customWidth="1"/>
    <col min="5" max="5" width="31.36328125" customWidth="1"/>
    <col min="6" max="7" width="8.6328125" outlineLevel="1"/>
    <col min="8" max="8" width="7.6328125" customWidth="1" outlineLevel="1"/>
    <col min="9" max="9" width="8.90625" customWidth="1" outlineLevel="1"/>
    <col min="10" max="10" width="9.453125" customWidth="1" outlineLevel="1"/>
    <col min="11" max="13" width="8.6328125" outlineLevel="1"/>
    <col min="14" max="14" width="9.453125" customWidth="1" outlineLevel="1"/>
    <col min="15" max="16" width="10.26953125" customWidth="1"/>
    <col min="17" max="17" width="10.90625" customWidth="1"/>
    <col min="18" max="18" width="10.7265625" customWidth="1"/>
    <col min="19" max="20" width="11.08984375" bestFit="1" customWidth="1"/>
    <col min="21" max="21" width="10.81640625" customWidth="1"/>
    <col min="22" max="23" width="11.1796875" customWidth="1"/>
  </cols>
  <sheetData>
    <row r="1" spans="1:23">
      <c r="U1" s="2" t="s">
        <v>22</v>
      </c>
      <c r="V1" s="2" t="s">
        <v>22</v>
      </c>
      <c r="W1" s="2" t="s">
        <v>22</v>
      </c>
    </row>
    <row r="2" spans="1:23" s="2" customFormat="1" ht="23">
      <c r="A2" s="46" t="s">
        <v>268</v>
      </c>
      <c r="B2" s="5" t="s">
        <v>255</v>
      </c>
      <c r="C2" s="5" t="s">
        <v>255</v>
      </c>
      <c r="D2" s="5" t="s">
        <v>255</v>
      </c>
      <c r="E2" s="2" t="s">
        <v>22</v>
      </c>
      <c r="F2" s="2" t="s">
        <v>22</v>
      </c>
      <c r="G2" s="2" t="s">
        <v>22</v>
      </c>
      <c r="H2" s="2" t="s">
        <v>22</v>
      </c>
      <c r="I2" s="2" t="s">
        <v>22</v>
      </c>
      <c r="J2" s="2" t="s">
        <v>22</v>
      </c>
      <c r="K2" s="2" t="s">
        <v>22</v>
      </c>
      <c r="L2" s="2" t="s">
        <v>22</v>
      </c>
      <c r="M2" s="2" t="s">
        <v>22</v>
      </c>
      <c r="N2" s="2" t="s">
        <v>22</v>
      </c>
      <c r="O2" s="5" t="s">
        <v>255</v>
      </c>
      <c r="P2" s="5" t="s">
        <v>255</v>
      </c>
      <c r="Q2" s="5" t="s">
        <v>255</v>
      </c>
      <c r="R2" s="5" t="s">
        <v>255</v>
      </c>
      <c r="S2" s="2" t="s">
        <v>22</v>
      </c>
      <c r="T2" s="2" t="s">
        <v>22</v>
      </c>
      <c r="U2" s="2" t="s">
        <v>270</v>
      </c>
      <c r="V2" s="2" t="s">
        <v>270</v>
      </c>
      <c r="W2" s="2" t="s">
        <v>270</v>
      </c>
    </row>
    <row r="3" spans="1:23" s="6" customFormat="1" ht="53" customHeight="1">
      <c r="A3" s="33" t="s">
        <v>263</v>
      </c>
      <c r="B3" s="34" t="s">
        <v>259</v>
      </c>
      <c r="C3" s="42" t="s">
        <v>0</v>
      </c>
      <c r="D3" s="42" t="s">
        <v>5</v>
      </c>
      <c r="E3" s="35" t="s">
        <v>4</v>
      </c>
      <c r="F3" s="35" t="s">
        <v>6</v>
      </c>
      <c r="G3" s="35" t="s">
        <v>254</v>
      </c>
      <c r="H3" s="36" t="s">
        <v>252</v>
      </c>
      <c r="I3" s="41" t="s">
        <v>10</v>
      </c>
      <c r="J3" s="36" t="s">
        <v>11</v>
      </c>
      <c r="K3" s="36" t="s">
        <v>12</v>
      </c>
      <c r="L3" s="36" t="s">
        <v>14</v>
      </c>
      <c r="M3" s="36" t="s">
        <v>15</v>
      </c>
      <c r="N3" s="39" t="s">
        <v>13</v>
      </c>
      <c r="O3" s="40" t="s">
        <v>16</v>
      </c>
      <c r="P3" s="34" t="s">
        <v>256</v>
      </c>
      <c r="Q3" s="34" t="s">
        <v>258</v>
      </c>
      <c r="R3" s="34" t="s">
        <v>257</v>
      </c>
      <c r="S3" s="39" t="s">
        <v>1</v>
      </c>
      <c r="T3" s="39" t="s">
        <v>21</v>
      </c>
      <c r="U3" s="39" t="s">
        <v>373</v>
      </c>
      <c r="V3" s="39" t="s">
        <v>271</v>
      </c>
      <c r="W3" s="39" t="s">
        <v>272</v>
      </c>
    </row>
    <row r="4" spans="1:23" s="141" customFormat="1" ht="27.5" customHeight="1">
      <c r="A4" s="138" t="s">
        <v>18</v>
      </c>
      <c r="B4" s="5" t="s">
        <v>404</v>
      </c>
      <c r="C4" s="5" t="s">
        <v>313</v>
      </c>
      <c r="D4" s="5" t="s">
        <v>19</v>
      </c>
      <c r="E4" s="138" t="str">
        <f>VLOOKUP($D4,mapping!$F:$X,5,0)</f>
        <v>269430舒洁湿厕纸家庭装40抽</v>
      </c>
      <c r="F4" s="138">
        <f>VLOOKUP($D4,mapping!$F:$X,6,0)</f>
        <v>40</v>
      </c>
      <c r="G4" s="138">
        <f>VLOOKUP($D4,mapping!$F:$X,7,0)</f>
        <v>40</v>
      </c>
      <c r="H4" s="138">
        <f>VLOOKUP($D4,mapping!$F:$X,14,0)</f>
        <v>367.52197000000001</v>
      </c>
      <c r="I4" s="48">
        <f t="shared" ref="I4:I9" si="0">H4/F4</f>
        <v>9.1880492500000006</v>
      </c>
      <c r="J4" s="139">
        <f t="shared" ref="J4:J9" si="1">H4*0.935</f>
        <v>343.63304195000001</v>
      </c>
      <c r="K4" s="139">
        <f t="shared" ref="K4:K9" si="2">J4*1.13*0.986</f>
        <v>382.86906267985097</v>
      </c>
      <c r="L4" s="139">
        <f t="shared" ref="L4:L9" si="3">K4-M4</f>
        <v>178.62045520561006</v>
      </c>
      <c r="M4" s="139">
        <f t="shared" ref="M4:M9" si="4">O4*G4</f>
        <v>204.24860747424091</v>
      </c>
      <c r="N4" s="140">
        <f t="shared" ref="N4:N9" si="5">L4/(J4*1.13)</f>
        <v>0.46000000000000019</v>
      </c>
      <c r="O4" s="160">
        <v>5.1062151868560228</v>
      </c>
      <c r="P4" s="130">
        <v>1000</v>
      </c>
      <c r="Q4" s="135">
        <v>45748</v>
      </c>
      <c r="R4" s="135">
        <v>45777</v>
      </c>
      <c r="S4" s="137">
        <f>P4*H4</f>
        <v>367521.97000000003</v>
      </c>
      <c r="T4" s="137">
        <f>M4*P4/1.13</f>
        <v>180750.98006569993</v>
      </c>
      <c r="U4" s="137">
        <f>M4/0.966</f>
        <v>211.43748185739224</v>
      </c>
      <c r="V4" s="137">
        <f>U4/1.13</f>
        <v>187.11281580300201</v>
      </c>
      <c r="W4" s="137">
        <f>(H4-V4)*1000</f>
        <v>180409.15419699802</v>
      </c>
    </row>
    <row r="5" spans="1:23">
      <c r="B5" s="5" t="s">
        <v>404</v>
      </c>
      <c r="C5" s="5" t="s">
        <v>313</v>
      </c>
      <c r="D5" s="5" t="s">
        <v>172</v>
      </c>
      <c r="E5" s="138" t="str">
        <f>VLOOKUP($D5,mapping!$F:$X,5,0)</f>
        <v>210390舒洁小熊印花抽纸3层80抽4包FSC mix70%</v>
      </c>
      <c r="F5" s="138">
        <f>VLOOKUP($D5,mapping!$F:$X,6,0)</f>
        <v>24</v>
      </c>
      <c r="G5" s="138">
        <f>VLOOKUP($D5,mapping!$F:$X,7,0)</f>
        <v>96</v>
      </c>
      <c r="H5" s="138">
        <f>VLOOKUP($D5,mapping!$F:$X,14,0)</f>
        <v>287.22000000000003</v>
      </c>
      <c r="I5" s="48">
        <f t="shared" si="0"/>
        <v>11.967500000000001</v>
      </c>
      <c r="J5" s="139">
        <f t="shared" si="1"/>
        <v>268.55070000000006</v>
      </c>
      <c r="K5" s="139">
        <f t="shared" si="2"/>
        <v>299.21381892600004</v>
      </c>
      <c r="L5" s="139">
        <f t="shared" si="3"/>
        <v>21.242360369999972</v>
      </c>
      <c r="M5" s="139">
        <f t="shared" si="4"/>
        <v>277.97145855600007</v>
      </c>
      <c r="N5" s="140">
        <f t="shared" si="5"/>
        <v>6.9999999999999896E-2</v>
      </c>
      <c r="O5" s="161">
        <v>2.8955360266250008</v>
      </c>
    </row>
    <row r="6" spans="1:23">
      <c r="B6" s="5" t="s">
        <v>404</v>
      </c>
      <c r="C6" s="5" t="s">
        <v>313</v>
      </c>
      <c r="D6" s="5" t="s">
        <v>187</v>
      </c>
      <c r="E6" s="138" t="str">
        <f>VLOOKUP($D6,mapping!$F:$X,5,0)</f>
        <v>210761舒洁卡通系列抽纸200抽3包 FSC mix70%</v>
      </c>
      <c r="F6" s="138">
        <f>VLOOKUP($D6,mapping!$F:$X,6,0)</f>
        <v>20</v>
      </c>
      <c r="G6" s="138">
        <f>VLOOKUP($D6,mapping!$F:$X,7,0)</f>
        <v>60</v>
      </c>
      <c r="H6" s="138">
        <f>VLOOKUP($D6,mapping!$F:$X,14,0)</f>
        <v>338.18198999999998</v>
      </c>
      <c r="I6" s="48">
        <f t="shared" si="0"/>
        <v>16.9090995</v>
      </c>
      <c r="J6" s="139">
        <f t="shared" si="1"/>
        <v>316.20016064999999</v>
      </c>
      <c r="K6" s="139">
        <f t="shared" si="2"/>
        <v>352.30389499301697</v>
      </c>
      <c r="L6" s="139">
        <f t="shared" si="3"/>
        <v>25.011432707414997</v>
      </c>
      <c r="M6" s="139">
        <f t="shared" si="4"/>
        <v>327.29246228560197</v>
      </c>
      <c r="N6" s="140">
        <f t="shared" si="5"/>
        <v>7.0000000000000007E-2</v>
      </c>
      <c r="O6" s="161">
        <v>5.4548743714266994</v>
      </c>
    </row>
    <row r="7" spans="1:23">
      <c r="B7" s="5" t="s">
        <v>404</v>
      </c>
      <c r="C7" s="5" t="s">
        <v>313</v>
      </c>
      <c r="D7" s="5" t="s">
        <v>244</v>
      </c>
      <c r="E7" s="138" t="str">
        <f>VLOOKUP($D7,mapping!$F:$X,5,0)</f>
        <v>261300舒洁无香湿巾单包装</v>
      </c>
      <c r="F7" s="138">
        <f>VLOOKUP($D7,mapping!$F:$X,6,0)</f>
        <v>30</v>
      </c>
      <c r="G7" s="138">
        <f>VLOOKUP($D7,mapping!$F:$X,7,0)</f>
        <v>30</v>
      </c>
      <c r="H7" s="138">
        <f>VLOOKUP($D7,mapping!$F:$X,14,0)</f>
        <v>91.362830000000002</v>
      </c>
      <c r="I7" s="48">
        <f t="shared" si="0"/>
        <v>3.0454276666666669</v>
      </c>
      <c r="J7" s="139">
        <f t="shared" si="1"/>
        <v>85.424246050000008</v>
      </c>
      <c r="K7" s="139">
        <f t="shared" si="2"/>
        <v>95.177986463989001</v>
      </c>
      <c r="L7" s="139">
        <f t="shared" si="3"/>
        <v>4.826469901825007</v>
      </c>
      <c r="M7" s="139">
        <f t="shared" si="4"/>
        <v>90.351516562163994</v>
      </c>
      <c r="N7" s="140">
        <f t="shared" si="5"/>
        <v>5.0000000000000072E-2</v>
      </c>
      <c r="O7" s="161">
        <v>3.0117172187387999</v>
      </c>
    </row>
    <row r="8" spans="1:23">
      <c r="B8" s="5" t="s">
        <v>404</v>
      </c>
      <c r="C8" s="5" t="s">
        <v>313</v>
      </c>
      <c r="D8" s="5" t="s">
        <v>47</v>
      </c>
      <c r="E8" s="138" t="str">
        <f>VLOOKUP($D8,mapping!$F:$X,5,0)</f>
        <v>266000舒洁湿厕纸80片</v>
      </c>
      <c r="F8" s="138">
        <f>VLOOKUP($D8,mapping!$F:$X,6,0)</f>
        <v>24</v>
      </c>
      <c r="G8" s="138">
        <f>VLOOKUP($D8,mapping!$F:$X,7,0)</f>
        <v>24</v>
      </c>
      <c r="H8" s="138">
        <f>VLOOKUP($D8,mapping!$F:$X,14,0)</f>
        <v>326.88</v>
      </c>
      <c r="I8" s="48">
        <f t="shared" si="0"/>
        <v>13.62</v>
      </c>
      <c r="J8" s="139">
        <f t="shared" si="1"/>
        <v>305.63280000000003</v>
      </c>
      <c r="K8" s="139">
        <f t="shared" si="2"/>
        <v>340.52995310400001</v>
      </c>
      <c r="L8" s="139">
        <f t="shared" si="3"/>
        <v>112.24364580000002</v>
      </c>
      <c r="M8" s="139">
        <f t="shared" si="4"/>
        <v>228.28630730399999</v>
      </c>
      <c r="N8" s="140">
        <f t="shared" si="5"/>
        <v>0.32500000000000007</v>
      </c>
      <c r="O8" s="161">
        <v>9.5119294710000002</v>
      </c>
    </row>
    <row r="9" spans="1:23">
      <c r="B9" s="5" t="s">
        <v>404</v>
      </c>
      <c r="C9" s="5" t="s">
        <v>313</v>
      </c>
      <c r="D9" s="5" t="s">
        <v>211</v>
      </c>
      <c r="E9" s="138" t="str">
        <f>VLOOKUP($D9,mapping!$F:$X,5,0)</f>
        <v>221635舒洁卷纸3层纯白10粒（蓝色）</v>
      </c>
      <c r="F9" s="138">
        <f>VLOOKUP($D9,mapping!$F:$X,6,0)</f>
        <v>10</v>
      </c>
      <c r="G9" s="138">
        <f>VLOOKUP($D9,mapping!$F:$X,7,0)</f>
        <v>100</v>
      </c>
      <c r="H9" s="138">
        <f>VLOOKUP($D9,mapping!$F:$X,14,0)</f>
        <v>240.89676</v>
      </c>
      <c r="I9" s="48">
        <f t="shared" si="0"/>
        <v>24.089676000000001</v>
      </c>
      <c r="J9" s="139">
        <f t="shared" si="1"/>
        <v>225.2384706</v>
      </c>
      <c r="K9" s="139">
        <f t="shared" si="2"/>
        <v>250.95619917310796</v>
      </c>
      <c r="L9" s="139">
        <f t="shared" si="3"/>
        <v>17.816363024460003</v>
      </c>
      <c r="M9" s="139">
        <f t="shared" si="4"/>
        <v>233.13983614864796</v>
      </c>
      <c r="N9" s="140">
        <f t="shared" si="5"/>
        <v>7.0000000000000021E-2</v>
      </c>
      <c r="O9" s="161">
        <v>2.3313983614864795</v>
      </c>
    </row>
  </sheetData>
  <phoneticPr fontId="2"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5922D5-AB70-4F3C-8893-4668BA96DD7A}">
  <dimension ref="A1:BQ61"/>
  <sheetViews>
    <sheetView topLeftCell="B1" zoomScale="62" zoomScaleNormal="62" workbookViewId="0">
      <selection activeCell="P11" sqref="P11"/>
    </sheetView>
  </sheetViews>
  <sheetFormatPr defaultColWidth="8.6328125" defaultRowHeight="14.5"/>
  <cols>
    <col min="1" max="1" width="3.453125" style="169" customWidth="1"/>
    <col min="2" max="2" width="7.6328125" style="169" customWidth="1"/>
    <col min="3" max="3" width="6.7265625" style="169" customWidth="1"/>
    <col min="4" max="4" width="8.6328125" style="169"/>
    <col min="5" max="5" width="35.08984375" style="169" customWidth="1"/>
    <col min="6" max="6" width="6.7265625" style="169" customWidth="1"/>
    <col min="7" max="7" width="9.81640625" style="169" customWidth="1"/>
    <col min="8" max="8" width="7.36328125" style="169" customWidth="1"/>
    <col min="9" max="9" width="8.6328125" style="169" customWidth="1"/>
    <col min="10" max="10" width="11.453125" style="169" customWidth="1"/>
    <col min="11" max="21" width="8.6328125" style="169" customWidth="1"/>
    <col min="22" max="22" width="1.26953125" style="169" customWidth="1"/>
    <col min="23" max="26" width="8.6328125" style="169" customWidth="1"/>
    <col min="27" max="27" width="0.81640625" style="169" customWidth="1"/>
    <col min="28" max="29" width="8.08984375" style="169" customWidth="1"/>
    <col min="30" max="30" width="1.6328125" style="169" customWidth="1"/>
    <col min="31" max="33" width="10.36328125" style="169" customWidth="1"/>
    <col min="34" max="34" width="1.6328125" style="169" customWidth="1"/>
    <col min="35" max="37" width="10.36328125" style="169" customWidth="1"/>
    <col min="38" max="38" width="10.36328125" style="227" customWidth="1"/>
    <col min="39" max="44" width="10.36328125" style="169" customWidth="1"/>
    <col min="45" max="45" width="3.1796875" style="169" customWidth="1"/>
    <col min="46" max="50" width="8.36328125" style="169" customWidth="1"/>
    <col min="51" max="51" width="1.36328125" style="169" customWidth="1"/>
    <col min="52" max="53" width="8.6328125" style="169" customWidth="1"/>
    <col min="54" max="54" width="25.81640625" style="169" customWidth="1"/>
    <col min="55" max="57" width="8.08984375" style="169" customWidth="1"/>
    <col min="58" max="60" width="8.6328125" style="169" customWidth="1"/>
    <col min="61" max="61" width="36" style="169" customWidth="1"/>
    <col min="62" max="64" width="8.6328125" style="169" customWidth="1"/>
    <col min="65" max="65" width="1.08984375" style="169" customWidth="1"/>
    <col min="66" max="16384" width="8.6328125" style="169"/>
  </cols>
  <sheetData>
    <row r="1" spans="1:69" ht="40" customHeight="1" thickBot="1">
      <c r="A1" s="165"/>
      <c r="B1" s="507"/>
      <c r="C1" s="508"/>
      <c r="D1" s="508"/>
      <c r="E1" s="508"/>
      <c r="F1" s="508"/>
      <c r="G1" s="508"/>
      <c r="H1" s="509"/>
      <c r="I1" s="166" t="s">
        <v>431</v>
      </c>
      <c r="J1" s="166" t="s">
        <v>432</v>
      </c>
      <c r="K1" s="166" t="s">
        <v>433</v>
      </c>
      <c r="L1" s="166" t="s">
        <v>434</v>
      </c>
      <c r="M1" s="166" t="s">
        <v>435</v>
      </c>
      <c r="N1" s="166">
        <f>62/4/8</f>
        <v>1.9375</v>
      </c>
      <c r="O1" s="166"/>
      <c r="P1" s="166" t="s">
        <v>436</v>
      </c>
      <c r="Q1" s="166"/>
      <c r="R1" s="166"/>
      <c r="S1" s="166"/>
      <c r="T1" s="166" t="s">
        <v>437</v>
      </c>
      <c r="U1" s="167"/>
      <c r="V1" s="165"/>
      <c r="W1" s="166" t="s">
        <v>438</v>
      </c>
      <c r="X1" s="166" t="s">
        <v>439</v>
      </c>
      <c r="Y1" s="167"/>
      <c r="Z1" s="167"/>
      <c r="AA1" s="165"/>
      <c r="AB1" s="165"/>
      <c r="AC1" s="165"/>
      <c r="AD1" s="165"/>
      <c r="AE1" s="165" t="s">
        <v>440</v>
      </c>
      <c r="AF1" s="510" t="s">
        <v>441</v>
      </c>
      <c r="AG1" s="510"/>
      <c r="AH1" s="165"/>
      <c r="AI1" s="165"/>
      <c r="AJ1" s="165"/>
      <c r="AK1" s="165"/>
      <c r="AL1" s="168"/>
      <c r="AM1" s="165"/>
      <c r="AN1" s="165"/>
      <c r="AO1" s="165"/>
      <c r="AP1" s="165"/>
      <c r="AQ1" s="165"/>
      <c r="AR1" s="165"/>
      <c r="AS1" s="165"/>
      <c r="AT1" s="165"/>
      <c r="AU1" s="165"/>
      <c r="AV1" s="165"/>
      <c r="AW1" s="165"/>
      <c r="AX1" s="165"/>
      <c r="AY1" s="165"/>
      <c r="AZ1" s="165"/>
      <c r="BA1" s="165"/>
      <c r="BB1" s="165"/>
      <c r="BC1" s="165"/>
    </row>
    <row r="2" spans="1:69" ht="14" customHeight="1">
      <c r="A2" s="511" t="s">
        <v>442</v>
      </c>
      <c r="B2" s="511" t="s">
        <v>25</v>
      </c>
      <c r="C2" s="511" t="s">
        <v>443</v>
      </c>
      <c r="D2" s="511" t="s">
        <v>444</v>
      </c>
      <c r="E2" s="513" t="s">
        <v>445</v>
      </c>
      <c r="F2" s="170" t="s">
        <v>446</v>
      </c>
      <c r="G2" s="515" t="s">
        <v>447</v>
      </c>
      <c r="H2" s="515" t="s">
        <v>448</v>
      </c>
      <c r="I2" s="171" t="s">
        <v>449</v>
      </c>
      <c r="J2" s="493" t="s">
        <v>11</v>
      </c>
      <c r="K2" s="500" t="s">
        <v>12</v>
      </c>
      <c r="L2" s="515" t="s">
        <v>380</v>
      </c>
      <c r="M2" s="500" t="s">
        <v>381</v>
      </c>
      <c r="N2" s="500" t="s">
        <v>450</v>
      </c>
      <c r="O2" s="500" t="s">
        <v>451</v>
      </c>
      <c r="P2" s="500" t="s">
        <v>452</v>
      </c>
      <c r="Q2" s="500" t="s">
        <v>453</v>
      </c>
      <c r="R2" s="500" t="s">
        <v>454</v>
      </c>
      <c r="S2" s="500" t="s">
        <v>455</v>
      </c>
      <c r="T2" s="500" t="s">
        <v>456</v>
      </c>
      <c r="U2" s="500" t="s">
        <v>457</v>
      </c>
      <c r="V2" s="172"/>
      <c r="W2" s="500" t="s">
        <v>13</v>
      </c>
      <c r="X2" s="500" t="s">
        <v>450</v>
      </c>
      <c r="Y2" s="504" t="s">
        <v>458</v>
      </c>
      <c r="Z2" s="504" t="s">
        <v>459</v>
      </c>
      <c r="AA2" s="172"/>
      <c r="AB2" s="504" t="s">
        <v>460</v>
      </c>
      <c r="AC2" s="504" t="s">
        <v>461</v>
      </c>
      <c r="AD2" s="173"/>
      <c r="AE2" s="500" t="s">
        <v>462</v>
      </c>
      <c r="AF2" s="500" t="s">
        <v>463</v>
      </c>
      <c r="AG2" s="500" t="s">
        <v>464</v>
      </c>
      <c r="AH2" s="172"/>
      <c r="AI2" s="500" t="s">
        <v>465</v>
      </c>
      <c r="AJ2" s="500" t="s">
        <v>466</v>
      </c>
      <c r="AK2" s="500" t="s">
        <v>467</v>
      </c>
      <c r="AL2" s="505" t="s">
        <v>468</v>
      </c>
      <c r="AM2" s="500" t="s">
        <v>469</v>
      </c>
      <c r="AN2" s="500" t="s">
        <v>470</v>
      </c>
      <c r="AO2" s="502" t="s">
        <v>471</v>
      </c>
      <c r="AP2" s="500" t="s">
        <v>465</v>
      </c>
      <c r="AQ2" s="500" t="s">
        <v>472</v>
      </c>
      <c r="AR2" s="500" t="s">
        <v>473</v>
      </c>
      <c r="AS2" s="172"/>
      <c r="AT2" s="504" t="s">
        <v>474</v>
      </c>
      <c r="AU2" s="504" t="s">
        <v>475</v>
      </c>
      <c r="AV2" s="504" t="s">
        <v>476</v>
      </c>
      <c r="AW2" s="504" t="s">
        <v>477</v>
      </c>
      <c r="AX2" s="504" t="s">
        <v>478</v>
      </c>
      <c r="AY2" s="172"/>
      <c r="AZ2" s="497" t="s">
        <v>479</v>
      </c>
      <c r="BA2" s="497" t="s">
        <v>480</v>
      </c>
      <c r="BB2" s="498" t="s">
        <v>445</v>
      </c>
      <c r="BC2" s="499" t="s">
        <v>481</v>
      </c>
      <c r="BD2" s="499" t="s">
        <v>482</v>
      </c>
      <c r="BE2" s="499" t="s">
        <v>483</v>
      </c>
      <c r="BF2" s="172"/>
      <c r="BG2" s="172"/>
      <c r="BH2" s="490" t="s">
        <v>484</v>
      </c>
      <c r="BI2" s="490" t="s">
        <v>4</v>
      </c>
      <c r="BJ2" s="490" t="s">
        <v>481</v>
      </c>
      <c r="BK2" s="490" t="s">
        <v>482</v>
      </c>
      <c r="BL2" s="490" t="s">
        <v>483</v>
      </c>
      <c r="BN2" s="171" t="s">
        <v>449</v>
      </c>
      <c r="BO2" s="493" t="s">
        <v>485</v>
      </c>
      <c r="BP2" s="171" t="s">
        <v>449</v>
      </c>
      <c r="BQ2" s="171" t="s">
        <v>486</v>
      </c>
    </row>
    <row r="3" spans="1:69" ht="16.5" customHeight="1">
      <c r="A3" s="511"/>
      <c r="B3" s="511"/>
      <c r="C3" s="511"/>
      <c r="D3" s="511"/>
      <c r="E3" s="513"/>
      <c r="F3" s="495" t="s">
        <v>487</v>
      </c>
      <c r="G3" s="515"/>
      <c r="H3" s="515"/>
      <c r="I3" s="174" t="s">
        <v>488</v>
      </c>
      <c r="J3" s="494"/>
      <c r="K3" s="500"/>
      <c r="L3" s="515"/>
      <c r="M3" s="500"/>
      <c r="N3" s="500"/>
      <c r="O3" s="500"/>
      <c r="P3" s="500"/>
      <c r="Q3" s="500"/>
      <c r="R3" s="500"/>
      <c r="S3" s="500"/>
      <c r="T3" s="500"/>
      <c r="U3" s="500"/>
      <c r="V3" s="172"/>
      <c r="W3" s="500"/>
      <c r="X3" s="500"/>
      <c r="Y3" s="504"/>
      <c r="Z3" s="504"/>
      <c r="AA3" s="172"/>
      <c r="AB3" s="504"/>
      <c r="AC3" s="504"/>
      <c r="AD3" s="173"/>
      <c r="AE3" s="500"/>
      <c r="AF3" s="500"/>
      <c r="AG3" s="500"/>
      <c r="AH3" s="172"/>
      <c r="AI3" s="500"/>
      <c r="AJ3" s="500"/>
      <c r="AK3" s="500"/>
      <c r="AL3" s="505"/>
      <c r="AM3" s="500"/>
      <c r="AN3" s="500"/>
      <c r="AO3" s="502"/>
      <c r="AP3" s="500"/>
      <c r="AQ3" s="500"/>
      <c r="AR3" s="500"/>
      <c r="AS3" s="172"/>
      <c r="AT3" s="504"/>
      <c r="AU3" s="504"/>
      <c r="AV3" s="504"/>
      <c r="AW3" s="504"/>
      <c r="AX3" s="504"/>
      <c r="AY3" s="172"/>
      <c r="AZ3" s="497"/>
      <c r="BA3" s="497"/>
      <c r="BB3" s="498"/>
      <c r="BC3" s="499"/>
      <c r="BD3" s="499"/>
      <c r="BE3" s="499"/>
      <c r="BF3" s="172"/>
      <c r="BG3" s="172"/>
      <c r="BH3" s="491"/>
      <c r="BI3" s="491"/>
      <c r="BJ3" s="491"/>
      <c r="BK3" s="491"/>
      <c r="BL3" s="491"/>
      <c r="BN3" s="174" t="s">
        <v>488</v>
      </c>
      <c r="BO3" s="494"/>
      <c r="BP3" s="174" t="s">
        <v>488</v>
      </c>
      <c r="BQ3" s="174" t="s">
        <v>488</v>
      </c>
    </row>
    <row r="4" spans="1:69" ht="16.5">
      <c r="A4" s="512"/>
      <c r="B4" s="512"/>
      <c r="C4" s="512"/>
      <c r="D4" s="512"/>
      <c r="E4" s="514"/>
      <c r="F4" s="496"/>
      <c r="G4" s="496"/>
      <c r="H4" s="496"/>
      <c r="I4" s="174"/>
      <c r="J4" s="174" t="s">
        <v>489</v>
      </c>
      <c r="K4" s="501"/>
      <c r="L4" s="496"/>
      <c r="M4" s="501"/>
      <c r="N4" s="501"/>
      <c r="O4" s="501"/>
      <c r="P4" s="501"/>
      <c r="Q4" s="501"/>
      <c r="R4" s="501"/>
      <c r="S4" s="501"/>
      <c r="T4" s="501"/>
      <c r="U4" s="501"/>
      <c r="V4" s="172"/>
      <c r="W4" s="501"/>
      <c r="X4" s="501"/>
      <c r="Y4" s="504"/>
      <c r="Z4" s="504"/>
      <c r="AA4" s="172"/>
      <c r="AB4" s="504"/>
      <c r="AC4" s="504"/>
      <c r="AD4" s="173"/>
      <c r="AE4" s="501"/>
      <c r="AF4" s="501"/>
      <c r="AG4" s="501"/>
      <c r="AH4" s="172"/>
      <c r="AI4" s="501"/>
      <c r="AJ4" s="501"/>
      <c r="AK4" s="501"/>
      <c r="AL4" s="506"/>
      <c r="AM4" s="501"/>
      <c r="AN4" s="501"/>
      <c r="AO4" s="503"/>
      <c r="AP4" s="501"/>
      <c r="AQ4" s="501"/>
      <c r="AR4" s="501"/>
      <c r="AS4" s="172"/>
      <c r="AT4" s="504" t="s">
        <v>490</v>
      </c>
      <c r="AU4" s="504" t="s">
        <v>490</v>
      </c>
      <c r="AV4" s="504" t="s">
        <v>490</v>
      </c>
      <c r="AW4" s="504" t="s">
        <v>490</v>
      </c>
      <c r="AX4" s="504" t="s">
        <v>490</v>
      </c>
      <c r="AY4" s="172"/>
      <c r="AZ4" s="497"/>
      <c r="BA4" s="497"/>
      <c r="BB4" s="498"/>
      <c r="BC4" s="175" t="s">
        <v>491</v>
      </c>
      <c r="BD4" s="175" t="s">
        <v>491</v>
      </c>
      <c r="BE4" s="175" t="s">
        <v>491</v>
      </c>
      <c r="BF4" s="172"/>
      <c r="BG4" s="172"/>
      <c r="BH4" s="492"/>
      <c r="BI4" s="492"/>
      <c r="BJ4" s="492"/>
      <c r="BK4" s="492"/>
      <c r="BL4" s="492"/>
      <c r="BN4" s="174"/>
      <c r="BO4" s="174" t="s">
        <v>489</v>
      </c>
      <c r="BP4" s="174"/>
      <c r="BQ4" s="174"/>
    </row>
    <row r="5" spans="1:69" ht="16.5">
      <c r="A5" s="176">
        <v>1</v>
      </c>
      <c r="B5" s="177" t="s">
        <v>225</v>
      </c>
      <c r="C5" s="178" t="s">
        <v>492</v>
      </c>
      <c r="D5" s="179" t="s">
        <v>493</v>
      </c>
      <c r="E5" s="180" t="s">
        <v>494</v>
      </c>
      <c r="F5" s="181">
        <v>36</v>
      </c>
      <c r="G5" s="181" t="s">
        <v>231</v>
      </c>
      <c r="H5" s="181">
        <v>90</v>
      </c>
      <c r="I5" s="182">
        <v>208.46834000000001</v>
      </c>
      <c r="J5" s="182">
        <v>194.91789790000001</v>
      </c>
      <c r="K5" s="182">
        <f t="shared" ref="K5:K30" si="0">J5*1.13*0.966</f>
        <v>212.768478989682</v>
      </c>
      <c r="L5" s="182">
        <f>J5*1.13*P5</f>
        <v>39.646300432859995</v>
      </c>
      <c r="M5" s="182">
        <f t="shared" ref="M5:M30" si="1">K5-L5</f>
        <v>173.12217855682201</v>
      </c>
      <c r="N5" s="183">
        <f>M5/36/9</f>
        <v>0.5343277115951296</v>
      </c>
      <c r="O5" s="182">
        <f>N5*10</f>
        <v>5.3432771159512962</v>
      </c>
      <c r="P5" s="184">
        <v>0.18</v>
      </c>
      <c r="Q5" s="185">
        <f>VLOOKUP(D5,[4]备注!A:C,2,0)</f>
        <v>0.40313590045615566</v>
      </c>
      <c r="R5" s="185">
        <v>2.7E-2</v>
      </c>
      <c r="S5" s="186">
        <f>I5*0.935*(1-3.4%-P5)</f>
        <v>153.20546774940001</v>
      </c>
      <c r="T5" s="182">
        <f>S5-I5*(Q5+R5)</f>
        <v>63.535750606899995</v>
      </c>
      <c r="U5" s="187">
        <f>T5/S5</f>
        <v>0.41470941958041713</v>
      </c>
      <c r="V5" s="172"/>
      <c r="W5" s="188">
        <v>0.15</v>
      </c>
      <c r="X5" s="182">
        <v>0.55000000000000004</v>
      </c>
      <c r="Y5" s="182">
        <v>0.79</v>
      </c>
      <c r="Z5" s="182"/>
      <c r="AA5" s="172"/>
      <c r="AB5" s="182">
        <f>Y5-X5</f>
        <v>0.24</v>
      </c>
      <c r="AC5" s="189">
        <f>AB5/N5</f>
        <v>0.44916255472419259</v>
      </c>
      <c r="AD5" s="190"/>
      <c r="AE5" s="191">
        <v>0.21299999999999999</v>
      </c>
      <c r="AF5" s="191">
        <v>0.03</v>
      </c>
      <c r="AG5" s="191">
        <v>0.03</v>
      </c>
      <c r="AH5" s="172"/>
      <c r="AI5" s="191">
        <v>0.21299999999999999</v>
      </c>
      <c r="AJ5" s="191" t="s">
        <v>495</v>
      </c>
      <c r="AK5" s="191">
        <f>VLOOKUP(D5,[4]Sheet1!R:S,2,0)</f>
        <v>0.15</v>
      </c>
      <c r="AL5" s="192"/>
      <c r="AM5" s="191">
        <f>VLOOKUP(D5,[4]Sheet1!A:C,3,0)</f>
        <v>0.03</v>
      </c>
      <c r="AN5" s="193">
        <f>VLOOKUP(D5,[4]备注!J:K,2,0)</f>
        <v>5</v>
      </c>
      <c r="AO5" s="194"/>
      <c r="AP5" s="195">
        <v>5.118941053831203</v>
      </c>
      <c r="AQ5" s="191"/>
      <c r="AR5" s="191">
        <f>VLOOKUP(D5,[4]Sheet1!U:V,2,0)</f>
        <v>0.03</v>
      </c>
      <c r="AS5" s="172"/>
      <c r="AT5" s="196">
        <v>288.33001999999993</v>
      </c>
      <c r="AU5" s="196">
        <v>48.180750000000003</v>
      </c>
      <c r="AV5" s="196">
        <v>-0.21914</v>
      </c>
      <c r="AW5" s="196">
        <v>27.512389999999996</v>
      </c>
      <c r="AX5" s="197">
        <f>AT5+AU5+AV5+AW5</f>
        <v>363.80401999999992</v>
      </c>
      <c r="AY5" s="198"/>
      <c r="AZ5" s="176" t="s">
        <v>225</v>
      </c>
      <c r="BA5" s="179" t="s">
        <v>493</v>
      </c>
      <c r="BB5" s="199" t="s">
        <v>289</v>
      </c>
      <c r="BC5" s="200">
        <v>0.03</v>
      </c>
      <c r="BD5" s="200">
        <v>0.05</v>
      </c>
      <c r="BE5" s="200">
        <v>0.15</v>
      </c>
      <c r="BF5" s="201">
        <f>P5-AI5</f>
        <v>-3.3000000000000002E-2</v>
      </c>
      <c r="BG5" s="172"/>
      <c r="BH5" s="202" t="s">
        <v>19</v>
      </c>
      <c r="BI5" s="199" t="s">
        <v>496</v>
      </c>
      <c r="BJ5" s="200">
        <v>0.3</v>
      </c>
      <c r="BK5" s="203">
        <v>0.35</v>
      </c>
      <c r="BL5" s="203">
        <v>0.45</v>
      </c>
      <c r="BN5" s="182">
        <v>208.46834000000001</v>
      </c>
      <c r="BO5" s="204">
        <f>(BN5-BP5)/BN5</f>
        <v>0.23922360248447194</v>
      </c>
      <c r="BP5" s="182">
        <f>BQ5/0.966</f>
        <v>158.59779270124227</v>
      </c>
      <c r="BQ5" s="182">
        <f>M5/1.13</f>
        <v>153.20546774940001</v>
      </c>
    </row>
    <row r="6" spans="1:69" ht="16.5">
      <c r="A6" s="205">
        <v>2</v>
      </c>
      <c r="B6" s="176" t="s">
        <v>44</v>
      </c>
      <c r="C6" s="178" t="s">
        <v>492</v>
      </c>
      <c r="D6" s="206" t="s">
        <v>8</v>
      </c>
      <c r="E6" s="180" t="s">
        <v>9</v>
      </c>
      <c r="F6" s="181">
        <v>4</v>
      </c>
      <c r="G6" s="181" t="s">
        <v>93</v>
      </c>
      <c r="H6" s="181">
        <v>400</v>
      </c>
      <c r="I6" s="182">
        <v>330.25036</v>
      </c>
      <c r="J6" s="182">
        <v>308.78408660000002</v>
      </c>
      <c r="K6" s="182">
        <f t="shared" si="0"/>
        <v>337.06253325082798</v>
      </c>
      <c r="L6" s="182">
        <f t="shared" ref="L6:L30" si="2">J6*1.13*P6</f>
        <v>140.1635813735586</v>
      </c>
      <c r="M6" s="182">
        <f t="shared" si="1"/>
        <v>196.89895187726938</v>
      </c>
      <c r="N6" s="183">
        <f>M6/F6/10</f>
        <v>4.9224737969317349</v>
      </c>
      <c r="O6" s="182">
        <f>N6*10</f>
        <v>49.224737969317346</v>
      </c>
      <c r="P6" s="184">
        <v>0.4017</v>
      </c>
      <c r="Q6" s="185">
        <f>VLOOKUP(D6,[4]备注!A:C,2,0)</f>
        <v>0.29580527930385908</v>
      </c>
      <c r="R6" s="185">
        <v>2.7E-2</v>
      </c>
      <c r="S6" s="186">
        <f t="shared" ref="S6:S30" si="3">I6*0.935*(1-3.4%-P6)</f>
        <v>174.24686006838002</v>
      </c>
      <c r="T6" s="182">
        <f t="shared" ref="T6:T30" si="4">S6-I6*(Q6+R6)</f>
        <v>67.640300368379997</v>
      </c>
      <c r="U6" s="187">
        <f t="shared" ref="U6:U29" si="5">T6/S6</f>
        <v>0.38818662409087767</v>
      </c>
      <c r="V6" s="172"/>
      <c r="W6" s="188">
        <v>0.35</v>
      </c>
      <c r="X6" s="182">
        <v>5.37</v>
      </c>
      <c r="Y6" s="182">
        <f>52.9/10</f>
        <v>5.29</v>
      </c>
      <c r="Z6" s="182"/>
      <c r="AA6" s="172"/>
      <c r="AB6" s="182">
        <f t="shared" ref="AB6:AB30" si="6">Y6-X6</f>
        <v>-8.0000000000000071E-2</v>
      </c>
      <c r="AC6" s="189">
        <f t="shared" ref="AC6:AC30" si="7">AB6/N6</f>
        <v>-1.6251991031392687E-2</v>
      </c>
      <c r="AD6" s="190"/>
      <c r="AE6" s="191">
        <v>0.4017</v>
      </c>
      <c r="AF6" s="191">
        <v>0.4017</v>
      </c>
      <c r="AG6" s="191">
        <v>0.4017</v>
      </c>
      <c r="AH6" s="172"/>
      <c r="AI6" s="191">
        <v>0.4017</v>
      </c>
      <c r="AJ6" s="191">
        <v>0.38</v>
      </c>
      <c r="AK6" s="191">
        <f>VLOOKUP(D6,[4]Sheet1!R:S,2,0)</f>
        <v>0.35</v>
      </c>
      <c r="AL6" s="192"/>
      <c r="AM6" s="191">
        <f>VLOOKUP(D6,[4]Sheet1!A:C,3,0)</f>
        <v>0.4017</v>
      </c>
      <c r="AN6" s="193"/>
      <c r="AO6" s="194"/>
      <c r="AP6" s="195">
        <v>49.224737969317346</v>
      </c>
      <c r="AQ6" s="191"/>
      <c r="AR6" s="191">
        <f>VLOOKUP(D6,[4]Sheet1!U:V,2,0)</f>
        <v>0.4017</v>
      </c>
      <c r="AS6" s="172"/>
      <c r="AT6" s="196">
        <v>149.39321000000004</v>
      </c>
      <c r="AU6" s="196">
        <v>40.420639999999985</v>
      </c>
      <c r="AV6" s="196">
        <v>32.615460000000006</v>
      </c>
      <c r="AW6" s="196">
        <v>321.71114999999963</v>
      </c>
      <c r="AX6" s="197">
        <f t="shared" ref="AX6:AX31" si="8">AT6+AU6+AV6+AW6</f>
        <v>544.14045999999962</v>
      </c>
      <c r="AY6" s="198"/>
      <c r="AZ6" s="176" t="s">
        <v>44</v>
      </c>
      <c r="BA6" s="206" t="s">
        <v>8</v>
      </c>
      <c r="BB6" s="199" t="s">
        <v>9</v>
      </c>
      <c r="BC6" s="200">
        <v>0.2</v>
      </c>
      <c r="BD6" s="200">
        <v>0.25</v>
      </c>
      <c r="BE6" s="200">
        <v>0.35</v>
      </c>
      <c r="BF6" s="172"/>
      <c r="BG6" s="172"/>
      <c r="BH6" s="202" t="s">
        <v>8</v>
      </c>
      <c r="BI6" s="199" t="s">
        <v>9</v>
      </c>
      <c r="BJ6" s="200">
        <v>0.2</v>
      </c>
      <c r="BK6" s="203">
        <v>0.25</v>
      </c>
      <c r="BL6" s="203">
        <v>0.35</v>
      </c>
      <c r="BN6" s="182">
        <v>330.25036</v>
      </c>
      <c r="BO6" s="204">
        <f>(BN6-BP6)/BN6</f>
        <v>0.45380900621118014</v>
      </c>
      <c r="BP6" s="182">
        <f t="shared" ref="BP6:BP32" si="9">BQ6/0.966</f>
        <v>180.37977232751552</v>
      </c>
      <c r="BQ6" s="182">
        <f t="shared" ref="BQ6:BQ32" si="10">M6/1.13</f>
        <v>174.24686006837999</v>
      </c>
    </row>
    <row r="7" spans="1:69" ht="16.5">
      <c r="A7" s="205">
        <v>3</v>
      </c>
      <c r="B7" s="177" t="s">
        <v>44</v>
      </c>
      <c r="C7" s="178" t="s">
        <v>492</v>
      </c>
      <c r="D7" s="179" t="s">
        <v>497</v>
      </c>
      <c r="E7" s="180" t="s">
        <v>498</v>
      </c>
      <c r="F7" s="181">
        <v>40</v>
      </c>
      <c r="G7" s="181" t="s">
        <v>87</v>
      </c>
      <c r="H7" s="181">
        <v>40</v>
      </c>
      <c r="I7" s="182">
        <v>367.52197000000001</v>
      </c>
      <c r="J7" s="182">
        <v>343.63304195000001</v>
      </c>
      <c r="K7" s="182">
        <f>J7*1.13*0.966</f>
        <v>375.10295593178091</v>
      </c>
      <c r="L7" s="182">
        <f>J7*1.13*P7</f>
        <v>194.92927937655696</v>
      </c>
      <c r="M7" s="182">
        <f>(K7-L7)</f>
        <v>180.17367655522395</v>
      </c>
      <c r="N7" s="183">
        <f>M7/F7</f>
        <v>4.5043419138805989</v>
      </c>
      <c r="O7" s="182">
        <f>N7*10</f>
        <v>45.043419138805987</v>
      </c>
      <c r="P7" s="184">
        <v>0.502</v>
      </c>
      <c r="Q7" s="185">
        <f>VLOOKUP(D7,[4]备注!A:C,2,0)</f>
        <v>0.2510336854873374</v>
      </c>
      <c r="R7" s="185">
        <v>2.7E-2</v>
      </c>
      <c r="S7" s="186">
        <f t="shared" si="3"/>
        <v>159.44573146479999</v>
      </c>
      <c r="T7" s="182">
        <f>S7-I7*(Q7+R7)</f>
        <v>57.262243648133335</v>
      </c>
      <c r="U7" s="187">
        <f t="shared" si="5"/>
        <v>0.35913312399193842</v>
      </c>
      <c r="V7" s="172"/>
      <c r="W7" s="188">
        <v>0.45</v>
      </c>
      <c r="X7" s="182">
        <v>5.0091388525051483</v>
      </c>
      <c r="Y7" s="182">
        <v>5.9</v>
      </c>
      <c r="Z7" s="182">
        <v>4</v>
      </c>
      <c r="AA7" s="172"/>
      <c r="AB7" s="182">
        <f t="shared" si="6"/>
        <v>0.89086114749485201</v>
      </c>
      <c r="AC7" s="189">
        <f t="shared" si="7"/>
        <v>0.19777831357552378</v>
      </c>
      <c r="AD7" s="190"/>
      <c r="AE7" s="191">
        <v>0.47899999999999998</v>
      </c>
      <c r="AF7" s="191">
        <v>0.45179999999999998</v>
      </c>
      <c r="AG7" s="191">
        <v>0.45</v>
      </c>
      <c r="AH7" s="172"/>
      <c r="AI7" s="191">
        <v>0.47899999999999998</v>
      </c>
      <c r="AJ7" s="191">
        <v>0.45</v>
      </c>
      <c r="AK7" s="191">
        <f>VLOOKUP(D7,[4]Sheet1!R:S,2,0)</f>
        <v>0.45</v>
      </c>
      <c r="AL7" s="192">
        <v>0.51839999999999997</v>
      </c>
      <c r="AM7" s="191">
        <f>VLOOKUP(D7,[4]Sheet1!A:C,3,0)</f>
        <v>0.45179999999999998</v>
      </c>
      <c r="AN7" s="193">
        <f>VLOOKUP(D7,[4]备注!J:K,2,0)</f>
        <v>5</v>
      </c>
      <c r="AO7" s="194">
        <v>14300</v>
      </c>
      <c r="AP7" s="195">
        <v>47.276174828876108</v>
      </c>
      <c r="AQ7" s="191">
        <v>0.45</v>
      </c>
      <c r="AR7" s="191">
        <f>VLOOKUP(D7,[4]Sheet1!U:V,2,0)</f>
        <v>0.45179999999999998</v>
      </c>
      <c r="AS7" s="172"/>
      <c r="AT7" s="196">
        <v>1756.7409700000014</v>
      </c>
      <c r="AU7" s="196">
        <v>1032.6830599999996</v>
      </c>
      <c r="AV7" s="196">
        <v>17.053130000000003</v>
      </c>
      <c r="AW7" s="196">
        <v>732.17604999999912</v>
      </c>
      <c r="AX7" s="197">
        <f t="shared" si="8"/>
        <v>3538.6532099999999</v>
      </c>
      <c r="AY7" s="198"/>
      <c r="AZ7" s="176" t="s">
        <v>44</v>
      </c>
      <c r="BA7" s="179" t="s">
        <v>497</v>
      </c>
      <c r="BB7" s="199" t="s">
        <v>496</v>
      </c>
      <c r="BC7" s="200">
        <v>0.3</v>
      </c>
      <c r="BD7" s="200">
        <v>0.35</v>
      </c>
      <c r="BE7" s="200">
        <v>0.45</v>
      </c>
      <c r="BF7" s="201">
        <f>P7-AI7</f>
        <v>2.300000000000002E-2</v>
      </c>
      <c r="BG7" s="172"/>
      <c r="BH7" s="202" t="s">
        <v>2</v>
      </c>
      <c r="BI7" s="199" t="s">
        <v>3</v>
      </c>
      <c r="BJ7" s="200">
        <v>0.18</v>
      </c>
      <c r="BK7" s="203">
        <v>0.22</v>
      </c>
      <c r="BL7" s="203">
        <v>0.25</v>
      </c>
      <c r="BN7" s="182">
        <v>367.52197000000001</v>
      </c>
      <c r="BO7" s="204">
        <f t="shared" ref="BO7:BO30" si="11">(BN7-BP7)/BN7</f>
        <v>0.55089026915113881</v>
      </c>
      <c r="BP7" s="182">
        <f t="shared" si="9"/>
        <v>165.05769302774323</v>
      </c>
      <c r="BQ7" s="182">
        <f t="shared" si="10"/>
        <v>159.44573146479996</v>
      </c>
    </row>
    <row r="8" spans="1:69" ht="16.5">
      <c r="A8" s="176">
        <v>4</v>
      </c>
      <c r="B8" s="176" t="s">
        <v>44</v>
      </c>
      <c r="C8" s="178" t="s">
        <v>492</v>
      </c>
      <c r="D8" s="206" t="s">
        <v>499</v>
      </c>
      <c r="E8" s="180" t="s">
        <v>288</v>
      </c>
      <c r="F8" s="181">
        <v>4</v>
      </c>
      <c r="G8" s="181" t="s">
        <v>122</v>
      </c>
      <c r="H8" s="181">
        <v>240</v>
      </c>
      <c r="I8" s="182">
        <v>255.40530999999999</v>
      </c>
      <c r="J8" s="182">
        <v>238.80396485</v>
      </c>
      <c r="K8" s="182">
        <f t="shared" si="0"/>
        <v>260.673631950963</v>
      </c>
      <c r="L8" s="182">
        <f t="shared" si="2"/>
        <v>107.9393921122</v>
      </c>
      <c r="M8" s="182">
        <f t="shared" si="1"/>
        <v>152.73423983876302</v>
      </c>
      <c r="N8" s="183">
        <f>M8/40</f>
        <v>3.8183559959690756</v>
      </c>
      <c r="O8" s="182">
        <f>N8*10</f>
        <v>38.183559959690754</v>
      </c>
      <c r="P8" s="184">
        <v>0.4</v>
      </c>
      <c r="Q8" s="185">
        <f>VLOOKUP(D8,[4]备注!A:C,2,0)</f>
        <v>0.24574617729495651</v>
      </c>
      <c r="R8" s="185">
        <v>2.7E-2</v>
      </c>
      <c r="S8" s="186">
        <f t="shared" si="3"/>
        <v>135.1630441051</v>
      </c>
      <c r="T8" s="182">
        <f t="shared" si="4"/>
        <v>65.502222141766666</v>
      </c>
      <c r="U8" s="187">
        <f t="shared" si="5"/>
        <v>0.4846163577881058</v>
      </c>
      <c r="V8" s="172"/>
      <c r="W8" s="188">
        <v>0.4</v>
      </c>
      <c r="X8" s="182">
        <v>3.82</v>
      </c>
      <c r="Y8" s="182">
        <f>42.9/10</f>
        <v>4.29</v>
      </c>
      <c r="Z8" s="182"/>
      <c r="AA8" s="172"/>
      <c r="AB8" s="182">
        <f t="shared" si="6"/>
        <v>0.4700000000000002</v>
      </c>
      <c r="AC8" s="189">
        <f t="shared" si="7"/>
        <v>0.12308962299381335</v>
      </c>
      <c r="AD8" s="190"/>
      <c r="AE8" s="207">
        <v>0.4</v>
      </c>
      <c r="AF8" s="191">
        <v>0.3</v>
      </c>
      <c r="AG8" s="191">
        <v>0.3</v>
      </c>
      <c r="AH8" s="172"/>
      <c r="AI8" s="207">
        <v>0.4</v>
      </c>
      <c r="AJ8" s="191" t="s">
        <v>495</v>
      </c>
      <c r="AK8" s="191">
        <f>VLOOKUP(D8,[4]Sheet1!R:S,2,0)</f>
        <v>0.4</v>
      </c>
      <c r="AL8" s="192"/>
      <c r="AM8" s="191" t="s">
        <v>495</v>
      </c>
      <c r="AN8" s="193">
        <f>VLOOKUP(D8,[4]备注!J:K,2,0)</f>
        <v>4.2</v>
      </c>
      <c r="AO8" s="194"/>
      <c r="AP8" s="195">
        <v>38.183559959690754</v>
      </c>
      <c r="AQ8" s="191"/>
      <c r="AR8" s="191">
        <f>VLOOKUP(D8,[4]Sheet1!U:V,2,0)</f>
        <v>0.25</v>
      </c>
      <c r="AS8" s="172"/>
      <c r="AT8" s="196">
        <v>38.582760000000007</v>
      </c>
      <c r="AU8" s="196">
        <v>6.0529499999999965</v>
      </c>
      <c r="AV8" s="196">
        <v>-0.16891000000000003</v>
      </c>
      <c r="AW8" s="196">
        <v>-5.5273599999999998</v>
      </c>
      <c r="AX8" s="197">
        <f t="shared" si="8"/>
        <v>38.939440000000005</v>
      </c>
      <c r="AY8" s="198"/>
      <c r="AZ8" s="176" t="s">
        <v>44</v>
      </c>
      <c r="BA8" s="206" t="s">
        <v>499</v>
      </c>
      <c r="BB8" s="199" t="s">
        <v>288</v>
      </c>
      <c r="BC8" s="200">
        <v>0.25</v>
      </c>
      <c r="BD8" s="200">
        <v>0.3</v>
      </c>
      <c r="BE8" s="200">
        <v>0.4</v>
      </c>
      <c r="BF8" s="201">
        <f>P8-AI8</f>
        <v>0</v>
      </c>
      <c r="BG8" s="172"/>
      <c r="BH8" s="202" t="s">
        <v>57</v>
      </c>
      <c r="BI8" s="199" t="s">
        <v>500</v>
      </c>
      <c r="BJ8" s="200">
        <v>0.2</v>
      </c>
      <c r="BK8" s="203">
        <v>0.25</v>
      </c>
      <c r="BL8" s="203">
        <v>0.3</v>
      </c>
      <c r="BN8" s="182">
        <v>255.40530999999999</v>
      </c>
      <c r="BO8" s="204">
        <f t="shared" si="11"/>
        <v>0.45216356107660438</v>
      </c>
      <c r="BP8" s="182">
        <f t="shared" si="9"/>
        <v>139.92033551252592</v>
      </c>
      <c r="BQ8" s="182">
        <f t="shared" si="10"/>
        <v>135.16304410510003</v>
      </c>
    </row>
    <row r="9" spans="1:69" ht="16.5">
      <c r="A9" s="176">
        <v>5</v>
      </c>
      <c r="B9" s="176" t="s">
        <v>44</v>
      </c>
      <c r="C9" s="178" t="s">
        <v>492</v>
      </c>
      <c r="D9" s="206" t="s">
        <v>501</v>
      </c>
      <c r="E9" s="180" t="s">
        <v>502</v>
      </c>
      <c r="F9" s="181">
        <v>1</v>
      </c>
      <c r="G9" s="181" t="s">
        <v>115</v>
      </c>
      <c r="H9" s="181">
        <v>240</v>
      </c>
      <c r="I9" s="182">
        <v>41.9</v>
      </c>
      <c r="J9" s="182">
        <v>39.176500000000004</v>
      </c>
      <c r="K9" s="182">
        <f t="shared" si="0"/>
        <v>42.764283869999993</v>
      </c>
      <c r="L9" s="182">
        <f t="shared" si="2"/>
        <v>11.510055700000001</v>
      </c>
      <c r="M9" s="182">
        <f t="shared" si="1"/>
        <v>31.25422816999999</v>
      </c>
      <c r="N9" s="183">
        <f>M9/4</f>
        <v>7.8135570424999976</v>
      </c>
      <c r="O9" s="182">
        <f>N9*4</f>
        <v>31.25422816999999</v>
      </c>
      <c r="P9" s="184">
        <v>0.26</v>
      </c>
      <c r="Q9" s="185">
        <f>VLOOKUP(D9,[4]备注!A:C,2,0)</f>
        <v>0.37668155089033695</v>
      </c>
      <c r="R9" s="185">
        <v>2.7E-2</v>
      </c>
      <c r="S9" s="186">
        <f t="shared" si="3"/>
        <v>27.658609000000002</v>
      </c>
      <c r="T9" s="182">
        <f t="shared" si="4"/>
        <v>10.744352017694883</v>
      </c>
      <c r="U9" s="187">
        <f t="shared" si="5"/>
        <v>0.3884632093282378</v>
      </c>
      <c r="V9" s="172"/>
      <c r="W9" s="188">
        <v>0.26</v>
      </c>
      <c r="X9" s="182">
        <v>7.81</v>
      </c>
      <c r="Y9" s="182">
        <f>36.9/4</f>
        <v>9.2249999999999996</v>
      </c>
      <c r="Z9" s="182"/>
      <c r="AA9" s="172"/>
      <c r="AB9" s="182">
        <f t="shared" si="6"/>
        <v>1.415</v>
      </c>
      <c r="AC9" s="189">
        <f t="shared" si="7"/>
        <v>0.18109549751840831</v>
      </c>
      <c r="AD9" s="190"/>
      <c r="AE9" s="207">
        <v>0.26</v>
      </c>
      <c r="AF9" s="191">
        <v>0.18</v>
      </c>
      <c r="AG9" s="191">
        <v>0.18</v>
      </c>
      <c r="AH9" s="172"/>
      <c r="AI9" s="207">
        <v>0.26</v>
      </c>
      <c r="AJ9" s="191" t="s">
        <v>495</v>
      </c>
      <c r="AK9" s="191">
        <f>VLOOKUP(D9,[4]Sheet1!R:S,2,0)</f>
        <v>0.26</v>
      </c>
      <c r="AL9" s="192"/>
      <c r="AM9" s="191" t="s">
        <v>495</v>
      </c>
      <c r="AN9" s="193"/>
      <c r="AO9" s="194"/>
      <c r="AP9" s="195">
        <v>31.25422816999999</v>
      </c>
      <c r="AQ9" s="191"/>
      <c r="AR9" s="191" t="s">
        <v>495</v>
      </c>
      <c r="AS9" s="172"/>
      <c r="AT9" s="196">
        <v>-2.1973699999999994</v>
      </c>
      <c r="AU9" s="196">
        <v>0.52603000000000011</v>
      </c>
      <c r="AV9" s="196">
        <v>-0.78947000000000001</v>
      </c>
      <c r="AW9" s="196">
        <v>-6.4030300000000002</v>
      </c>
      <c r="AX9" s="197">
        <f t="shared" si="8"/>
        <v>-8.8638399999999997</v>
      </c>
      <c r="AY9" s="198"/>
      <c r="AZ9" s="176" t="s">
        <v>44</v>
      </c>
      <c r="BA9" s="206" t="s">
        <v>501</v>
      </c>
      <c r="BB9" s="199" t="s">
        <v>287</v>
      </c>
      <c r="BC9" s="200">
        <v>0.18</v>
      </c>
      <c r="BD9" s="200">
        <v>0.25</v>
      </c>
      <c r="BE9" s="200">
        <v>0.26</v>
      </c>
      <c r="BF9" s="172"/>
      <c r="BG9" s="172"/>
      <c r="BH9" s="202" t="s">
        <v>47</v>
      </c>
      <c r="BI9" s="199" t="s">
        <v>503</v>
      </c>
      <c r="BJ9" s="200">
        <v>0.18</v>
      </c>
      <c r="BK9" s="203">
        <v>0.22</v>
      </c>
      <c r="BL9" s="203">
        <v>0.34499999999999997</v>
      </c>
      <c r="BN9" s="182">
        <v>41.9</v>
      </c>
      <c r="BO9" s="204">
        <f t="shared" si="11"/>
        <v>0.31665631469979305</v>
      </c>
      <c r="BP9" s="182">
        <f t="shared" si="9"/>
        <v>28.632100414078671</v>
      </c>
      <c r="BQ9" s="182">
        <f t="shared" si="10"/>
        <v>27.658608999999995</v>
      </c>
    </row>
    <row r="10" spans="1:69" ht="16.5">
      <c r="A10" s="176">
        <v>6</v>
      </c>
      <c r="B10" s="176" t="s">
        <v>44</v>
      </c>
      <c r="C10" s="178" t="s">
        <v>492</v>
      </c>
      <c r="D10" s="206" t="s">
        <v>504</v>
      </c>
      <c r="E10" s="180" t="s">
        <v>107</v>
      </c>
      <c r="F10" s="181">
        <v>24</v>
      </c>
      <c r="G10" s="181" t="s">
        <v>108</v>
      </c>
      <c r="H10" s="181">
        <v>60</v>
      </c>
      <c r="I10" s="182">
        <v>244.8</v>
      </c>
      <c r="J10" s="182">
        <v>228.88800000000003</v>
      </c>
      <c r="K10" s="182">
        <f t="shared" si="0"/>
        <v>249.84956303999999</v>
      </c>
      <c r="L10" s="182">
        <f t="shared" si="2"/>
        <v>62.074425599999998</v>
      </c>
      <c r="M10" s="182">
        <f t="shared" si="1"/>
        <v>187.77513743999998</v>
      </c>
      <c r="N10" s="183">
        <f>M10/24</f>
        <v>7.8239640599999989</v>
      </c>
      <c r="O10" s="182">
        <f>N10*24</f>
        <v>187.77513743999998</v>
      </c>
      <c r="P10" s="184">
        <v>0.24</v>
      </c>
      <c r="Q10" s="185">
        <f>VLOOKUP(D10,[4]备注!A:C,2,0)</f>
        <v>0.36780518336964413</v>
      </c>
      <c r="R10" s="185">
        <v>2.7E-2</v>
      </c>
      <c r="S10" s="186">
        <f t="shared" si="3"/>
        <v>166.17268800000002</v>
      </c>
      <c r="T10" s="182">
        <f t="shared" si="4"/>
        <v>69.524379111111131</v>
      </c>
      <c r="U10" s="187">
        <f t="shared" si="5"/>
        <v>0.41838631816024496</v>
      </c>
      <c r="V10" s="172"/>
      <c r="W10" s="188">
        <v>0.24</v>
      </c>
      <c r="X10" s="182">
        <v>7.82</v>
      </c>
      <c r="Y10" s="182">
        <v>9.9</v>
      </c>
      <c r="Z10" s="182"/>
      <c r="AA10" s="172"/>
      <c r="AB10" s="182">
        <f t="shared" si="6"/>
        <v>2.08</v>
      </c>
      <c r="AC10" s="189">
        <f t="shared" si="7"/>
        <v>0.26584989195361924</v>
      </c>
      <c r="AD10" s="190"/>
      <c r="AE10" s="207">
        <v>0.24</v>
      </c>
      <c r="AF10" s="191">
        <v>0.15</v>
      </c>
      <c r="AG10" s="191">
        <v>0.15</v>
      </c>
      <c r="AH10" s="172"/>
      <c r="AI10" s="207">
        <v>0.24</v>
      </c>
      <c r="AJ10" s="191" t="s">
        <v>495</v>
      </c>
      <c r="AK10" s="191">
        <f>VLOOKUP(D10,[4]Sheet1!R:S,2,0)</f>
        <v>0.24</v>
      </c>
      <c r="AL10" s="192"/>
      <c r="AM10" s="191" t="s">
        <v>495</v>
      </c>
      <c r="AN10" s="193">
        <f>VLOOKUP(D10,[4]备注!J:K,2,0)</f>
        <v>8.5</v>
      </c>
      <c r="AO10" s="194"/>
      <c r="AP10" s="195">
        <v>187.77513743999998</v>
      </c>
      <c r="AQ10" s="191"/>
      <c r="AR10" s="191" t="s">
        <v>495</v>
      </c>
      <c r="AS10" s="172"/>
      <c r="AT10" s="196">
        <v>34.339799999999997</v>
      </c>
      <c r="AU10" s="196">
        <v>3.2181600000000001</v>
      </c>
      <c r="AV10" s="196">
        <v>-0.79017000000000004</v>
      </c>
      <c r="AW10" s="196">
        <v>-6.4036099999999987</v>
      </c>
      <c r="AX10" s="197">
        <f t="shared" si="8"/>
        <v>30.36417999999999</v>
      </c>
      <c r="AY10" s="198"/>
      <c r="AZ10" s="176" t="s">
        <v>44</v>
      </c>
      <c r="BA10" s="206" t="s">
        <v>504</v>
      </c>
      <c r="BB10" s="199" t="s">
        <v>107</v>
      </c>
      <c r="BC10" s="200">
        <v>0.15</v>
      </c>
      <c r="BD10" s="200">
        <v>0.18</v>
      </c>
      <c r="BE10" s="200">
        <v>0.24</v>
      </c>
      <c r="BF10" s="201">
        <f>P10-AI10</f>
        <v>0</v>
      </c>
      <c r="BG10" s="172"/>
      <c r="BH10" s="202" t="s">
        <v>77</v>
      </c>
      <c r="BI10" s="199" t="s">
        <v>17</v>
      </c>
      <c r="BJ10" s="200">
        <v>0.35</v>
      </c>
      <c r="BK10" s="203">
        <v>0.4</v>
      </c>
      <c r="BL10" s="203">
        <v>0.45</v>
      </c>
      <c r="BN10" s="182">
        <v>244.8</v>
      </c>
      <c r="BO10" s="204">
        <f t="shared" si="11"/>
        <v>0.29729813664596272</v>
      </c>
      <c r="BP10" s="182">
        <f t="shared" si="9"/>
        <v>172.02141614906833</v>
      </c>
      <c r="BQ10" s="182">
        <f t="shared" si="10"/>
        <v>166.17268799999999</v>
      </c>
    </row>
    <row r="11" spans="1:69" ht="16.5">
      <c r="A11" s="176">
        <v>7</v>
      </c>
      <c r="B11" s="176" t="s">
        <v>44</v>
      </c>
      <c r="C11" s="178" t="s">
        <v>492</v>
      </c>
      <c r="D11" s="206" t="s">
        <v>77</v>
      </c>
      <c r="E11" s="180" t="s">
        <v>17</v>
      </c>
      <c r="F11" s="181">
        <v>4</v>
      </c>
      <c r="G11" s="181" t="s">
        <v>81</v>
      </c>
      <c r="H11" s="181">
        <v>100</v>
      </c>
      <c r="I11" s="182">
        <v>151.33257</v>
      </c>
      <c r="J11" s="182">
        <v>141.49595295</v>
      </c>
      <c r="K11" s="182">
        <f t="shared" si="0"/>
        <v>154.45415232116099</v>
      </c>
      <c r="L11" s="182">
        <f t="shared" si="2"/>
        <v>55.96164939172499</v>
      </c>
      <c r="M11" s="182">
        <f t="shared" si="1"/>
        <v>98.492502929436</v>
      </c>
      <c r="N11" s="183">
        <f>M11/40</f>
        <v>2.4623125732358999</v>
      </c>
      <c r="O11" s="182">
        <f>N11*10</f>
        <v>24.623125732359</v>
      </c>
      <c r="P11" s="184">
        <v>0.35</v>
      </c>
      <c r="Q11" s="185">
        <f>VLOOKUP(D11,[4]备注!A:C,2,0)</f>
        <v>0.1996394683576708</v>
      </c>
      <c r="R11" s="185">
        <v>2.7E-2</v>
      </c>
      <c r="S11" s="186">
        <f t="shared" si="3"/>
        <v>87.161507017199995</v>
      </c>
      <c r="T11" s="182">
        <f t="shared" si="4"/>
        <v>52.863573807199991</v>
      </c>
      <c r="U11" s="187">
        <f t="shared" si="5"/>
        <v>0.60650137447449337</v>
      </c>
      <c r="V11" s="172"/>
      <c r="W11" s="188">
        <v>0.45</v>
      </c>
      <c r="X11" s="182">
        <v>2.06</v>
      </c>
      <c r="Y11" s="182">
        <f>18.9/10</f>
        <v>1.89</v>
      </c>
      <c r="Z11" s="182"/>
      <c r="AA11" s="172"/>
      <c r="AB11" s="182">
        <f t="shared" si="6"/>
        <v>-0.17000000000000015</v>
      </c>
      <c r="AC11" s="189">
        <f t="shared" si="7"/>
        <v>-6.9040787854399446E-2</v>
      </c>
      <c r="AD11" s="190"/>
      <c r="AE11" s="207">
        <v>0.35</v>
      </c>
      <c r="AF11" s="191" t="s">
        <v>505</v>
      </c>
      <c r="AG11" s="191">
        <v>0.35</v>
      </c>
      <c r="AH11" s="172"/>
      <c r="AI11" s="207">
        <v>0.35</v>
      </c>
      <c r="AJ11" s="191">
        <v>0.44</v>
      </c>
      <c r="AK11" s="191">
        <f>VLOOKUP(D11,[4]Sheet1!R:S,2,0)</f>
        <v>0.45</v>
      </c>
      <c r="AL11" s="192"/>
      <c r="AM11" s="191" t="str">
        <f>VLOOKUP(D11,[4]Sheet1!A:C,3,0)</f>
        <v>45%/35%</v>
      </c>
      <c r="AN11" s="193"/>
      <c r="AO11" s="194"/>
      <c r="AP11" s="195">
        <v>24.623125732359</v>
      </c>
      <c r="AQ11" s="191"/>
      <c r="AR11" s="191" t="s">
        <v>495</v>
      </c>
      <c r="AS11" s="172"/>
      <c r="AT11" s="196">
        <v>9.751179999999998</v>
      </c>
      <c r="AU11" s="196">
        <v>0.82429000000000008</v>
      </c>
      <c r="AV11" s="196">
        <v>-0.57508999999999988</v>
      </c>
      <c r="AW11" s="196">
        <v>104.86573000000006</v>
      </c>
      <c r="AX11" s="197">
        <f t="shared" si="8"/>
        <v>114.86611000000005</v>
      </c>
      <c r="AY11" s="198"/>
      <c r="AZ11" s="176" t="s">
        <v>44</v>
      </c>
      <c r="BA11" s="206" t="s">
        <v>77</v>
      </c>
      <c r="BB11" s="199" t="s">
        <v>17</v>
      </c>
      <c r="BC11" s="200">
        <v>0.35</v>
      </c>
      <c r="BD11" s="200">
        <v>0.4</v>
      </c>
      <c r="BE11" s="200">
        <v>0.45</v>
      </c>
      <c r="BF11" s="172"/>
      <c r="BG11" s="172"/>
      <c r="BH11" s="202" t="s">
        <v>118</v>
      </c>
      <c r="BI11" s="199" t="s">
        <v>288</v>
      </c>
      <c r="BJ11" s="200">
        <v>0.25</v>
      </c>
      <c r="BK11" s="203">
        <v>0.3</v>
      </c>
      <c r="BL11" s="203">
        <v>0.4</v>
      </c>
      <c r="BN11" s="182">
        <v>151.33257</v>
      </c>
      <c r="BO11" s="204">
        <f t="shared" si="11"/>
        <v>0.40376811594202894</v>
      </c>
      <c r="BP11" s="182">
        <f t="shared" si="9"/>
        <v>90.229303330434789</v>
      </c>
      <c r="BQ11" s="182">
        <f t="shared" si="10"/>
        <v>87.161507017200009</v>
      </c>
    </row>
    <row r="12" spans="1:69" ht="16.5">
      <c r="A12" s="176">
        <v>8</v>
      </c>
      <c r="B12" s="176" t="s">
        <v>44</v>
      </c>
      <c r="C12" s="178" t="s">
        <v>492</v>
      </c>
      <c r="D12" s="206" t="s">
        <v>506</v>
      </c>
      <c r="E12" s="180" t="s">
        <v>507</v>
      </c>
      <c r="F12" s="181"/>
      <c r="G12" s="181" t="s">
        <v>508</v>
      </c>
      <c r="H12" s="181">
        <v>600</v>
      </c>
      <c r="I12" s="182">
        <v>86.75</v>
      </c>
      <c r="J12" s="182">
        <f>I12*0.935</f>
        <v>81.111249999999998</v>
      </c>
      <c r="K12" s="182">
        <f t="shared" si="0"/>
        <v>88.539418274999989</v>
      </c>
      <c r="L12" s="182">
        <f t="shared" si="2"/>
        <v>25.6635995</v>
      </c>
      <c r="M12" s="182">
        <f t="shared" si="1"/>
        <v>62.875818774999985</v>
      </c>
      <c r="N12" s="183">
        <f>M12/6</f>
        <v>10.479303129166665</v>
      </c>
      <c r="O12" s="182">
        <f>N12*6</f>
        <v>62.875818774999985</v>
      </c>
      <c r="P12" s="184">
        <v>0.28000000000000003</v>
      </c>
      <c r="Q12" s="185">
        <f>VLOOKUP(D12,[4]备注!A:C,2,0)</f>
        <v>0.36006788652073746</v>
      </c>
      <c r="R12" s="185">
        <v>2.7E-2</v>
      </c>
      <c r="S12" s="186">
        <f t="shared" si="3"/>
        <v>55.642317499999997</v>
      </c>
      <c r="T12" s="182">
        <f t="shared" si="4"/>
        <v>22.064178344326024</v>
      </c>
      <c r="U12" s="187">
        <f t="shared" si="5"/>
        <v>0.39653593408157423</v>
      </c>
      <c r="V12" s="172"/>
      <c r="W12" s="188">
        <v>0.28000000000000003</v>
      </c>
      <c r="X12" s="182">
        <v>10.48</v>
      </c>
      <c r="Y12" s="182">
        <f>74.9/6</f>
        <v>12.483333333333334</v>
      </c>
      <c r="Z12" s="182"/>
      <c r="AA12" s="172"/>
      <c r="AB12" s="182">
        <f t="shared" si="6"/>
        <v>2.0033333333333339</v>
      </c>
      <c r="AC12" s="189">
        <f t="shared" si="7"/>
        <v>0.19117047275381593</v>
      </c>
      <c r="AD12" s="190"/>
      <c r="AE12" s="207">
        <v>0.28000000000000003</v>
      </c>
      <c r="AF12" s="208">
        <v>0.15</v>
      </c>
      <c r="AG12" s="191">
        <v>0.15</v>
      </c>
      <c r="AH12" s="172"/>
      <c r="AI12" s="207">
        <v>0.28000000000000003</v>
      </c>
      <c r="AJ12" s="191" t="s">
        <v>495</v>
      </c>
      <c r="AK12" s="191">
        <f>VLOOKUP(D12,[4]Sheet1!R:S,2,0)</f>
        <v>0.28000000000000003</v>
      </c>
      <c r="AL12" s="192"/>
      <c r="AM12" s="191" t="s">
        <v>495</v>
      </c>
      <c r="AN12" s="193">
        <f>VLOOKUP(D12,[4]备注!J:K,2,0)</f>
        <v>12</v>
      </c>
      <c r="AO12" s="194"/>
      <c r="AP12" s="195">
        <v>62.875818774999985</v>
      </c>
      <c r="AQ12" s="191"/>
      <c r="AR12" s="191" t="s">
        <v>495</v>
      </c>
      <c r="AS12" s="172"/>
      <c r="AT12" s="196">
        <v>-3.2648299999999999</v>
      </c>
      <c r="AU12" s="196">
        <v>0.48113999999999979</v>
      </c>
      <c r="AV12" s="196">
        <v>-0.57508999999999988</v>
      </c>
      <c r="AW12" s="196">
        <v>-6.3241000000000005</v>
      </c>
      <c r="AX12" s="197">
        <f t="shared" si="8"/>
        <v>-9.6828800000000008</v>
      </c>
      <c r="AY12" s="198"/>
      <c r="AZ12" s="176" t="s">
        <v>44</v>
      </c>
      <c r="BA12" s="206" t="s">
        <v>506</v>
      </c>
      <c r="BB12" s="199" t="s">
        <v>507</v>
      </c>
      <c r="BC12" s="200"/>
      <c r="BD12" s="200"/>
      <c r="BE12" s="200"/>
      <c r="BF12" s="201">
        <f>P12-AI12</f>
        <v>0</v>
      </c>
      <c r="BG12" s="172"/>
      <c r="BH12" s="202" t="s">
        <v>96</v>
      </c>
      <c r="BI12" s="199" t="s">
        <v>285</v>
      </c>
      <c r="BJ12" s="200">
        <v>0.25</v>
      </c>
      <c r="BK12" s="203">
        <v>0.28999999999999998</v>
      </c>
      <c r="BL12" s="203">
        <v>0.33</v>
      </c>
      <c r="BN12" s="182">
        <v>86.75</v>
      </c>
      <c r="BO12" s="204">
        <f t="shared" si="11"/>
        <v>0.33601449275362327</v>
      </c>
      <c r="BP12" s="182">
        <f t="shared" si="9"/>
        <v>57.60074275362318</v>
      </c>
      <c r="BQ12" s="182">
        <f t="shared" si="10"/>
        <v>55.64231749999999</v>
      </c>
    </row>
    <row r="13" spans="1:69" ht="16.5">
      <c r="A13" s="209">
        <v>9</v>
      </c>
      <c r="B13" s="176" t="s">
        <v>44</v>
      </c>
      <c r="C13" s="178" t="s">
        <v>492</v>
      </c>
      <c r="D13" s="206" t="s">
        <v>2</v>
      </c>
      <c r="E13" s="180" t="s">
        <v>3</v>
      </c>
      <c r="F13" s="181">
        <v>1</v>
      </c>
      <c r="G13" s="181" t="s">
        <v>67</v>
      </c>
      <c r="H13" s="181">
        <v>480</v>
      </c>
      <c r="I13" s="182">
        <v>69.44</v>
      </c>
      <c r="J13" s="182">
        <v>64.926400000000001</v>
      </c>
      <c r="K13" s="182">
        <f t="shared" si="0"/>
        <v>70.872359711999991</v>
      </c>
      <c r="L13" s="182">
        <f t="shared" si="2"/>
        <v>21.863315935999996</v>
      </c>
      <c r="M13" s="182">
        <f t="shared" si="1"/>
        <v>49.009043775999999</v>
      </c>
      <c r="N13" s="183">
        <f>M13/F13/6</f>
        <v>8.1681739626666658</v>
      </c>
      <c r="O13" s="182">
        <f>N13*6</f>
        <v>49.009043775999999</v>
      </c>
      <c r="P13" s="184">
        <v>0.29799999999999999</v>
      </c>
      <c r="Q13" s="185">
        <f>VLOOKUP(D13,[4]备注!A:C,2,0)</f>
        <v>0.36506535435867904</v>
      </c>
      <c r="R13" s="185">
        <v>2.7E-2</v>
      </c>
      <c r="S13" s="186">
        <f t="shared" si="3"/>
        <v>43.370835199999995</v>
      </c>
      <c r="T13" s="182">
        <f t="shared" si="4"/>
        <v>16.145816993333323</v>
      </c>
      <c r="U13" s="187">
        <f t="shared" si="5"/>
        <v>0.37227360088590883</v>
      </c>
      <c r="V13" s="172"/>
      <c r="W13" s="188">
        <v>0.25</v>
      </c>
      <c r="X13" s="182">
        <v>8.76</v>
      </c>
      <c r="Y13" s="182">
        <f>54.9/6</f>
        <v>9.15</v>
      </c>
      <c r="Z13" s="182"/>
      <c r="AA13" s="172"/>
      <c r="AB13" s="182">
        <f t="shared" si="6"/>
        <v>0.39000000000000057</v>
      </c>
      <c r="AC13" s="189">
        <f t="shared" si="7"/>
        <v>4.7746289658193955E-2</v>
      </c>
      <c r="AD13" s="190"/>
      <c r="AE13" s="191">
        <v>0.29799999999999999</v>
      </c>
      <c r="AF13" s="191">
        <v>0.29099999999999998</v>
      </c>
      <c r="AG13" s="191" t="s">
        <v>509</v>
      </c>
      <c r="AH13" s="172"/>
      <c r="AI13" s="191">
        <v>0.29799999999999999</v>
      </c>
      <c r="AJ13" s="191">
        <v>0.28000000000000003</v>
      </c>
      <c r="AK13" s="191">
        <f>VLOOKUP(D13,[4]Sheet1!R:S,2,0)</f>
        <v>0.25</v>
      </c>
      <c r="AL13" s="192"/>
      <c r="AM13" s="191">
        <f>VLOOKUP(D13,[4]Sheet1!A:C,3,0)</f>
        <v>0.29099999999999998</v>
      </c>
      <c r="AN13" s="193"/>
      <c r="AO13" s="194"/>
      <c r="AP13" s="195">
        <v>49.009043775999999</v>
      </c>
      <c r="AQ13" s="191"/>
      <c r="AR13" s="191">
        <f>VLOOKUP(D13,[4]Sheet1!U:V,2,0)</f>
        <v>0.29099999999999998</v>
      </c>
      <c r="AS13" s="172"/>
      <c r="AT13" s="196">
        <v>646.22333000000003</v>
      </c>
      <c r="AU13" s="196">
        <v>1462.6820700000003</v>
      </c>
      <c r="AV13" s="196">
        <v>178.47493999999992</v>
      </c>
      <c r="AW13" s="196">
        <v>804.87642999999878</v>
      </c>
      <c r="AX13" s="197">
        <f t="shared" si="8"/>
        <v>3092.2567699999995</v>
      </c>
      <c r="AY13" s="198"/>
      <c r="AZ13" s="176" t="s">
        <v>44</v>
      </c>
      <c r="BA13" s="206" t="s">
        <v>2</v>
      </c>
      <c r="BB13" s="199" t="s">
        <v>3</v>
      </c>
      <c r="BC13" s="200">
        <v>0.18</v>
      </c>
      <c r="BD13" s="200">
        <v>0.22</v>
      </c>
      <c r="BE13" s="200">
        <v>0.25</v>
      </c>
      <c r="BF13" s="172"/>
      <c r="BG13" s="172"/>
      <c r="BH13" s="202" t="s">
        <v>104</v>
      </c>
      <c r="BI13" s="199" t="s">
        <v>107</v>
      </c>
      <c r="BJ13" s="200">
        <v>0.15</v>
      </c>
      <c r="BK13" s="203">
        <v>0.18</v>
      </c>
      <c r="BL13" s="203">
        <v>0.24</v>
      </c>
      <c r="BN13" s="182">
        <v>69.44</v>
      </c>
      <c r="BO13" s="204">
        <f t="shared" si="11"/>
        <v>0.35343685300207028</v>
      </c>
      <c r="BP13" s="182">
        <f t="shared" si="9"/>
        <v>44.897344927536238</v>
      </c>
      <c r="BQ13" s="182">
        <f t="shared" si="10"/>
        <v>43.370835200000002</v>
      </c>
    </row>
    <row r="14" spans="1:69" ht="16.5">
      <c r="A14" s="205">
        <v>10</v>
      </c>
      <c r="B14" s="176" t="s">
        <v>44</v>
      </c>
      <c r="C14" s="210" t="s">
        <v>510</v>
      </c>
      <c r="D14" s="206" t="s">
        <v>511</v>
      </c>
      <c r="E14" s="180" t="s">
        <v>500</v>
      </c>
      <c r="F14" s="181">
        <v>8</v>
      </c>
      <c r="G14" s="181" t="s">
        <v>61</v>
      </c>
      <c r="H14" s="181">
        <v>240</v>
      </c>
      <c r="I14" s="182">
        <v>310.48</v>
      </c>
      <c r="J14" s="182">
        <v>290.29880000000003</v>
      </c>
      <c r="K14" s="182">
        <f t="shared" si="0"/>
        <v>316.88436410399999</v>
      </c>
      <c r="L14" s="182">
        <f t="shared" si="2"/>
        <v>0</v>
      </c>
      <c r="M14" s="182">
        <f t="shared" si="1"/>
        <v>316.88436410399999</v>
      </c>
      <c r="N14" s="183">
        <f>M14/8/3</f>
        <v>13.203515170999999</v>
      </c>
      <c r="O14" s="182">
        <f>N14*3</f>
        <v>39.610545512999998</v>
      </c>
      <c r="P14" s="184">
        <v>0</v>
      </c>
      <c r="Q14" s="185">
        <f>VLOOKUP(D14,[4]备注!A:C,2,0)</f>
        <v>0.33263940424043875</v>
      </c>
      <c r="R14" s="185">
        <v>2.7E-2</v>
      </c>
      <c r="S14" s="186">
        <f t="shared" si="3"/>
        <v>280.42864080000004</v>
      </c>
      <c r="T14" s="182">
        <f t="shared" si="4"/>
        <v>168.76779857142861</v>
      </c>
      <c r="U14" s="187">
        <f t="shared" si="5"/>
        <v>0.60182083431268618</v>
      </c>
      <c r="V14" s="172"/>
      <c r="W14" s="188">
        <v>0.3</v>
      </c>
      <c r="X14" s="182">
        <v>9.1</v>
      </c>
      <c r="Y14" s="182">
        <f>69.9/8</f>
        <v>8.7375000000000007</v>
      </c>
      <c r="Z14" s="182"/>
      <c r="AA14" s="172"/>
      <c r="AB14" s="182">
        <f t="shared" si="6"/>
        <v>-0.36249999999999893</v>
      </c>
      <c r="AC14" s="189">
        <f t="shared" si="7"/>
        <v>-2.7454809973346223E-2</v>
      </c>
      <c r="AD14" s="190"/>
      <c r="AE14" s="208">
        <v>0</v>
      </c>
      <c r="AF14" s="208">
        <v>0</v>
      </c>
      <c r="AG14" s="208">
        <v>0</v>
      </c>
      <c r="AH14" s="172"/>
      <c r="AI14" s="208">
        <v>0</v>
      </c>
      <c r="AJ14" s="208">
        <v>0</v>
      </c>
      <c r="AK14" s="208">
        <v>0</v>
      </c>
      <c r="AL14" s="192"/>
      <c r="AM14" s="208">
        <v>0</v>
      </c>
      <c r="AN14" s="193"/>
      <c r="AO14" s="194"/>
      <c r="AP14" s="195">
        <v>39.610545512999998</v>
      </c>
      <c r="AQ14" s="208"/>
      <c r="AR14" s="208">
        <v>0</v>
      </c>
      <c r="AS14" s="172"/>
      <c r="AT14" s="196">
        <v>7.084909999999998</v>
      </c>
      <c r="AU14" s="196">
        <v>2.2557400000000007</v>
      </c>
      <c r="AV14" s="196">
        <v>2.6248699999999996</v>
      </c>
      <c r="AW14" s="196">
        <v>-5.8209199999999992</v>
      </c>
      <c r="AX14" s="197">
        <f t="shared" si="8"/>
        <v>6.1445999999999987</v>
      </c>
      <c r="AY14" s="198"/>
      <c r="AZ14" s="176" t="s">
        <v>44</v>
      </c>
      <c r="BA14" s="206" t="s">
        <v>511</v>
      </c>
      <c r="BB14" s="199" t="s">
        <v>500</v>
      </c>
      <c r="BC14" s="200">
        <v>0.2</v>
      </c>
      <c r="BD14" s="200">
        <v>0.25</v>
      </c>
      <c r="BE14" s="200">
        <v>0.3</v>
      </c>
      <c r="BF14" s="172"/>
      <c r="BG14" s="172"/>
      <c r="BH14" s="202" t="s">
        <v>112</v>
      </c>
      <c r="BI14" s="199" t="s">
        <v>287</v>
      </c>
      <c r="BJ14" s="200">
        <v>0.18</v>
      </c>
      <c r="BK14" s="203">
        <v>0.25</v>
      </c>
      <c r="BL14" s="203">
        <v>0.26</v>
      </c>
      <c r="BN14" s="182">
        <v>310.48</v>
      </c>
      <c r="BO14" s="204">
        <f t="shared" si="11"/>
        <v>6.4999999999999961E-2</v>
      </c>
      <c r="BP14" s="182">
        <f t="shared" si="9"/>
        <v>290.29880000000003</v>
      </c>
      <c r="BQ14" s="182">
        <f t="shared" si="10"/>
        <v>280.42864080000004</v>
      </c>
    </row>
    <row r="15" spans="1:69" ht="16.5">
      <c r="A15" s="211">
        <v>11</v>
      </c>
      <c r="B15" s="212" t="s">
        <v>44</v>
      </c>
      <c r="C15" s="213" t="s">
        <v>492</v>
      </c>
      <c r="D15" s="179" t="s">
        <v>47</v>
      </c>
      <c r="E15" s="180" t="str">
        <f>VLOOKUP(D15,[5]Sheet1!$C:$D,2,0)</f>
        <v>266000舒洁湿厕纸80片</v>
      </c>
      <c r="F15" s="181">
        <v>24</v>
      </c>
      <c r="G15" s="181" t="s">
        <v>51</v>
      </c>
      <c r="H15" s="181">
        <v>80</v>
      </c>
      <c r="I15" s="182">
        <v>326.88</v>
      </c>
      <c r="J15" s="182">
        <v>305.63280000000003</v>
      </c>
      <c r="K15" s="182">
        <f t="shared" si="0"/>
        <v>333.622651824</v>
      </c>
      <c r="L15" s="182">
        <f t="shared" si="2"/>
        <v>173.891309724</v>
      </c>
      <c r="M15" s="182">
        <f t="shared" si="1"/>
        <v>159.73134210000001</v>
      </c>
      <c r="N15" s="183">
        <f>M15/24</f>
        <v>6.6554725875000003</v>
      </c>
      <c r="O15" s="182">
        <f>N15</f>
        <v>6.6554725875000003</v>
      </c>
      <c r="P15" s="214">
        <v>0.50349999999999995</v>
      </c>
      <c r="Q15" s="185">
        <f>VLOOKUP(D15,[4]备注!A:C,2,0)</f>
        <v>0.29720204238048631</v>
      </c>
      <c r="R15" s="185">
        <v>2.7E-2</v>
      </c>
      <c r="S15" s="186">
        <f t="shared" si="3"/>
        <v>141.35517000000002</v>
      </c>
      <c r="T15" s="182">
        <f t="shared" si="4"/>
        <v>35.380006386666651</v>
      </c>
      <c r="U15" s="187">
        <f t="shared" si="5"/>
        <v>0.25029156264087582</v>
      </c>
      <c r="V15" s="172"/>
      <c r="W15" s="188">
        <v>0.34499999999999997</v>
      </c>
      <c r="X15" s="182">
        <v>8.94</v>
      </c>
      <c r="Y15" s="182">
        <v>9.9</v>
      </c>
      <c r="Z15" s="182"/>
      <c r="AA15" s="172"/>
      <c r="AB15" s="182">
        <f t="shared" si="6"/>
        <v>0.96000000000000085</v>
      </c>
      <c r="AC15" s="189">
        <f t="shared" si="7"/>
        <v>0.1442421987888626</v>
      </c>
      <c r="AD15" s="190"/>
      <c r="AE15" s="207">
        <v>0.34499999999999997</v>
      </c>
      <c r="AF15" s="191">
        <v>0.35499999999999998</v>
      </c>
      <c r="AG15" s="191" t="s">
        <v>512</v>
      </c>
      <c r="AH15" s="172"/>
      <c r="AI15" s="207">
        <v>0.34499999999999997</v>
      </c>
      <c r="AJ15" s="191">
        <v>0.34499999999999997</v>
      </c>
      <c r="AK15" s="191">
        <f>VLOOKUP(D15,[4]Sheet1!R:S,2,0)</f>
        <v>0.34499999999999997</v>
      </c>
      <c r="AL15" s="192"/>
      <c r="AM15" s="191">
        <f>VLOOKUP(D15,[4]Sheet1!A:C,3,0)</f>
        <v>0.35499999999999998</v>
      </c>
      <c r="AN15" s="193">
        <f>VLOOKUP(D15,[4]备注!J:K,2,0)</f>
        <v>8.5</v>
      </c>
      <c r="AO15" s="194">
        <v>109600</v>
      </c>
      <c r="AP15" s="195">
        <v>8.9363210310000003</v>
      </c>
      <c r="AQ15" s="191"/>
      <c r="AR15" s="191">
        <f>VLOOKUP(D15,[4]Sheet1!U:V,2,0)</f>
        <v>0.35499999999999998</v>
      </c>
      <c r="AS15" s="172"/>
      <c r="AT15" s="196">
        <v>145.94296000000003</v>
      </c>
      <c r="AU15" s="196">
        <v>116.15504</v>
      </c>
      <c r="AV15" s="196">
        <v>43.43602999999991</v>
      </c>
      <c r="AW15" s="196">
        <v>212.06179000000017</v>
      </c>
      <c r="AX15" s="197">
        <f t="shared" si="8"/>
        <v>517.59582000000012</v>
      </c>
      <c r="AY15" s="198"/>
      <c r="AZ15" s="215" t="s">
        <v>44</v>
      </c>
      <c r="BA15" s="179" t="s">
        <v>47</v>
      </c>
      <c r="BB15" s="199" t="s">
        <v>503</v>
      </c>
      <c r="BC15" s="200">
        <v>0.18</v>
      </c>
      <c r="BD15" s="200">
        <v>0.22</v>
      </c>
      <c r="BE15" s="200">
        <v>0.34499999999999997</v>
      </c>
      <c r="BF15" s="201"/>
      <c r="BG15" s="172"/>
      <c r="BH15" s="202" t="s">
        <v>127</v>
      </c>
      <c r="BI15" s="199" t="s">
        <v>513</v>
      </c>
      <c r="BJ15" s="200">
        <v>0.25</v>
      </c>
      <c r="BK15" s="203">
        <v>0.3</v>
      </c>
      <c r="BL15" s="203">
        <v>0.35</v>
      </c>
      <c r="BN15" s="182">
        <v>326.88</v>
      </c>
      <c r="BO15" s="204">
        <f t="shared" si="11"/>
        <v>0.55234213250517594</v>
      </c>
      <c r="BP15" s="182">
        <f t="shared" si="9"/>
        <v>146.33040372670808</v>
      </c>
      <c r="BQ15" s="182">
        <f t="shared" si="10"/>
        <v>141.35517000000002</v>
      </c>
    </row>
    <row r="16" spans="1:69" ht="16.5">
      <c r="A16" s="215">
        <v>12</v>
      </c>
      <c r="B16" s="215" t="s">
        <v>44</v>
      </c>
      <c r="C16" s="213" t="s">
        <v>492</v>
      </c>
      <c r="D16" s="206" t="s">
        <v>96</v>
      </c>
      <c r="E16" s="180" t="s">
        <v>285</v>
      </c>
      <c r="F16" s="181">
        <v>16</v>
      </c>
      <c r="G16" s="181" t="s">
        <v>100</v>
      </c>
      <c r="H16" s="181">
        <v>42</v>
      </c>
      <c r="I16" s="182">
        <v>179.2</v>
      </c>
      <c r="J16" s="182">
        <v>167.55199999999999</v>
      </c>
      <c r="K16" s="182">
        <f t="shared" si="0"/>
        <v>182.89641215999998</v>
      </c>
      <c r="L16" s="182">
        <f t="shared" si="2"/>
        <v>62.480140800000001</v>
      </c>
      <c r="M16" s="182">
        <f t="shared" si="1"/>
        <v>120.41627135999998</v>
      </c>
      <c r="N16" s="183">
        <f>M16/16/6</f>
        <v>1.2543361599999998</v>
      </c>
      <c r="O16" s="182">
        <f>N16*6</f>
        <v>7.5260169599999989</v>
      </c>
      <c r="P16" s="184">
        <v>0.33</v>
      </c>
      <c r="Q16" s="185">
        <f>VLOOKUP(D16,[4]备注!A:C,2,0)</f>
        <v>0.30832738799426024</v>
      </c>
      <c r="R16" s="185">
        <v>2.7E-2</v>
      </c>
      <c r="S16" s="186">
        <f t="shared" si="3"/>
        <v>106.56307199999998</v>
      </c>
      <c r="T16" s="182">
        <f t="shared" si="4"/>
        <v>46.472404071428542</v>
      </c>
      <c r="U16" s="187">
        <f t="shared" si="5"/>
        <v>0.43610233075327026</v>
      </c>
      <c r="V16" s="172" t="s">
        <v>514</v>
      </c>
      <c r="W16" s="188">
        <v>0.33</v>
      </c>
      <c r="X16" s="182">
        <v>1.25</v>
      </c>
      <c r="Y16" s="182">
        <f>10.9/6</f>
        <v>1.8166666666666667</v>
      </c>
      <c r="Z16" s="182"/>
      <c r="AA16" s="172"/>
      <c r="AB16" s="182">
        <f t="shared" si="6"/>
        <v>0.56666666666666665</v>
      </c>
      <c r="AC16" s="189">
        <f t="shared" si="7"/>
        <v>0.45176618895102788</v>
      </c>
      <c r="AD16" s="190"/>
      <c r="AE16" s="207">
        <v>0.33</v>
      </c>
      <c r="AF16" s="191">
        <v>0.25</v>
      </c>
      <c r="AG16" s="191">
        <v>0.25</v>
      </c>
      <c r="AH16" s="172"/>
      <c r="AI16" s="207">
        <v>0.33</v>
      </c>
      <c r="AJ16" s="191" t="s">
        <v>495</v>
      </c>
      <c r="AK16" s="191">
        <f>VLOOKUP(D16,[4]Sheet1!R:S,2,0)</f>
        <v>0.33</v>
      </c>
      <c r="AL16" s="192">
        <v>0.33</v>
      </c>
      <c r="AM16" s="191" t="s">
        <v>495</v>
      </c>
      <c r="AN16" s="193">
        <f>VLOOKUP(D16,[4]备注!J:K,2,0)</f>
        <v>8.5</v>
      </c>
      <c r="AO16" s="194"/>
      <c r="AP16" s="195">
        <v>7.5260169599999989</v>
      </c>
      <c r="AQ16" s="191"/>
      <c r="AR16" s="191" t="s">
        <v>495</v>
      </c>
      <c r="AS16" s="172"/>
      <c r="AT16" s="196">
        <v>-2.2483099999999987</v>
      </c>
      <c r="AU16" s="196">
        <v>2.6594899999999999</v>
      </c>
      <c r="AV16" s="196">
        <v>10.526609999999996</v>
      </c>
      <c r="AW16" s="196">
        <v>53.293009999999995</v>
      </c>
      <c r="AX16" s="197">
        <f t="shared" si="8"/>
        <v>64.230799999999988</v>
      </c>
      <c r="AY16" s="198"/>
      <c r="AZ16" s="215" t="s">
        <v>44</v>
      </c>
      <c r="BA16" s="206" t="s">
        <v>96</v>
      </c>
      <c r="BB16" s="216" t="s">
        <v>285</v>
      </c>
      <c r="BC16" s="200">
        <v>0.25</v>
      </c>
      <c r="BD16" s="200">
        <v>0.28999999999999998</v>
      </c>
      <c r="BE16" s="200">
        <v>0.33</v>
      </c>
      <c r="BF16" s="201">
        <f>P16-AI16</f>
        <v>0</v>
      </c>
      <c r="BG16" s="172"/>
      <c r="BH16" s="202" t="s">
        <v>150</v>
      </c>
      <c r="BI16" s="216" t="s">
        <v>280</v>
      </c>
      <c r="BJ16" s="200">
        <v>0.15</v>
      </c>
      <c r="BK16" s="203">
        <v>0.2</v>
      </c>
      <c r="BL16" s="203">
        <v>0.246</v>
      </c>
      <c r="BN16" s="182">
        <v>179.2</v>
      </c>
      <c r="BO16" s="204">
        <f t="shared" si="11"/>
        <v>0.38440993788819872</v>
      </c>
      <c r="BP16" s="182">
        <f t="shared" si="9"/>
        <v>110.31373913043478</v>
      </c>
      <c r="BQ16" s="182">
        <f t="shared" si="10"/>
        <v>106.56307199999999</v>
      </c>
    </row>
    <row r="17" spans="1:69" ht="16.5">
      <c r="A17" s="213">
        <v>13</v>
      </c>
      <c r="B17" s="215" t="s">
        <v>515</v>
      </c>
      <c r="C17" s="213" t="s">
        <v>492</v>
      </c>
      <c r="D17" s="179" t="s">
        <v>516</v>
      </c>
      <c r="E17" s="180" t="s">
        <v>517</v>
      </c>
      <c r="F17" s="181">
        <v>30</v>
      </c>
      <c r="G17" s="181" t="s">
        <v>248</v>
      </c>
      <c r="H17" s="181">
        <v>10</v>
      </c>
      <c r="I17" s="182">
        <v>91.362830000000002</v>
      </c>
      <c r="J17" s="182">
        <v>85.424246050000008</v>
      </c>
      <c r="K17" s="182">
        <f t="shared" si="0"/>
        <v>93.247398503258992</v>
      </c>
      <c r="L17" s="182">
        <f t="shared" si="2"/>
        <v>42.472935136060002</v>
      </c>
      <c r="M17" s="182">
        <f t="shared" si="1"/>
        <v>50.77446336719899</v>
      </c>
      <c r="N17" s="183">
        <f>M17/30</f>
        <v>1.6924821122399663</v>
      </c>
      <c r="O17" s="182">
        <f>N17</f>
        <v>1.6924821122399663</v>
      </c>
      <c r="P17" s="184">
        <v>0.44</v>
      </c>
      <c r="Q17" s="185">
        <f>VLOOKUP(D17,[4]备注!A:C,2,0)</f>
        <v>0.32874085974934586</v>
      </c>
      <c r="R17" s="185">
        <v>2.7E-2</v>
      </c>
      <c r="S17" s="186">
        <f t="shared" si="3"/>
        <v>44.933153422300009</v>
      </c>
      <c r="T17" s="182">
        <f t="shared" si="4"/>
        <v>12.431661728966681</v>
      </c>
      <c r="U17" s="187">
        <f t="shared" si="5"/>
        <v>0.27667013735111978</v>
      </c>
      <c r="V17" s="172"/>
      <c r="W17" s="188">
        <v>0.22</v>
      </c>
      <c r="X17" s="182">
        <v>2.4</v>
      </c>
      <c r="Y17" s="182">
        <v>2.9</v>
      </c>
      <c r="Z17" s="182"/>
      <c r="AA17" s="172"/>
      <c r="AB17" s="182">
        <f t="shared" si="6"/>
        <v>0.5</v>
      </c>
      <c r="AC17" s="189">
        <f t="shared" si="7"/>
        <v>0.29542409717894152</v>
      </c>
      <c r="AD17" s="190"/>
      <c r="AE17" s="191">
        <v>0.44</v>
      </c>
      <c r="AF17" s="191">
        <v>0.1</v>
      </c>
      <c r="AG17" s="191">
        <v>0.1</v>
      </c>
      <c r="AH17" s="172"/>
      <c r="AI17" s="191">
        <v>0.44</v>
      </c>
      <c r="AJ17" s="191">
        <v>0.35</v>
      </c>
      <c r="AK17" s="191">
        <f>VLOOKUP(D17,[4]Sheet1!R:S,2,0)</f>
        <v>0.22</v>
      </c>
      <c r="AL17" s="192"/>
      <c r="AM17" s="191">
        <f>VLOOKUP(D17,[4]Sheet1!A:C,3,0)</f>
        <v>0.1</v>
      </c>
      <c r="AN17" s="193">
        <f>VLOOKUP(D17,[4]备注!J:K,2,0)</f>
        <v>2.4</v>
      </c>
      <c r="AO17" s="194"/>
      <c r="AP17" s="195">
        <v>1.6924821122399663</v>
      </c>
      <c r="AQ17" s="191"/>
      <c r="AR17" s="191">
        <v>0.1</v>
      </c>
      <c r="AS17" s="172"/>
      <c r="AT17" s="196">
        <v>54.578189999999971</v>
      </c>
      <c r="AU17" s="196">
        <v>733.72702000000038</v>
      </c>
      <c r="AV17" s="196">
        <v>1.6783899999999998</v>
      </c>
      <c r="AW17" s="196">
        <v>25.9114</v>
      </c>
      <c r="AX17" s="197">
        <f t="shared" si="8"/>
        <v>815.89500000000032</v>
      </c>
      <c r="AY17" s="198"/>
      <c r="AZ17" s="215" t="s">
        <v>515</v>
      </c>
      <c r="BA17" s="179" t="s">
        <v>516</v>
      </c>
      <c r="BB17" s="199" t="s">
        <v>518</v>
      </c>
      <c r="BC17" s="200">
        <v>0.1</v>
      </c>
      <c r="BD17" s="200">
        <v>0.15</v>
      </c>
      <c r="BE17" s="200">
        <v>0.22</v>
      </c>
      <c r="BF17" s="201">
        <f>P17-AI17</f>
        <v>0</v>
      </c>
      <c r="BG17" s="172"/>
      <c r="BH17" s="202" t="s">
        <v>164</v>
      </c>
      <c r="BI17" s="199" t="s">
        <v>519</v>
      </c>
      <c r="BJ17" s="200">
        <v>0.2</v>
      </c>
      <c r="BK17" s="203">
        <v>0.25</v>
      </c>
      <c r="BL17" s="203">
        <v>0.35</v>
      </c>
      <c r="BN17" s="182">
        <v>91.362830000000002</v>
      </c>
      <c r="BO17" s="204">
        <f t="shared" si="11"/>
        <v>0.49087991718426505</v>
      </c>
      <c r="BP17" s="182">
        <f t="shared" si="9"/>
        <v>46.514651575879917</v>
      </c>
      <c r="BQ17" s="182">
        <f t="shared" si="10"/>
        <v>44.933153422299995</v>
      </c>
    </row>
    <row r="18" spans="1:69" ht="16.5">
      <c r="A18" s="215">
        <v>14</v>
      </c>
      <c r="B18" s="217" t="s">
        <v>234</v>
      </c>
      <c r="C18" s="218" t="s">
        <v>492</v>
      </c>
      <c r="D18" s="179" t="s">
        <v>520</v>
      </c>
      <c r="E18" s="180" t="s">
        <v>521</v>
      </c>
      <c r="F18" s="181">
        <v>6</v>
      </c>
      <c r="G18" s="181" t="s">
        <v>61</v>
      </c>
      <c r="H18" s="181">
        <v>240</v>
      </c>
      <c r="I18" s="182">
        <v>358.2</v>
      </c>
      <c r="J18" s="182">
        <v>334.91700000000003</v>
      </c>
      <c r="K18" s="182">
        <f t="shared" si="0"/>
        <v>365.58869885999997</v>
      </c>
      <c r="L18" s="182">
        <f t="shared" si="2"/>
        <v>151.38248400000001</v>
      </c>
      <c r="M18" s="182">
        <f t="shared" si="1"/>
        <v>214.20621485999996</v>
      </c>
      <c r="N18" s="183">
        <f>M18/6/3</f>
        <v>11.900345269999997</v>
      </c>
      <c r="O18" s="182">
        <f>N18*3</f>
        <v>35.701035809999993</v>
      </c>
      <c r="P18" s="184">
        <v>0.4</v>
      </c>
      <c r="Q18" s="185">
        <f>VLOOKUP(D18,[4]备注!A:C,2,0)</f>
        <v>0.25541261097152429</v>
      </c>
      <c r="R18" s="185">
        <v>2.7E-2</v>
      </c>
      <c r="S18" s="186">
        <f t="shared" si="3"/>
        <v>189.56302199999999</v>
      </c>
      <c r="T18" s="182">
        <f t="shared" si="4"/>
        <v>88.402824749999979</v>
      </c>
      <c r="U18" s="187">
        <f t="shared" si="5"/>
        <v>0.46635057732936958</v>
      </c>
      <c r="V18" s="172"/>
      <c r="W18" s="188">
        <v>0.4</v>
      </c>
      <c r="X18" s="182">
        <v>11.9</v>
      </c>
      <c r="Y18" s="182">
        <f>38.9/3</f>
        <v>12.966666666666667</v>
      </c>
      <c r="Z18" s="182"/>
      <c r="AA18" s="172"/>
      <c r="AB18" s="182">
        <f t="shared" si="6"/>
        <v>1.0666666666666664</v>
      </c>
      <c r="AC18" s="189">
        <f t="shared" si="7"/>
        <v>8.9633253696904433E-2</v>
      </c>
      <c r="AD18" s="190"/>
      <c r="AE18" s="207">
        <v>0.4</v>
      </c>
      <c r="AF18" s="191">
        <v>0.44040000000000001</v>
      </c>
      <c r="AG18" s="191">
        <v>0.15</v>
      </c>
      <c r="AH18" s="172"/>
      <c r="AI18" s="207">
        <v>0.4</v>
      </c>
      <c r="AJ18" s="191">
        <v>0.38</v>
      </c>
      <c r="AK18" s="191">
        <f>VLOOKUP(D18,[4]Sheet1!R:S,2,0)</f>
        <v>0.4</v>
      </c>
      <c r="AL18" s="192">
        <v>0.44040000000000001</v>
      </c>
      <c r="AM18" s="191">
        <f>VLOOKUP(D18,[4]Sheet1!A:C,3,0)</f>
        <v>0.44040000000000001</v>
      </c>
      <c r="AN18" s="193">
        <f>VLOOKUP(D18,[4]备注!J:K,2,0)</f>
        <v>13.5</v>
      </c>
      <c r="AO18" s="194"/>
      <c r="AP18" s="195">
        <v>35.701035809999993</v>
      </c>
      <c r="AQ18" s="191"/>
      <c r="AR18" s="191">
        <f>VLOOKUP(D18,[4]Sheet1!U:V,2,0)</f>
        <v>0.40039999999999998</v>
      </c>
      <c r="AS18" s="172"/>
      <c r="AT18" s="196">
        <v>17.093340000000005</v>
      </c>
      <c r="AU18" s="196">
        <v>4.733880000000001</v>
      </c>
      <c r="AV18" s="196">
        <v>0.62155000000000005</v>
      </c>
      <c r="AW18" s="196">
        <v>315.37484000000012</v>
      </c>
      <c r="AX18" s="197">
        <f t="shared" si="8"/>
        <v>337.82361000000014</v>
      </c>
      <c r="AY18" s="198"/>
      <c r="AZ18" s="217" t="s">
        <v>234</v>
      </c>
      <c r="BA18" s="179" t="s">
        <v>520</v>
      </c>
      <c r="BB18" s="199" t="s">
        <v>283</v>
      </c>
      <c r="BC18" s="200">
        <v>0.15</v>
      </c>
      <c r="BD18" s="200">
        <v>0.25</v>
      </c>
      <c r="BE18" s="200">
        <v>0.4</v>
      </c>
      <c r="BF18" s="201">
        <f>P18-AI18</f>
        <v>0</v>
      </c>
      <c r="BG18" s="172"/>
      <c r="BH18" s="202" t="s">
        <v>136</v>
      </c>
      <c r="BI18" s="199" t="s">
        <v>278</v>
      </c>
      <c r="BJ18" s="200">
        <v>0.12</v>
      </c>
      <c r="BK18" s="203">
        <v>0.22</v>
      </c>
      <c r="BL18" s="203">
        <v>0.35</v>
      </c>
      <c r="BN18" s="182">
        <v>358.2</v>
      </c>
      <c r="BO18" s="204">
        <f t="shared" si="11"/>
        <v>0.45216356107660449</v>
      </c>
      <c r="BP18" s="182">
        <f t="shared" si="9"/>
        <v>196.23501242236026</v>
      </c>
      <c r="BQ18" s="182">
        <f t="shared" si="10"/>
        <v>189.56302199999999</v>
      </c>
    </row>
    <row r="19" spans="1:69" ht="16.5">
      <c r="A19" s="213">
        <v>15</v>
      </c>
      <c r="B19" s="215" t="s">
        <v>170</v>
      </c>
      <c r="C19" s="213" t="s">
        <v>492</v>
      </c>
      <c r="D19" s="179" t="s">
        <v>522</v>
      </c>
      <c r="E19" s="180" t="s">
        <v>523</v>
      </c>
      <c r="F19" s="181">
        <v>10</v>
      </c>
      <c r="G19" s="181" t="s">
        <v>191</v>
      </c>
      <c r="H19" s="181">
        <v>600</v>
      </c>
      <c r="I19" s="182">
        <v>243.21306999999999</v>
      </c>
      <c r="J19" s="182">
        <v>227.40422045</v>
      </c>
      <c r="K19" s="182">
        <f t="shared" si="0"/>
        <v>248.22989895881099</v>
      </c>
      <c r="L19" s="182">
        <f t="shared" si="2"/>
        <v>41.114683057359997</v>
      </c>
      <c r="M19" s="182">
        <f t="shared" si="1"/>
        <v>207.11521590145099</v>
      </c>
      <c r="N19" s="183">
        <f>M19/3/10</f>
        <v>6.9038405300483658</v>
      </c>
      <c r="O19" s="182">
        <f>N19*3</f>
        <v>20.711521590145097</v>
      </c>
      <c r="P19" s="184">
        <v>0.16</v>
      </c>
      <c r="Q19" s="185">
        <f>VLOOKUP(D19,[4]备注!A:C,2,0)</f>
        <v>0.40515142445366942</v>
      </c>
      <c r="R19" s="185">
        <v>2.7E-2</v>
      </c>
      <c r="S19" s="186">
        <f t="shared" si="3"/>
        <v>183.28780168269998</v>
      </c>
      <c r="T19" s="182">
        <f t="shared" si="4"/>
        <v>78.182927036449968</v>
      </c>
      <c r="U19" s="187">
        <f t="shared" si="5"/>
        <v>0.42655826693691767</v>
      </c>
      <c r="V19" s="172"/>
      <c r="W19" s="188">
        <v>0.12</v>
      </c>
      <c r="X19" s="182">
        <v>7.25</v>
      </c>
      <c r="Y19" s="182">
        <f>27.9/3</f>
        <v>9.2999999999999989</v>
      </c>
      <c r="Z19" s="182"/>
      <c r="AA19" s="172"/>
      <c r="AB19" s="182">
        <f t="shared" si="6"/>
        <v>2.0499999999999989</v>
      </c>
      <c r="AC19" s="189">
        <f t="shared" si="7"/>
        <v>0.29693617502860215</v>
      </c>
      <c r="AD19" s="190"/>
      <c r="AE19" s="191">
        <v>0.16</v>
      </c>
      <c r="AF19" s="191">
        <v>0.05</v>
      </c>
      <c r="AG19" s="191" t="s">
        <v>524</v>
      </c>
      <c r="AH19" s="172"/>
      <c r="AI19" s="191">
        <v>0.16</v>
      </c>
      <c r="AJ19" s="191">
        <v>0.1</v>
      </c>
      <c r="AK19" s="191">
        <f>VLOOKUP(D19,[4]Sheet1!R:S,2,0)</f>
        <v>0.12</v>
      </c>
      <c r="AL19" s="192"/>
      <c r="AM19" s="191">
        <f>VLOOKUP(D19,[4]Sheet1!A:C,3,0)</f>
        <v>0.05</v>
      </c>
      <c r="AN19" s="193"/>
      <c r="AO19" s="194"/>
      <c r="AP19" s="195">
        <v>20.711521590145097</v>
      </c>
      <c r="AQ19" s="191"/>
      <c r="AR19" s="191">
        <f>VLOOKUP(D19,[4]Sheet1!U:V,2,0)</f>
        <v>0.05</v>
      </c>
      <c r="AS19" s="172"/>
      <c r="AT19" s="196">
        <v>590.70592999999985</v>
      </c>
      <c r="AU19" s="196"/>
      <c r="AV19" s="196">
        <v>9.4856400000000001</v>
      </c>
      <c r="AW19" s="196">
        <v>14.07244</v>
      </c>
      <c r="AX19" s="197">
        <f t="shared" si="8"/>
        <v>614.26400999999987</v>
      </c>
      <c r="AY19" s="198"/>
      <c r="AZ19" s="215" t="s">
        <v>170</v>
      </c>
      <c r="BA19" s="179" t="s">
        <v>522</v>
      </c>
      <c r="BB19" s="199" t="s">
        <v>282</v>
      </c>
      <c r="BC19" s="200">
        <v>0.05</v>
      </c>
      <c r="BD19" s="200">
        <v>0.08</v>
      </c>
      <c r="BE19" s="200">
        <v>0.12</v>
      </c>
      <c r="BF19" s="172"/>
      <c r="BG19" s="172"/>
      <c r="BH19" s="202" t="s">
        <v>143</v>
      </c>
      <c r="BI19" s="199" t="s">
        <v>279</v>
      </c>
      <c r="BJ19" s="200">
        <v>0.18</v>
      </c>
      <c r="BK19" s="203">
        <v>0.26</v>
      </c>
      <c r="BL19" s="203">
        <v>0.33</v>
      </c>
      <c r="BN19" s="182">
        <v>243.21306999999999</v>
      </c>
      <c r="BO19" s="204">
        <f t="shared" si="11"/>
        <v>0.21986542443064172</v>
      </c>
      <c r="BP19" s="182">
        <f t="shared" si="9"/>
        <v>189.73892513737061</v>
      </c>
      <c r="BQ19" s="182">
        <f t="shared" si="10"/>
        <v>183.28780168270001</v>
      </c>
    </row>
    <row r="20" spans="1:69" ht="16.5">
      <c r="A20" s="213">
        <v>16</v>
      </c>
      <c r="B20" s="215" t="s">
        <v>209</v>
      </c>
      <c r="C20" s="213" t="s">
        <v>492</v>
      </c>
      <c r="D20" s="206" t="s">
        <v>525</v>
      </c>
      <c r="E20" s="180" t="s">
        <v>526</v>
      </c>
      <c r="F20" s="181">
        <v>5</v>
      </c>
      <c r="G20" s="181">
        <v>10</v>
      </c>
      <c r="H20" s="181">
        <v>10</v>
      </c>
      <c r="I20" s="182">
        <v>153.64888999999999</v>
      </c>
      <c r="J20" s="182">
        <v>143.66171215</v>
      </c>
      <c r="K20" s="182">
        <f t="shared" si="0"/>
        <v>156.81825174869698</v>
      </c>
      <c r="L20" s="182">
        <f t="shared" si="2"/>
        <v>48.701320418849988</v>
      </c>
      <c r="M20" s="182">
        <f t="shared" si="1"/>
        <v>108.11693132984699</v>
      </c>
      <c r="N20" s="183">
        <f>M20/10/5</f>
        <v>2.1623386265969398</v>
      </c>
      <c r="O20" s="182">
        <f>N20*10</f>
        <v>21.623386265969398</v>
      </c>
      <c r="P20" s="184">
        <v>0.3</v>
      </c>
      <c r="Q20" s="185">
        <f>VLOOKUP(D20,[4]备注!A:C,2,0)</f>
        <v>0.50361603381091802</v>
      </c>
      <c r="R20" s="185">
        <v>2.7E-2</v>
      </c>
      <c r="S20" s="186">
        <f t="shared" si="3"/>
        <v>95.678700291899986</v>
      </c>
      <c r="T20" s="182">
        <f t="shared" si="4"/>
        <v>14.150135680649967</v>
      </c>
      <c r="U20" s="187">
        <f t="shared" si="5"/>
        <v>0.14789222300763105</v>
      </c>
      <c r="V20" s="172"/>
      <c r="W20" s="188">
        <v>0.15</v>
      </c>
      <c r="X20" s="182">
        <v>2.65</v>
      </c>
      <c r="Y20" s="182">
        <f>37.9/10</f>
        <v>3.79</v>
      </c>
      <c r="Z20" s="182"/>
      <c r="AA20" s="172"/>
      <c r="AB20" s="182">
        <f t="shared" si="6"/>
        <v>1.1400000000000001</v>
      </c>
      <c r="AC20" s="189">
        <f t="shared" si="7"/>
        <v>0.52720697210784107</v>
      </c>
      <c r="AD20" s="190"/>
      <c r="AE20" s="191">
        <v>0.192</v>
      </c>
      <c r="AF20" s="191">
        <v>0.05</v>
      </c>
      <c r="AG20" s="191">
        <v>0.05</v>
      </c>
      <c r="AH20" s="172"/>
      <c r="AI20" s="191">
        <v>0.192</v>
      </c>
      <c r="AJ20" s="191">
        <v>0.1</v>
      </c>
      <c r="AK20" s="191">
        <v>0.15</v>
      </c>
      <c r="AL20" s="192">
        <v>0.22</v>
      </c>
      <c r="AM20" s="191">
        <f>VLOOKUP(D20,[4]Sheet1!A:C,3,0)</f>
        <v>0.05</v>
      </c>
      <c r="AN20" s="193">
        <f>VLOOKUP(D20,[4]备注!J:K,2,0)</f>
        <v>24.8</v>
      </c>
      <c r="AO20" s="194"/>
      <c r="AP20" s="195">
        <v>25.129881336126594</v>
      </c>
      <c r="AQ20" s="191"/>
      <c r="AR20" s="191">
        <f>VLOOKUP(D20,[4]Sheet1!U:V,2,0)</f>
        <v>0.05</v>
      </c>
      <c r="AS20" s="172"/>
      <c r="AT20" s="196">
        <v>63.841219999999993</v>
      </c>
      <c r="AU20" s="196">
        <v>14.042189999999996</v>
      </c>
      <c r="AV20" s="196">
        <v>1.59737</v>
      </c>
      <c r="AW20" s="196">
        <v>39.62227</v>
      </c>
      <c r="AX20" s="197">
        <f t="shared" si="8"/>
        <v>119.10304999999998</v>
      </c>
      <c r="AY20" s="198"/>
      <c r="AZ20" s="215" t="s">
        <v>209</v>
      </c>
      <c r="BA20" s="206" t="s">
        <v>525</v>
      </c>
      <c r="BB20" s="219" t="s">
        <v>526</v>
      </c>
      <c r="BC20" s="200">
        <v>0.05</v>
      </c>
      <c r="BD20" s="200">
        <v>0.08</v>
      </c>
      <c r="BE20" s="200">
        <v>0.15</v>
      </c>
      <c r="BF20" s="201">
        <f>P20-AI20</f>
        <v>0.10799999999999998</v>
      </c>
      <c r="BG20" s="172"/>
      <c r="BH20" s="220" t="s">
        <v>236</v>
      </c>
      <c r="BI20" s="219" t="s">
        <v>283</v>
      </c>
      <c r="BJ20" s="200">
        <v>0.15</v>
      </c>
      <c r="BK20" s="203">
        <v>0.25</v>
      </c>
      <c r="BL20" s="203">
        <v>0.4</v>
      </c>
      <c r="BN20" s="182">
        <v>153.64888999999999</v>
      </c>
      <c r="BO20" s="204">
        <f t="shared" si="11"/>
        <v>0.35537267080745344</v>
      </c>
      <c r="BP20" s="182">
        <f t="shared" si="9"/>
        <v>99.046273594099375</v>
      </c>
      <c r="BQ20" s="182">
        <f t="shared" si="10"/>
        <v>95.6787002919</v>
      </c>
    </row>
    <row r="21" spans="1:69" ht="16.5">
      <c r="A21" s="215">
        <v>17</v>
      </c>
      <c r="B21" s="215" t="s">
        <v>209</v>
      </c>
      <c r="C21" s="213" t="s">
        <v>492</v>
      </c>
      <c r="D21" s="179" t="s">
        <v>527</v>
      </c>
      <c r="E21" s="180" t="s">
        <v>528</v>
      </c>
      <c r="F21" s="181">
        <v>10</v>
      </c>
      <c r="G21" s="181">
        <v>10</v>
      </c>
      <c r="H21" s="181">
        <v>10</v>
      </c>
      <c r="I21" s="182">
        <v>240.89676</v>
      </c>
      <c r="J21" s="182">
        <v>225.2384706</v>
      </c>
      <c r="K21" s="182">
        <f t="shared" si="0"/>
        <v>245.86580973754795</v>
      </c>
      <c r="L21" s="182">
        <f t="shared" si="2"/>
        <v>72.538049456729979</v>
      </c>
      <c r="M21" s="182">
        <f t="shared" si="1"/>
        <v>173.32776028081798</v>
      </c>
      <c r="N21" s="183">
        <f>M21/F21/10</f>
        <v>1.73327760280818</v>
      </c>
      <c r="O21" s="182">
        <f>N21*10</f>
        <v>17.332776028081799</v>
      </c>
      <c r="P21" s="184">
        <v>0.28499999999999998</v>
      </c>
      <c r="Q21" s="185">
        <f>VLOOKUP(D21,[4]备注!A:C,2,0)</f>
        <v>0.45794135429633842</v>
      </c>
      <c r="R21" s="185">
        <v>2.7E-2</v>
      </c>
      <c r="S21" s="186">
        <f t="shared" si="3"/>
        <v>153.38739847860001</v>
      </c>
      <c r="T21" s="182">
        <f t="shared" si="4"/>
        <v>36.566597438599999</v>
      </c>
      <c r="U21" s="187">
        <f t="shared" si="5"/>
        <v>0.23839375203760055</v>
      </c>
      <c r="V21" s="172"/>
      <c r="W21" s="188">
        <v>0.12</v>
      </c>
      <c r="X21" s="182">
        <v>2.15</v>
      </c>
      <c r="Y21" s="182">
        <f>29.9/10</f>
        <v>2.9899999999999998</v>
      </c>
      <c r="Z21" s="182"/>
      <c r="AA21" s="172"/>
      <c r="AB21" s="182">
        <f t="shared" si="6"/>
        <v>0.83999999999999986</v>
      </c>
      <c r="AC21" s="189">
        <f t="shared" si="7"/>
        <v>0.48463096657977284</v>
      </c>
      <c r="AD21" s="190"/>
      <c r="AE21" s="191">
        <v>0.192</v>
      </c>
      <c r="AF21" s="191">
        <v>0.05</v>
      </c>
      <c r="AG21" s="191">
        <v>0.05</v>
      </c>
      <c r="AH21" s="172"/>
      <c r="AI21" s="191">
        <v>0.192</v>
      </c>
      <c r="AJ21" s="191">
        <v>0.1</v>
      </c>
      <c r="AK21" s="191">
        <f>VLOOKUP(D21,[4]Sheet1!R:S,2,0)</f>
        <v>0.12</v>
      </c>
      <c r="AL21" s="192"/>
      <c r="AM21" s="191">
        <f>VLOOKUP(D21,[4]Sheet1!A:C,3,0)</f>
        <v>0.05</v>
      </c>
      <c r="AN21" s="193">
        <f>VLOOKUP(D21,[4]备注!J:K,2,0)</f>
        <v>22</v>
      </c>
      <c r="AO21" s="194"/>
      <c r="AP21" s="195">
        <v>19.699807115617197</v>
      </c>
      <c r="AQ21" s="191"/>
      <c r="AR21" s="191" t="s">
        <v>495</v>
      </c>
      <c r="AS21" s="172"/>
      <c r="AT21" s="196">
        <v>27.831939999999992</v>
      </c>
      <c r="AU21" s="196">
        <v>423.04076999999984</v>
      </c>
      <c r="AV21" s="196">
        <v>3.3708100000000001</v>
      </c>
      <c r="AW21" s="196">
        <v>0</v>
      </c>
      <c r="AX21" s="197">
        <f t="shared" si="8"/>
        <v>454.24351999999982</v>
      </c>
      <c r="AY21" s="198"/>
      <c r="AZ21" s="215" t="s">
        <v>209</v>
      </c>
      <c r="BA21" s="179" t="s">
        <v>527</v>
      </c>
      <c r="BB21" s="199" t="s">
        <v>529</v>
      </c>
      <c r="BC21" s="200">
        <v>0.05</v>
      </c>
      <c r="BD21" s="200">
        <v>0.08</v>
      </c>
      <c r="BE21" s="200">
        <v>0.12</v>
      </c>
      <c r="BF21" s="201">
        <f>P21-AI21</f>
        <v>9.2999999999999972E-2</v>
      </c>
      <c r="BG21" s="172"/>
      <c r="BH21" s="202" t="s">
        <v>195</v>
      </c>
      <c r="BI21" s="199" t="s">
        <v>282</v>
      </c>
      <c r="BJ21" s="200">
        <v>0.05</v>
      </c>
      <c r="BK21" s="221">
        <v>0.08</v>
      </c>
      <c r="BL21" s="221">
        <v>0.12</v>
      </c>
      <c r="BN21" s="182">
        <v>240.89676</v>
      </c>
      <c r="BO21" s="204">
        <f t="shared" si="11"/>
        <v>0.34085403726708075</v>
      </c>
      <c r="BP21" s="182">
        <f t="shared" si="9"/>
        <v>158.786126789441</v>
      </c>
      <c r="BQ21" s="182">
        <f t="shared" si="10"/>
        <v>153.38739847860001</v>
      </c>
    </row>
    <row r="22" spans="1:69" ht="16.5">
      <c r="A22" s="213">
        <v>18</v>
      </c>
      <c r="B22" s="215" t="s">
        <v>124</v>
      </c>
      <c r="C22" s="213" t="s">
        <v>492</v>
      </c>
      <c r="D22" s="206" t="s">
        <v>530</v>
      </c>
      <c r="E22" s="180" t="s">
        <v>519</v>
      </c>
      <c r="F22" s="181">
        <v>3</v>
      </c>
      <c r="G22" s="181" t="s">
        <v>168</v>
      </c>
      <c r="H22" s="181">
        <v>400</v>
      </c>
      <c r="I22" s="182">
        <v>215.57</v>
      </c>
      <c r="J22" s="182">
        <v>201.55795000000001</v>
      </c>
      <c r="K22" s="182">
        <f t="shared" si="0"/>
        <v>220.01662706099998</v>
      </c>
      <c r="L22" s="182">
        <f t="shared" si="2"/>
        <v>74.249917620999994</v>
      </c>
      <c r="M22" s="182">
        <f t="shared" si="1"/>
        <v>145.76670944</v>
      </c>
      <c r="N22" s="183">
        <f>M22/5/3</f>
        <v>9.7177806293333333</v>
      </c>
      <c r="O22" s="182">
        <f>N22*5</f>
        <v>48.588903146666667</v>
      </c>
      <c r="P22" s="184">
        <v>0.32600000000000001</v>
      </c>
      <c r="Q22" s="185">
        <f>VLOOKUP(D22,[4]备注!A:C,2,0)</f>
        <v>0.32078953406150923</v>
      </c>
      <c r="R22" s="185">
        <v>2.7E-2</v>
      </c>
      <c r="S22" s="186">
        <f t="shared" si="3"/>
        <v>128.99708799999999</v>
      </c>
      <c r="T22" s="182">
        <f t="shared" si="4"/>
        <v>54.024098142360444</v>
      </c>
      <c r="U22" s="187">
        <f t="shared" si="5"/>
        <v>0.41880091233036554</v>
      </c>
      <c r="V22" s="172"/>
      <c r="W22" s="188">
        <v>0.35</v>
      </c>
      <c r="X22" s="182">
        <v>9.35</v>
      </c>
      <c r="Y22" s="182">
        <f>59.9/5</f>
        <v>11.98</v>
      </c>
      <c r="Z22" s="182"/>
      <c r="AA22" s="222"/>
      <c r="AB22" s="182">
        <f t="shared" si="6"/>
        <v>2.6300000000000008</v>
      </c>
      <c r="AC22" s="189">
        <f t="shared" si="7"/>
        <v>0.27063792653039404</v>
      </c>
      <c r="AD22" s="190"/>
      <c r="AE22" s="191">
        <v>0.32600000000000001</v>
      </c>
      <c r="AF22" s="191">
        <v>0</v>
      </c>
      <c r="AG22" s="191">
        <v>0</v>
      </c>
      <c r="AH22" s="222"/>
      <c r="AI22" s="191">
        <v>0.32600000000000001</v>
      </c>
      <c r="AJ22" s="191">
        <v>0.25</v>
      </c>
      <c r="AK22" s="191">
        <v>0.3</v>
      </c>
      <c r="AL22" s="192"/>
      <c r="AM22" s="191">
        <v>0.2</v>
      </c>
      <c r="AN22" s="193"/>
      <c r="AO22" s="194"/>
      <c r="AP22" s="195">
        <v>48.588903146666667</v>
      </c>
      <c r="AQ22" s="191"/>
      <c r="AR22" s="191" t="s">
        <v>495</v>
      </c>
      <c r="AS22" s="222"/>
      <c r="AT22" s="196">
        <v>24.327849999999991</v>
      </c>
      <c r="AU22" s="196">
        <v>19.43252</v>
      </c>
      <c r="AV22" s="196">
        <v>2.4282300000000001</v>
      </c>
      <c r="AW22" s="196">
        <v>0</v>
      </c>
      <c r="AX22" s="197">
        <f t="shared" si="8"/>
        <v>46.188599999999994</v>
      </c>
      <c r="AY22" s="198"/>
      <c r="AZ22" s="215" t="s">
        <v>124</v>
      </c>
      <c r="BA22" s="206" t="s">
        <v>530</v>
      </c>
      <c r="BB22" s="199" t="s">
        <v>519</v>
      </c>
      <c r="BC22" s="200">
        <v>0.2</v>
      </c>
      <c r="BD22" s="200">
        <v>0.25</v>
      </c>
      <c r="BE22" s="200">
        <v>0.35</v>
      </c>
      <c r="BF22" s="172"/>
      <c r="BG22" s="172"/>
      <c r="BH22" s="202" t="s">
        <v>187</v>
      </c>
      <c r="BI22" s="199" t="s">
        <v>531</v>
      </c>
      <c r="BJ22" s="200">
        <v>0.08</v>
      </c>
      <c r="BK22" s="221">
        <v>0.1</v>
      </c>
      <c r="BL22" s="221">
        <v>0.15</v>
      </c>
      <c r="BN22" s="182">
        <v>215.57</v>
      </c>
      <c r="BO22" s="204">
        <f t="shared" si="11"/>
        <v>0.38053830227743252</v>
      </c>
      <c r="BP22" s="182">
        <f t="shared" si="9"/>
        <v>133.53735817805386</v>
      </c>
      <c r="BQ22" s="182">
        <f t="shared" si="10"/>
        <v>128.99708800000002</v>
      </c>
    </row>
    <row r="23" spans="1:69" ht="14" customHeight="1">
      <c r="A23" s="215">
        <v>19</v>
      </c>
      <c r="B23" s="215" t="s">
        <v>532</v>
      </c>
      <c r="C23" s="213" t="s">
        <v>492</v>
      </c>
      <c r="D23" s="206" t="s">
        <v>533</v>
      </c>
      <c r="E23" s="180" t="s">
        <v>534</v>
      </c>
      <c r="F23" s="181">
        <v>12</v>
      </c>
      <c r="G23" s="181" t="s">
        <v>161</v>
      </c>
      <c r="H23" s="181">
        <v>70</v>
      </c>
      <c r="I23" s="182">
        <v>202.8</v>
      </c>
      <c r="J23" s="182">
        <v>189.61800000000002</v>
      </c>
      <c r="K23" s="182">
        <f t="shared" si="0"/>
        <v>206.98321643999998</v>
      </c>
      <c r="L23" s="182">
        <f t="shared" si="2"/>
        <v>53.567084999999999</v>
      </c>
      <c r="M23" s="182">
        <f t="shared" si="1"/>
        <v>153.41613143999999</v>
      </c>
      <c r="N23" s="183">
        <f>M23/10/12</f>
        <v>1.2784677619999998</v>
      </c>
      <c r="O23" s="182">
        <f>N23*10</f>
        <v>12.784677619999998</v>
      </c>
      <c r="P23" s="184">
        <v>0.25</v>
      </c>
      <c r="Q23" s="185">
        <f>VLOOKUP(D23,[4]备注!A:C,2,0)</f>
        <v>0.34590988965201463</v>
      </c>
      <c r="R23" s="185">
        <v>2.7E-2</v>
      </c>
      <c r="S23" s="186">
        <f t="shared" si="3"/>
        <v>135.76648800000001</v>
      </c>
      <c r="T23" s="182">
        <f t="shared" si="4"/>
        <v>60.140362378571439</v>
      </c>
      <c r="U23" s="187">
        <f t="shared" si="5"/>
        <v>0.44296912488869444</v>
      </c>
      <c r="V23" s="172"/>
      <c r="W23" s="188">
        <v>0.3</v>
      </c>
      <c r="X23" s="182">
        <v>1.19</v>
      </c>
      <c r="Y23" s="182">
        <f>13.9/10</f>
        <v>1.3900000000000001</v>
      </c>
      <c r="Z23" s="182"/>
      <c r="AA23" s="172"/>
      <c r="AB23" s="182">
        <f t="shared" si="6"/>
        <v>0.20000000000000018</v>
      </c>
      <c r="AC23" s="189">
        <f t="shared" si="7"/>
        <v>0.15643726493902801</v>
      </c>
      <c r="AD23" s="190"/>
      <c r="AE23" s="223">
        <v>0.28999999999999998</v>
      </c>
      <c r="AF23" s="191">
        <v>0.05</v>
      </c>
      <c r="AG23" s="191">
        <v>0.05</v>
      </c>
      <c r="AH23" s="172"/>
      <c r="AI23" s="223">
        <v>0.25</v>
      </c>
      <c r="AJ23" s="191" t="s">
        <v>495</v>
      </c>
      <c r="AK23" s="191">
        <v>0.25</v>
      </c>
      <c r="AL23" s="192"/>
      <c r="AM23" s="208">
        <v>0.2</v>
      </c>
      <c r="AN23" s="193">
        <f>VLOOKUP(D23,[4]备注!J:K,2,0)</f>
        <v>14</v>
      </c>
      <c r="AO23" s="194"/>
      <c r="AP23" s="195">
        <v>12.784677619999998</v>
      </c>
      <c r="AQ23" s="191"/>
      <c r="AR23" s="191" t="s">
        <v>495</v>
      </c>
      <c r="AS23" s="172"/>
      <c r="AT23" s="196">
        <v>-2.4037700000000002</v>
      </c>
      <c r="AU23" s="196">
        <v>50.313110000000023</v>
      </c>
      <c r="AV23" s="196">
        <v>-0.19626000000000002</v>
      </c>
      <c r="AW23" s="196">
        <v>0</v>
      </c>
      <c r="AX23" s="197">
        <f t="shared" si="8"/>
        <v>47.713080000000019</v>
      </c>
      <c r="AY23" s="198"/>
      <c r="AZ23" s="215" t="s">
        <v>532</v>
      </c>
      <c r="BA23" s="206" t="s">
        <v>533</v>
      </c>
      <c r="BB23" s="199" t="s">
        <v>281</v>
      </c>
      <c r="BC23" s="200">
        <v>0.2</v>
      </c>
      <c r="BD23" s="200">
        <v>0.25</v>
      </c>
      <c r="BE23" s="200">
        <v>0.3</v>
      </c>
      <c r="BF23" s="201">
        <f>P23-AI23</f>
        <v>0</v>
      </c>
      <c r="BG23" s="172"/>
      <c r="BH23" s="202" t="s">
        <v>172</v>
      </c>
      <c r="BI23" s="199" t="s">
        <v>276</v>
      </c>
      <c r="BJ23" s="200">
        <v>0.05</v>
      </c>
      <c r="BK23" s="221">
        <v>0.08</v>
      </c>
      <c r="BL23" s="221">
        <v>0.111</v>
      </c>
      <c r="BN23" s="182">
        <v>202.8</v>
      </c>
      <c r="BO23" s="204">
        <f t="shared" si="11"/>
        <v>0.30697722567287777</v>
      </c>
      <c r="BP23" s="182">
        <f t="shared" si="9"/>
        <v>140.54501863354039</v>
      </c>
      <c r="BQ23" s="182">
        <f t="shared" si="10"/>
        <v>135.76648800000001</v>
      </c>
    </row>
    <row r="24" spans="1:69" ht="16.5">
      <c r="A24" s="215">
        <v>20</v>
      </c>
      <c r="B24" s="215" t="s">
        <v>124</v>
      </c>
      <c r="C24" s="213" t="s">
        <v>492</v>
      </c>
      <c r="D24" s="179" t="s">
        <v>535</v>
      </c>
      <c r="E24" s="180" t="s">
        <v>536</v>
      </c>
      <c r="F24" s="181">
        <v>4</v>
      </c>
      <c r="G24" s="181" t="s">
        <v>154</v>
      </c>
      <c r="H24" s="181">
        <v>160</v>
      </c>
      <c r="I24" s="182">
        <v>100.5</v>
      </c>
      <c r="J24" s="182">
        <v>93.967500000000001</v>
      </c>
      <c r="K24" s="182">
        <f t="shared" si="0"/>
        <v>102.57304364999999</v>
      </c>
      <c r="L24" s="182">
        <f t="shared" si="2"/>
        <v>31.430249399999997</v>
      </c>
      <c r="M24" s="182">
        <f>K24-L24</f>
        <v>71.142794249999994</v>
      </c>
      <c r="N24" s="183">
        <f>M24/8/4</f>
        <v>2.2232123203124998</v>
      </c>
      <c r="O24" s="182">
        <f>N24*8</f>
        <v>17.785698562499999</v>
      </c>
      <c r="P24" s="184">
        <v>0.29599999999999999</v>
      </c>
      <c r="Q24" s="185">
        <f>VLOOKUP(D24,[4]备注!A:C,2,0)</f>
        <v>0.34237421452352862</v>
      </c>
      <c r="R24" s="185">
        <v>2.7E-2</v>
      </c>
      <c r="S24" s="186">
        <f t="shared" si="3"/>
        <v>62.958224999999992</v>
      </c>
      <c r="T24" s="182">
        <f t="shared" si="4"/>
        <v>25.836116440385361</v>
      </c>
      <c r="U24" s="187">
        <f t="shared" si="5"/>
        <v>0.41036920021784867</v>
      </c>
      <c r="V24" s="172"/>
      <c r="W24" s="188">
        <v>0.246</v>
      </c>
      <c r="X24" s="182">
        <v>2.39</v>
      </c>
      <c r="Y24" s="182">
        <v>2.7374999999999998</v>
      </c>
      <c r="Z24" s="182"/>
      <c r="AA24" s="172"/>
      <c r="AB24" s="182">
        <f t="shared" si="6"/>
        <v>0.3474999999999997</v>
      </c>
      <c r="AC24" s="189">
        <f t="shared" si="7"/>
        <v>0.15630535906312101</v>
      </c>
      <c r="AD24" s="190"/>
      <c r="AE24" s="223">
        <v>0.3</v>
      </c>
      <c r="AF24" s="191">
        <v>0.246</v>
      </c>
      <c r="AG24" s="191">
        <v>0.15</v>
      </c>
      <c r="AH24" s="172"/>
      <c r="AI24" s="223">
        <v>0.3</v>
      </c>
      <c r="AJ24" s="191">
        <v>0.2</v>
      </c>
      <c r="AK24" s="191">
        <f>VLOOKUP(D24,[4]Sheet1!R:S,2,0)</f>
        <v>0.246</v>
      </c>
      <c r="AL24" s="192"/>
      <c r="AM24" s="191">
        <f>VLOOKUP(D24,[4]Sheet1!A:C,3,0)</f>
        <v>0.246</v>
      </c>
      <c r="AN24" s="193">
        <f>VLOOKUP(D24,[4]备注!J:K,2,0)</f>
        <v>19.2</v>
      </c>
      <c r="AO24" s="194">
        <v>4000</v>
      </c>
      <c r="AP24" s="195">
        <v>0</v>
      </c>
      <c r="AQ24" s="191"/>
      <c r="AR24" s="191">
        <f>VLOOKUP(D24,[4]Sheet1!U:V,2,0)</f>
        <v>0.246</v>
      </c>
      <c r="AS24" s="172"/>
      <c r="AT24" s="196">
        <v>30.087459999999989</v>
      </c>
      <c r="AU24" s="196">
        <v>10.620570000000001</v>
      </c>
      <c r="AV24" s="196">
        <v>-0.19626000000000002</v>
      </c>
      <c r="AW24" s="196">
        <v>46.722909999999999</v>
      </c>
      <c r="AX24" s="197">
        <f t="shared" si="8"/>
        <v>87.234679999999997</v>
      </c>
      <c r="AY24" s="198"/>
      <c r="AZ24" s="215" t="s">
        <v>124</v>
      </c>
      <c r="BA24" s="179" t="s">
        <v>535</v>
      </c>
      <c r="BB24" s="219" t="s">
        <v>280</v>
      </c>
      <c r="BC24" s="221">
        <v>0.15</v>
      </c>
      <c r="BD24" s="221">
        <v>0.2</v>
      </c>
      <c r="BE24" s="221">
        <v>0.246</v>
      </c>
      <c r="BF24" s="201">
        <f>P24-AI24</f>
        <v>-4.0000000000000036E-3</v>
      </c>
      <c r="BG24" s="172"/>
      <c r="BH24" s="202" t="s">
        <v>227</v>
      </c>
      <c r="BI24" s="219" t="s">
        <v>289</v>
      </c>
      <c r="BJ24" s="221">
        <v>0.03</v>
      </c>
      <c r="BK24" s="221">
        <v>0.05</v>
      </c>
      <c r="BL24" s="221">
        <v>0.15</v>
      </c>
      <c r="BN24" s="182">
        <v>100.5</v>
      </c>
      <c r="BO24" s="204">
        <f t="shared" si="11"/>
        <v>0.35150103519668735</v>
      </c>
      <c r="BP24" s="182">
        <f t="shared" si="9"/>
        <v>65.174145962732922</v>
      </c>
      <c r="BQ24" s="182">
        <f t="shared" si="10"/>
        <v>62.958224999999999</v>
      </c>
    </row>
    <row r="25" spans="1:69" ht="16.5">
      <c r="A25" s="215">
        <v>21</v>
      </c>
      <c r="B25" s="215" t="s">
        <v>124</v>
      </c>
      <c r="C25" s="213" t="s">
        <v>492</v>
      </c>
      <c r="D25" s="206" t="s">
        <v>537</v>
      </c>
      <c r="E25" s="180" t="s">
        <v>538</v>
      </c>
      <c r="F25" s="181">
        <v>6</v>
      </c>
      <c r="G25" s="181" t="s">
        <v>147</v>
      </c>
      <c r="H25" s="181">
        <v>300</v>
      </c>
      <c r="I25" s="182">
        <v>215.4</v>
      </c>
      <c r="J25" s="182">
        <v>201.39900000000003</v>
      </c>
      <c r="K25" s="182">
        <f t="shared" si="0"/>
        <v>219.84312041999999</v>
      </c>
      <c r="L25" s="182">
        <f t="shared" si="2"/>
        <v>75.101687100000007</v>
      </c>
      <c r="M25" s="182">
        <f t="shared" si="1"/>
        <v>144.74143332</v>
      </c>
      <c r="N25" s="183">
        <f>M25/6/3</f>
        <v>8.0411907399999993</v>
      </c>
      <c r="O25" s="182">
        <f>N25*3</f>
        <v>24.12357222</v>
      </c>
      <c r="P25" s="184">
        <v>0.33</v>
      </c>
      <c r="Q25" s="185">
        <f>VLOOKUP(D25,[4]备注!A:C,2,0)</f>
        <v>0.28048232209842155</v>
      </c>
      <c r="R25" s="185">
        <v>2.7E-2</v>
      </c>
      <c r="S25" s="186">
        <f t="shared" si="3"/>
        <v>128.089764</v>
      </c>
      <c r="T25" s="182">
        <f t="shared" si="4"/>
        <v>61.858071819999992</v>
      </c>
      <c r="U25" s="187">
        <f t="shared" si="5"/>
        <v>0.48292751808021123</v>
      </c>
      <c r="V25" s="172"/>
      <c r="W25" s="188">
        <v>0.33</v>
      </c>
      <c r="X25" s="182">
        <v>8.0399999999999991</v>
      </c>
      <c r="Y25" s="182">
        <v>7.9666666666666703</v>
      </c>
      <c r="Z25" s="182"/>
      <c r="AA25" s="172"/>
      <c r="AB25" s="182">
        <f t="shared" si="6"/>
        <v>-7.333333333332881E-2</v>
      </c>
      <c r="AC25" s="189">
        <f t="shared" si="7"/>
        <v>-9.1197107125615597E-3</v>
      </c>
      <c r="AD25" s="190"/>
      <c r="AE25" s="223">
        <v>0.33</v>
      </c>
      <c r="AF25" s="191">
        <v>0.18</v>
      </c>
      <c r="AG25" s="191">
        <v>0.18</v>
      </c>
      <c r="AH25" s="172"/>
      <c r="AI25" s="223">
        <v>0.33</v>
      </c>
      <c r="AJ25" s="191" t="s">
        <v>495</v>
      </c>
      <c r="AK25" s="191">
        <f>VLOOKUP(D25,[4]Sheet1!R:S,2,0)</f>
        <v>0.33</v>
      </c>
      <c r="AL25" s="192"/>
      <c r="AM25" s="191">
        <v>0.18</v>
      </c>
      <c r="AN25" s="193">
        <f>VLOOKUP(D25,[4]备注!J:K,2,0)</f>
        <v>21</v>
      </c>
      <c r="AO25" s="194"/>
      <c r="AP25" s="195">
        <v>24.12357222</v>
      </c>
      <c r="AQ25" s="191"/>
      <c r="AR25" s="191" t="s">
        <v>495</v>
      </c>
      <c r="AS25" s="172"/>
      <c r="AT25" s="196">
        <v>13.379570000000005</v>
      </c>
      <c r="AU25" s="196">
        <v>4.1595499999999994</v>
      </c>
      <c r="AV25" s="196">
        <v>0.80444000000000004</v>
      </c>
      <c r="AW25" s="196">
        <v>1.8069100000000005</v>
      </c>
      <c r="AX25" s="197">
        <f t="shared" si="8"/>
        <v>20.150470000000006</v>
      </c>
      <c r="AY25" s="198"/>
      <c r="AZ25" s="215" t="s">
        <v>124</v>
      </c>
      <c r="BA25" s="206" t="s">
        <v>537</v>
      </c>
      <c r="BB25" s="199" t="s">
        <v>279</v>
      </c>
      <c r="BC25" s="200">
        <v>0.18</v>
      </c>
      <c r="BD25" s="200">
        <v>0.26</v>
      </c>
      <c r="BE25" s="200">
        <v>0.33</v>
      </c>
      <c r="BF25" s="201">
        <f>P25-AI25</f>
        <v>0</v>
      </c>
      <c r="BG25" s="172"/>
      <c r="BH25" s="202" t="s">
        <v>157</v>
      </c>
      <c r="BI25" s="199" t="s">
        <v>281</v>
      </c>
      <c r="BJ25" s="200">
        <v>0.2</v>
      </c>
      <c r="BK25" s="203">
        <v>0.25</v>
      </c>
      <c r="BL25" s="203">
        <v>0.3</v>
      </c>
      <c r="BN25" s="182">
        <v>215.4</v>
      </c>
      <c r="BO25" s="204">
        <f t="shared" si="11"/>
        <v>0.38440993788819877</v>
      </c>
      <c r="BP25" s="182">
        <f t="shared" si="9"/>
        <v>132.59809937888198</v>
      </c>
      <c r="BQ25" s="182">
        <f t="shared" si="10"/>
        <v>128.089764</v>
      </c>
    </row>
    <row r="26" spans="1:69" ht="16.5">
      <c r="A26" s="215">
        <v>22</v>
      </c>
      <c r="B26" s="212" t="s">
        <v>124</v>
      </c>
      <c r="C26" s="213" t="s">
        <v>492</v>
      </c>
      <c r="D26" s="179" t="s">
        <v>539</v>
      </c>
      <c r="E26" s="180" t="s">
        <v>540</v>
      </c>
      <c r="F26" s="181">
        <v>16</v>
      </c>
      <c r="G26" s="181" t="s">
        <v>140</v>
      </c>
      <c r="H26" s="181">
        <v>120</v>
      </c>
      <c r="I26" s="182">
        <v>222.4</v>
      </c>
      <c r="J26" s="182">
        <v>207.94400000000002</v>
      </c>
      <c r="K26" s="182">
        <f t="shared" si="0"/>
        <v>226.98751152</v>
      </c>
      <c r="L26" s="182">
        <f t="shared" si="2"/>
        <v>82.241851999999994</v>
      </c>
      <c r="M26" s="182">
        <f t="shared" si="1"/>
        <v>144.74565952</v>
      </c>
      <c r="N26" s="183">
        <f>M26/16/3</f>
        <v>3.0155345733333334</v>
      </c>
      <c r="O26" s="182">
        <f>N26*3</f>
        <v>9.0466037200000002</v>
      </c>
      <c r="P26" s="184">
        <v>0.35</v>
      </c>
      <c r="Q26" s="185">
        <f>VLOOKUP(D26,[4]备注!A:C,2,0)</f>
        <v>0.27093207531474817</v>
      </c>
      <c r="R26" s="185">
        <v>2.7E-2</v>
      </c>
      <c r="S26" s="186">
        <f t="shared" si="3"/>
        <v>128.093504</v>
      </c>
      <c r="T26" s="182">
        <f t="shared" si="4"/>
        <v>61.833410450000002</v>
      </c>
      <c r="U26" s="187">
        <f t="shared" si="5"/>
        <v>0.48272089152936282</v>
      </c>
      <c r="V26" s="172"/>
      <c r="W26" s="188">
        <v>0.35</v>
      </c>
      <c r="X26" s="182">
        <v>3.02</v>
      </c>
      <c r="Y26" s="182">
        <v>3.3000000000000003</v>
      </c>
      <c r="Z26" s="182"/>
      <c r="AA26" s="172"/>
      <c r="AB26" s="182">
        <f t="shared" si="6"/>
        <v>0.28000000000000025</v>
      </c>
      <c r="AC26" s="189">
        <f t="shared" si="7"/>
        <v>9.2852525212633139E-2</v>
      </c>
      <c r="AD26" s="190"/>
      <c r="AE26" s="207">
        <v>0.35</v>
      </c>
      <c r="AF26" s="191">
        <v>0.25</v>
      </c>
      <c r="AG26" s="191">
        <v>0.12</v>
      </c>
      <c r="AH26" s="172"/>
      <c r="AI26" s="207">
        <v>0.35</v>
      </c>
      <c r="AJ26" s="191" t="s">
        <v>495</v>
      </c>
      <c r="AK26" s="191">
        <f>VLOOKUP(D26,[4]Sheet1!R:S,2,0)</f>
        <v>0.35</v>
      </c>
      <c r="AL26" s="192"/>
      <c r="AM26" s="191">
        <v>0.25</v>
      </c>
      <c r="AN26" s="193">
        <f>VLOOKUP(D26,[4]备注!J:K,2,0)</f>
        <v>8.5</v>
      </c>
      <c r="AO26" s="194">
        <v>6000</v>
      </c>
      <c r="AP26" s="195">
        <v>9.0466037200000002</v>
      </c>
      <c r="AQ26" s="191"/>
      <c r="AR26" s="191" t="s">
        <v>495</v>
      </c>
      <c r="AS26" s="172"/>
      <c r="AT26" s="196">
        <v>36.58582000000002</v>
      </c>
      <c r="AU26" s="196">
        <v>7.096449999999999</v>
      </c>
      <c r="AV26" s="196">
        <v>6.9640000000000007E-2</v>
      </c>
      <c r="AW26" s="196">
        <v>1.2922099999999999</v>
      </c>
      <c r="AX26" s="197">
        <f t="shared" si="8"/>
        <v>45.044120000000014</v>
      </c>
      <c r="AY26" s="198"/>
      <c r="AZ26" s="215" t="s">
        <v>124</v>
      </c>
      <c r="BA26" s="179" t="s">
        <v>539</v>
      </c>
      <c r="BB26" s="199" t="s">
        <v>278</v>
      </c>
      <c r="BC26" s="200">
        <v>0.12</v>
      </c>
      <c r="BD26" s="200">
        <v>0.22</v>
      </c>
      <c r="BE26" s="200">
        <v>0.35</v>
      </c>
      <c r="BF26" s="201">
        <f>P26-AI26</f>
        <v>0</v>
      </c>
      <c r="BG26" s="172"/>
      <c r="BH26" s="202" t="s">
        <v>211</v>
      </c>
      <c r="BI26" s="199" t="s">
        <v>529</v>
      </c>
      <c r="BJ26" s="200">
        <v>0.05</v>
      </c>
      <c r="BK26" s="221">
        <v>0.08</v>
      </c>
      <c r="BL26" s="221">
        <v>0.12</v>
      </c>
      <c r="BN26" s="182">
        <v>222.4</v>
      </c>
      <c r="BO26" s="204">
        <f t="shared" si="11"/>
        <v>0.40376811594202883</v>
      </c>
      <c r="BP26" s="182">
        <f t="shared" si="9"/>
        <v>132.60197101449279</v>
      </c>
      <c r="BQ26" s="182">
        <f t="shared" si="10"/>
        <v>128.09350400000002</v>
      </c>
    </row>
    <row r="27" spans="1:69" ht="16.5">
      <c r="A27" s="215">
        <v>23</v>
      </c>
      <c r="B27" s="215" t="s">
        <v>124</v>
      </c>
      <c r="C27" s="178" t="s">
        <v>492</v>
      </c>
      <c r="D27" s="206" t="s">
        <v>541</v>
      </c>
      <c r="E27" s="180" t="s">
        <v>513</v>
      </c>
      <c r="F27" s="181">
        <v>4</v>
      </c>
      <c r="G27" s="181" t="s">
        <v>131</v>
      </c>
      <c r="H27" s="181">
        <v>320</v>
      </c>
      <c r="I27" s="182">
        <v>105.79</v>
      </c>
      <c r="J27" s="182">
        <v>98.913650000000018</v>
      </c>
      <c r="K27" s="182">
        <f t="shared" si="0"/>
        <v>107.97216206700001</v>
      </c>
      <c r="L27" s="182">
        <f t="shared" si="2"/>
        <v>39.120348575000001</v>
      </c>
      <c r="M27" s="182">
        <f t="shared" si="1"/>
        <v>68.851813492000019</v>
      </c>
      <c r="N27" s="183">
        <f>M27/8/4</f>
        <v>2.1516191716250006</v>
      </c>
      <c r="O27" s="182">
        <f>N27*8</f>
        <v>17.212953373000005</v>
      </c>
      <c r="P27" s="184">
        <v>0.35</v>
      </c>
      <c r="Q27" s="185">
        <f>VLOOKUP(D27,[4]备注!A:C,2,0)</f>
        <v>0.32146754330763966</v>
      </c>
      <c r="R27" s="185">
        <v>2.7E-2</v>
      </c>
      <c r="S27" s="186">
        <f t="shared" si="3"/>
        <v>60.930808400000011</v>
      </c>
      <c r="T27" s="182">
        <f t="shared" si="4"/>
        <v>24.066426993484804</v>
      </c>
      <c r="U27" s="187">
        <f t="shared" si="5"/>
        <v>0.39497961089721567</v>
      </c>
      <c r="V27" s="172"/>
      <c r="W27" s="188">
        <v>0.35</v>
      </c>
      <c r="X27" s="182">
        <v>2.15</v>
      </c>
      <c r="Y27" s="182">
        <v>2.4874999999999998</v>
      </c>
      <c r="Z27" s="182"/>
      <c r="AA27" s="172"/>
      <c r="AB27" s="182">
        <f t="shared" si="6"/>
        <v>0.33749999999999991</v>
      </c>
      <c r="AC27" s="189">
        <f t="shared" si="7"/>
        <v>0.15685861348089056</v>
      </c>
      <c r="AD27" s="190"/>
      <c r="AE27" s="207">
        <v>0.35</v>
      </c>
      <c r="AF27" s="191">
        <v>0.3</v>
      </c>
      <c r="AG27" s="191">
        <v>0.3</v>
      </c>
      <c r="AH27" s="172"/>
      <c r="AI27" s="207">
        <v>0.35</v>
      </c>
      <c r="AJ27" s="191" t="s">
        <v>495</v>
      </c>
      <c r="AK27" s="191">
        <f>VLOOKUP(D27,[4]Sheet1!R:S,2,0)</f>
        <v>0.35</v>
      </c>
      <c r="AL27" s="192"/>
      <c r="AM27" s="191">
        <f>VLOOKUP(D27,[4]Sheet1!A:C,3,0)</f>
        <v>0.3</v>
      </c>
      <c r="AN27" s="193">
        <f>VLOOKUP(D27,[4]备注!J:K,2,0)</f>
        <v>19</v>
      </c>
      <c r="AO27" s="194"/>
      <c r="AP27" s="195">
        <v>17.212953373000005</v>
      </c>
      <c r="AQ27" s="191"/>
      <c r="AR27" s="191">
        <f>VLOOKUP(D27,[4]Sheet1!U:V,2,0)</f>
        <v>0.3</v>
      </c>
      <c r="AS27" s="172"/>
      <c r="AT27" s="196">
        <v>12.716020000000002</v>
      </c>
      <c r="AU27" s="196">
        <v>1.4173200000000004</v>
      </c>
      <c r="AV27" s="196">
        <v>-1.7140000000000002E-2</v>
      </c>
      <c r="AW27" s="196">
        <v>15.861319999999996</v>
      </c>
      <c r="AX27" s="197">
        <f t="shared" si="8"/>
        <v>29.977519999999998</v>
      </c>
      <c r="AY27" s="198"/>
      <c r="AZ27" s="215" t="s">
        <v>124</v>
      </c>
      <c r="BA27" s="206" t="s">
        <v>541</v>
      </c>
      <c r="BB27" s="199" t="s">
        <v>513</v>
      </c>
      <c r="BC27" s="200">
        <v>0.25</v>
      </c>
      <c r="BD27" s="200">
        <v>0.3</v>
      </c>
      <c r="BE27" s="200">
        <v>0.35</v>
      </c>
      <c r="BF27" s="201">
        <f>P27-AI27</f>
        <v>0</v>
      </c>
      <c r="BG27" s="172"/>
      <c r="BH27" s="202" t="s">
        <v>219</v>
      </c>
      <c r="BI27" s="199" t="s">
        <v>526</v>
      </c>
      <c r="BJ27" s="200">
        <v>0.05</v>
      </c>
      <c r="BK27" s="221">
        <v>0.08</v>
      </c>
      <c r="BL27" s="221">
        <v>0.15</v>
      </c>
      <c r="BN27" s="182">
        <v>105.79</v>
      </c>
      <c r="BO27" s="204">
        <f t="shared" si="11"/>
        <v>0.40376811594202877</v>
      </c>
      <c r="BP27" s="182">
        <f t="shared" si="9"/>
        <v>63.075371014492781</v>
      </c>
      <c r="BQ27" s="182">
        <f t="shared" si="10"/>
        <v>60.930808400000025</v>
      </c>
    </row>
    <row r="28" spans="1:69" ht="16.5">
      <c r="A28" s="215">
        <v>25</v>
      </c>
      <c r="B28" s="215" t="s">
        <v>170</v>
      </c>
      <c r="C28" s="210" t="s">
        <v>542</v>
      </c>
      <c r="D28" s="206" t="s">
        <v>543</v>
      </c>
      <c r="E28" s="180" t="s">
        <v>544</v>
      </c>
      <c r="F28" s="181">
        <v>6</v>
      </c>
      <c r="G28" s="181" t="s">
        <v>184</v>
      </c>
      <c r="H28" s="181">
        <v>1280</v>
      </c>
      <c r="I28" s="182">
        <v>283.80122999999998</v>
      </c>
      <c r="J28" s="182">
        <v>265.35415004999999</v>
      </c>
      <c r="K28" s="182">
        <f t="shared" si="0"/>
        <v>289.65528311157897</v>
      </c>
      <c r="L28" s="182">
        <f t="shared" si="2"/>
        <v>29.985018955649998</v>
      </c>
      <c r="M28" s="182">
        <f t="shared" si="1"/>
        <v>259.67026415592898</v>
      </c>
      <c r="N28" s="183">
        <f>M28/6/16</f>
        <v>2.7048985849575935</v>
      </c>
      <c r="O28" s="182">
        <f>N28*16</f>
        <v>43.278377359321496</v>
      </c>
      <c r="P28" s="184">
        <v>0.1</v>
      </c>
      <c r="Q28" s="185">
        <f>VLOOKUP(D28,[4]备注!A:C,2,0)</f>
        <v>0.47291701808609155</v>
      </c>
      <c r="R28" s="185">
        <v>2.7E-2</v>
      </c>
      <c r="S28" s="186">
        <f t="shared" si="3"/>
        <v>229.7966939433</v>
      </c>
      <c r="T28" s="182">
        <f t="shared" si="4"/>
        <v>87.919629312534965</v>
      </c>
      <c r="U28" s="187">
        <f t="shared" si="5"/>
        <v>0.3825974508329012</v>
      </c>
      <c r="V28" s="172"/>
      <c r="W28" s="188">
        <v>0.1</v>
      </c>
      <c r="X28" s="182">
        <v>2.7</v>
      </c>
      <c r="Y28" s="182">
        <v>3.4937499999999999</v>
      </c>
      <c r="Z28" s="182"/>
      <c r="AA28" s="172"/>
      <c r="AB28" s="182">
        <f t="shared" si="6"/>
        <v>0.79374999999999973</v>
      </c>
      <c r="AC28" s="189">
        <f t="shared" si="7"/>
        <v>0.29344907953820526</v>
      </c>
      <c r="AD28" s="190"/>
      <c r="AE28" s="207">
        <v>0.1</v>
      </c>
      <c r="AF28" s="191">
        <v>0.03</v>
      </c>
      <c r="AG28" s="191">
        <v>0.03</v>
      </c>
      <c r="AH28" s="172"/>
      <c r="AI28" s="207">
        <v>0.1</v>
      </c>
      <c r="AJ28" s="191">
        <v>0.1</v>
      </c>
      <c r="AK28" s="191">
        <f>VLOOKUP(D28,[4]Sheet1!R:S,2,0)</f>
        <v>0.1</v>
      </c>
      <c r="AL28" s="192"/>
      <c r="AM28" s="191">
        <v>0.03</v>
      </c>
      <c r="AN28" s="193"/>
      <c r="AO28" s="194"/>
      <c r="AP28" s="195">
        <v>43.278377359321496</v>
      </c>
      <c r="AQ28" s="191"/>
      <c r="AR28" s="191" t="s">
        <v>495</v>
      </c>
      <c r="AS28" s="172"/>
      <c r="AT28" s="196">
        <v>-2.1144599999999998</v>
      </c>
      <c r="AU28" s="196">
        <v>0.42915999999999999</v>
      </c>
      <c r="AV28" s="196">
        <v>6.8970000000000004E-2</v>
      </c>
      <c r="AW28" s="196">
        <v>0</v>
      </c>
      <c r="AX28" s="197">
        <f t="shared" si="8"/>
        <v>-1.6163299999999998</v>
      </c>
      <c r="AY28" s="198"/>
      <c r="AZ28" s="215" t="s">
        <v>170</v>
      </c>
      <c r="BA28" s="206" t="s">
        <v>543</v>
      </c>
      <c r="BB28" s="199" t="s">
        <v>544</v>
      </c>
      <c r="BC28" s="200"/>
      <c r="BD28" s="200"/>
      <c r="BE28" s="200"/>
      <c r="BF28" s="172"/>
      <c r="BG28" s="172"/>
      <c r="BH28" s="202" t="s">
        <v>244</v>
      </c>
      <c r="BI28" s="199" t="s">
        <v>518</v>
      </c>
      <c r="BJ28" s="200">
        <v>0.1</v>
      </c>
      <c r="BK28" s="203">
        <v>0.15</v>
      </c>
      <c r="BL28" s="203">
        <v>0.22</v>
      </c>
      <c r="BN28" s="182">
        <v>283.80122999999998</v>
      </c>
      <c r="BO28" s="204">
        <f t="shared" si="11"/>
        <v>0.16179089026915106</v>
      </c>
      <c r="BP28" s="182">
        <f t="shared" si="9"/>
        <v>237.88477633881988</v>
      </c>
      <c r="BQ28" s="182">
        <f t="shared" si="10"/>
        <v>229.7966939433</v>
      </c>
    </row>
    <row r="29" spans="1:69" ht="16.5">
      <c r="A29" s="215">
        <v>26</v>
      </c>
      <c r="B29" s="215" t="s">
        <v>170</v>
      </c>
      <c r="C29" s="213" t="s">
        <v>492</v>
      </c>
      <c r="D29" s="206" t="s">
        <v>545</v>
      </c>
      <c r="E29" s="180" t="s">
        <v>546</v>
      </c>
      <c r="F29" s="181">
        <v>20</v>
      </c>
      <c r="G29" s="181" t="s">
        <v>191</v>
      </c>
      <c r="H29" s="181">
        <v>600</v>
      </c>
      <c r="I29" s="182">
        <v>338.18198999999998</v>
      </c>
      <c r="J29" s="182">
        <v>316.20016064999999</v>
      </c>
      <c r="K29" s="182">
        <f t="shared" si="0"/>
        <v>345.15777136232697</v>
      </c>
      <c r="L29" s="182">
        <f t="shared" si="2"/>
        <v>35.730618153449996</v>
      </c>
      <c r="M29" s="182">
        <f t="shared" si="1"/>
        <v>309.42715320887697</v>
      </c>
      <c r="N29" s="183">
        <f>M29/3/20</f>
        <v>5.1571192201479494</v>
      </c>
      <c r="O29" s="182">
        <f>N29*3</f>
        <v>15.471357660443848</v>
      </c>
      <c r="P29" s="184">
        <v>0.1</v>
      </c>
      <c r="Q29" s="185">
        <f>VLOOKUP(D29,[4]备注!A:C,2,0)</f>
        <v>0.46436327665246163</v>
      </c>
      <c r="R29" s="185">
        <v>2.7E-2</v>
      </c>
      <c r="S29" s="186">
        <f t="shared" si="3"/>
        <v>273.82933912289997</v>
      </c>
      <c r="T29" s="182">
        <f t="shared" si="4"/>
        <v>107.65912841164996</v>
      </c>
      <c r="U29" s="187">
        <f t="shared" si="5"/>
        <v>0.39316140759968177</v>
      </c>
      <c r="V29" s="172"/>
      <c r="W29" s="188">
        <v>0.15</v>
      </c>
      <c r="X29" s="182">
        <v>4.8600000000000003</v>
      </c>
      <c r="Y29" s="182">
        <v>6.6333333333333329</v>
      </c>
      <c r="Z29" s="182"/>
      <c r="AA29" s="172"/>
      <c r="AB29" s="182">
        <f t="shared" si="6"/>
        <v>1.7733333333333325</v>
      </c>
      <c r="AC29" s="189">
        <f t="shared" si="7"/>
        <v>0.34386122515943279</v>
      </c>
      <c r="AD29" s="190"/>
      <c r="AE29" s="191">
        <v>0.21299999999999999</v>
      </c>
      <c r="AF29" s="191">
        <v>0.08</v>
      </c>
      <c r="AG29" s="191">
        <v>0.08</v>
      </c>
      <c r="AH29" s="172"/>
      <c r="AI29" s="191">
        <v>0.21299999999999999</v>
      </c>
      <c r="AJ29" s="191">
        <v>0.15</v>
      </c>
      <c r="AK29" s="191">
        <f>VLOOKUP(D29,[4]Sheet1!R:S,2,0)</f>
        <v>0.15</v>
      </c>
      <c r="AL29" s="192"/>
      <c r="AM29" s="191">
        <f>VLOOKUP(D29,[4]Sheet1!A:C,3,0)</f>
        <v>0.08</v>
      </c>
      <c r="AN29" s="193">
        <f>VLOOKUP(D29,[4]备注!J:K,2,0)</f>
        <v>12.8</v>
      </c>
      <c r="AO29" s="194">
        <v>36000</v>
      </c>
      <c r="AP29" s="195">
        <v>13.452577734773925</v>
      </c>
      <c r="AQ29" s="191"/>
      <c r="AR29" s="191" t="s">
        <v>495</v>
      </c>
      <c r="AS29" s="172"/>
      <c r="AT29" s="196">
        <v>171.30264</v>
      </c>
      <c r="AU29" s="196">
        <v>740.68696</v>
      </c>
      <c r="AV29" s="196">
        <v>3.7316599999999998</v>
      </c>
      <c r="AW29" s="196">
        <v>24.379489999999993</v>
      </c>
      <c r="AX29" s="197">
        <f t="shared" si="8"/>
        <v>940.10075000000006</v>
      </c>
      <c r="AY29" s="198"/>
      <c r="AZ29" s="215" t="s">
        <v>170</v>
      </c>
      <c r="BA29" s="206" t="s">
        <v>545</v>
      </c>
      <c r="BB29" s="199" t="s">
        <v>531</v>
      </c>
      <c r="BC29" s="200">
        <v>0.08</v>
      </c>
      <c r="BD29" s="200">
        <v>0.1</v>
      </c>
      <c r="BE29" s="200">
        <v>0.15</v>
      </c>
      <c r="BF29" s="201">
        <f>P29-AI29</f>
        <v>-0.11299999999999999</v>
      </c>
      <c r="BG29" s="172"/>
      <c r="BH29" s="172"/>
      <c r="BI29" s="172"/>
      <c r="BJ29" s="172"/>
      <c r="BK29" s="172"/>
      <c r="BL29" s="172"/>
      <c r="BN29" s="182">
        <v>338.18198999999998</v>
      </c>
      <c r="BO29" s="204">
        <f t="shared" si="11"/>
        <v>0.16179089026915103</v>
      </c>
      <c r="BP29" s="182">
        <f t="shared" si="9"/>
        <v>283.46722476490686</v>
      </c>
      <c r="BQ29" s="182">
        <f t="shared" si="10"/>
        <v>273.82933912290002</v>
      </c>
    </row>
    <row r="30" spans="1:69" ht="16.5">
      <c r="A30" s="213">
        <v>27</v>
      </c>
      <c r="B30" s="215" t="s">
        <v>170</v>
      </c>
      <c r="C30" s="213" t="s">
        <v>492</v>
      </c>
      <c r="D30" s="206" t="s">
        <v>547</v>
      </c>
      <c r="E30" s="180" t="s">
        <v>548</v>
      </c>
      <c r="F30" s="181">
        <v>24</v>
      </c>
      <c r="G30" s="181" t="s">
        <v>176</v>
      </c>
      <c r="H30" s="181">
        <v>320</v>
      </c>
      <c r="I30" s="182">
        <v>287.22000000000003</v>
      </c>
      <c r="J30" s="182">
        <v>268.55070000000006</v>
      </c>
      <c r="K30" s="182">
        <f t="shared" si="0"/>
        <v>293.14457310600005</v>
      </c>
      <c r="L30" s="182">
        <f t="shared" si="2"/>
        <v>60.692458200000011</v>
      </c>
      <c r="M30" s="182">
        <f t="shared" si="1"/>
        <v>232.45211490600005</v>
      </c>
      <c r="N30" s="183">
        <f>M30/4/24</f>
        <v>2.4213761969375005</v>
      </c>
      <c r="O30" s="182">
        <f>N30*4</f>
        <v>9.685504787750002</v>
      </c>
      <c r="P30" s="184">
        <v>0.2</v>
      </c>
      <c r="Q30" s="185">
        <f>VLOOKUP(D30,[4]备注!A:C,2,0)</f>
        <v>0.5</v>
      </c>
      <c r="R30" s="185">
        <v>2.7E-2</v>
      </c>
      <c r="S30" s="186">
        <f t="shared" si="3"/>
        <v>205.70983620000004</v>
      </c>
      <c r="T30" s="182">
        <f t="shared" si="4"/>
        <v>54.344896200000022</v>
      </c>
      <c r="U30" s="187">
        <f>T30/S30</f>
        <v>0.26418229290291961</v>
      </c>
      <c r="V30" s="172"/>
      <c r="W30" s="188">
        <v>0.111</v>
      </c>
      <c r="X30" s="182">
        <v>2.7</v>
      </c>
      <c r="Y30" s="182">
        <v>3.75</v>
      </c>
      <c r="Z30" s="182"/>
      <c r="AA30" s="172"/>
      <c r="AB30" s="182">
        <f t="shared" si="6"/>
        <v>1.0499999999999998</v>
      </c>
      <c r="AC30" s="189">
        <f t="shared" si="7"/>
        <v>0.43363769798679569</v>
      </c>
      <c r="AD30" s="190"/>
      <c r="AE30" s="191">
        <v>0.2</v>
      </c>
      <c r="AF30" s="191">
        <v>0.111</v>
      </c>
      <c r="AG30" s="191">
        <v>0.05</v>
      </c>
      <c r="AH30" s="172"/>
      <c r="AI30" s="191">
        <v>0.2</v>
      </c>
      <c r="AJ30" s="191">
        <v>0.111</v>
      </c>
      <c r="AK30" s="191">
        <f>VLOOKUP(D30,[4]Sheet1!R:S,2,0)</f>
        <v>0.111</v>
      </c>
      <c r="AL30" s="192">
        <v>0.2</v>
      </c>
      <c r="AM30" s="191">
        <f>VLOOKUP(D30,[4]Sheet1!A:C,3,0)</f>
        <v>0.111</v>
      </c>
      <c r="AN30" s="193">
        <f>VLOOKUP(D30,[4]备注!J:K,2,0)</f>
        <v>11</v>
      </c>
      <c r="AO30" s="194">
        <v>37500</v>
      </c>
      <c r="AP30" s="195">
        <v>9.685504787750002</v>
      </c>
      <c r="AQ30" s="191"/>
      <c r="AR30" s="191">
        <f>VLOOKUP(D30,[4]Sheet1!U:V,2,0)</f>
        <v>0.111</v>
      </c>
      <c r="AS30" s="172"/>
      <c r="AT30" s="196">
        <v>151.44349999999991</v>
      </c>
      <c r="AU30" s="196">
        <v>318.19821999999994</v>
      </c>
      <c r="AV30" s="196">
        <v>1.5925699999999998</v>
      </c>
      <c r="AW30" s="196">
        <v>74.532250000000019</v>
      </c>
      <c r="AX30" s="197">
        <f t="shared" si="8"/>
        <v>545.76653999999985</v>
      </c>
      <c r="AY30" s="198"/>
      <c r="AZ30" s="215" t="s">
        <v>170</v>
      </c>
      <c r="BA30" s="206" t="s">
        <v>547</v>
      </c>
      <c r="BB30" s="199" t="s">
        <v>276</v>
      </c>
      <c r="BC30" s="200">
        <v>0.05</v>
      </c>
      <c r="BD30" s="200">
        <v>0.08</v>
      </c>
      <c r="BE30" s="200">
        <v>0.111</v>
      </c>
      <c r="BF30" s="201">
        <f>P30-AI30</f>
        <v>0</v>
      </c>
      <c r="BG30" s="172"/>
      <c r="BH30" s="172"/>
      <c r="BI30" s="172"/>
      <c r="BJ30" s="172"/>
      <c r="BK30" s="172"/>
      <c r="BL30" s="172"/>
      <c r="BN30" s="182">
        <v>287.22000000000003</v>
      </c>
      <c r="BO30" s="204">
        <f t="shared" si="11"/>
        <v>0.25858178053830211</v>
      </c>
      <c r="BP30" s="182">
        <f t="shared" si="9"/>
        <v>212.95014099378889</v>
      </c>
      <c r="BQ30" s="182">
        <f t="shared" si="10"/>
        <v>205.70983620000007</v>
      </c>
    </row>
    <row r="31" spans="1:69">
      <c r="M31" s="224">
        <f>M29*150/1.13</f>
        <v>41074.400868435005</v>
      </c>
      <c r="Y31" s="225"/>
      <c r="AB31" s="226"/>
      <c r="AT31" s="228">
        <f>SUM(AT5:AT30)</f>
        <v>4258.0538800000031</v>
      </c>
      <c r="AU31" s="228">
        <f>SUM(AU5:AU30)</f>
        <v>5044.037080000001</v>
      </c>
      <c r="AV31" s="228">
        <f>SUM(AV5:AV30)</f>
        <v>306.65277999999978</v>
      </c>
      <c r="AW31" s="228">
        <f>SUM(AW5:AW30)</f>
        <v>2785.5935699999968</v>
      </c>
      <c r="AX31" s="228">
        <f t="shared" si="8"/>
        <v>12394.337310000003</v>
      </c>
      <c r="BP31" s="224">
        <f t="shared" si="9"/>
        <v>37628.392667907996</v>
      </c>
      <c r="BQ31" s="224">
        <f t="shared" si="10"/>
        <v>36349.027317199121</v>
      </c>
    </row>
    <row r="32" spans="1:69">
      <c r="M32" s="229">
        <f>5*200*40/1.13</f>
        <v>35398.230088495577</v>
      </c>
      <c r="BP32" s="224">
        <f t="shared" si="9"/>
        <v>32428.434094153043</v>
      </c>
      <c r="BQ32" s="224">
        <f t="shared" si="10"/>
        <v>31325.867334951839</v>
      </c>
    </row>
    <row r="33" spans="9:49">
      <c r="I33" s="230"/>
      <c r="J33" s="230"/>
    </row>
    <row r="35" spans="9:49">
      <c r="J35" s="230"/>
    </row>
    <row r="36" spans="9:49" ht="15">
      <c r="AW36" s="231"/>
    </row>
    <row r="37" spans="9:49" ht="15">
      <c r="AW37" s="231"/>
    </row>
    <row r="38" spans="9:49" ht="15">
      <c r="AW38" s="231"/>
    </row>
    <row r="39" spans="9:49" ht="15">
      <c r="AW39" s="231"/>
    </row>
    <row r="40" spans="9:49" ht="15">
      <c r="AW40" s="231"/>
    </row>
    <row r="41" spans="9:49" ht="15">
      <c r="K41" s="230"/>
      <c r="L41" s="230"/>
      <c r="M41" s="230"/>
      <c r="AW41" s="231"/>
    </row>
    <row r="42" spans="9:49" ht="15">
      <c r="K42" s="230"/>
      <c r="L42" s="230"/>
      <c r="M42" s="231"/>
      <c r="AW42" s="231"/>
    </row>
    <row r="43" spans="9:49" ht="15">
      <c r="AW43" s="231"/>
    </row>
    <row r="44" spans="9:49" ht="15">
      <c r="AW44" s="231"/>
    </row>
    <row r="45" spans="9:49" ht="15">
      <c r="AW45" s="231"/>
    </row>
    <row r="46" spans="9:49" ht="15">
      <c r="AW46" s="231"/>
    </row>
    <row r="47" spans="9:49" ht="15">
      <c r="AW47" s="231"/>
    </row>
    <row r="48" spans="9:49" ht="15">
      <c r="AW48" s="231"/>
    </row>
    <row r="49" spans="49:49" ht="15">
      <c r="AW49" s="231"/>
    </row>
    <row r="50" spans="49:49" ht="15">
      <c r="AW50" s="231"/>
    </row>
    <row r="51" spans="49:49" ht="15">
      <c r="AW51" s="231"/>
    </row>
    <row r="52" spans="49:49" ht="15">
      <c r="AW52" s="231"/>
    </row>
    <row r="53" spans="49:49" ht="15">
      <c r="AW53" s="231"/>
    </row>
    <row r="54" spans="49:49" ht="15">
      <c r="AW54" s="231"/>
    </row>
    <row r="55" spans="49:49" ht="15">
      <c r="AW55" s="231"/>
    </row>
    <row r="56" spans="49:49" ht="15">
      <c r="AW56" s="231"/>
    </row>
    <row r="57" spans="49:49" ht="15">
      <c r="AW57" s="231"/>
    </row>
    <row r="58" spans="49:49" ht="15">
      <c r="AW58" s="231"/>
    </row>
    <row r="59" spans="49:49" ht="15">
      <c r="AW59" s="231"/>
    </row>
    <row r="60" spans="49:49" ht="15">
      <c r="AW60" s="231"/>
    </row>
    <row r="61" spans="49:49" ht="15">
      <c r="AW61" s="231"/>
    </row>
  </sheetData>
  <mergeCells count="58">
    <mergeCell ref="B1:H1"/>
    <mergeCell ref="AF1:AG1"/>
    <mergeCell ref="A2:A4"/>
    <mergeCell ref="B2:B4"/>
    <mergeCell ref="C2:C4"/>
    <mergeCell ref="D2:D4"/>
    <mergeCell ref="E2:E4"/>
    <mergeCell ref="G2:G4"/>
    <mergeCell ref="H2:H4"/>
    <mergeCell ref="J2:J3"/>
    <mergeCell ref="W2:W4"/>
    <mergeCell ref="K2:K4"/>
    <mergeCell ref="L2:L4"/>
    <mergeCell ref="M2:M4"/>
    <mergeCell ref="N2:N4"/>
    <mergeCell ref="O2:O4"/>
    <mergeCell ref="P2:P4"/>
    <mergeCell ref="Q2:Q4"/>
    <mergeCell ref="R2:R4"/>
    <mergeCell ref="S2:S4"/>
    <mergeCell ref="T2:T4"/>
    <mergeCell ref="U2:U4"/>
    <mergeCell ref="AL2:AL4"/>
    <mergeCell ref="X2:X4"/>
    <mergeCell ref="Y2:Y4"/>
    <mergeCell ref="Z2:Z4"/>
    <mergeCell ref="AB2:AB4"/>
    <mergeCell ref="AC2:AC4"/>
    <mergeCell ref="AE2:AE4"/>
    <mergeCell ref="BE2:BE3"/>
    <mergeCell ref="BH2:BH4"/>
    <mergeCell ref="AT2:AT4"/>
    <mergeCell ref="AU2:AU4"/>
    <mergeCell ref="AV2:AV4"/>
    <mergeCell ref="AW2:AW4"/>
    <mergeCell ref="AX2:AX4"/>
    <mergeCell ref="AZ2:AZ4"/>
    <mergeCell ref="F3:F4"/>
    <mergeCell ref="BA2:BA4"/>
    <mergeCell ref="BB2:BB4"/>
    <mergeCell ref="BC2:BC3"/>
    <mergeCell ref="BD2:BD3"/>
    <mergeCell ref="AM2:AM4"/>
    <mergeCell ref="AN2:AN4"/>
    <mergeCell ref="AO2:AO4"/>
    <mergeCell ref="AP2:AP4"/>
    <mergeCell ref="AQ2:AQ4"/>
    <mergeCell ref="AR2:AR4"/>
    <mergeCell ref="AF2:AF4"/>
    <mergeCell ref="AG2:AG4"/>
    <mergeCell ref="AI2:AI4"/>
    <mergeCell ref="AJ2:AJ4"/>
    <mergeCell ref="AK2:AK4"/>
    <mergeCell ref="BI2:BI4"/>
    <mergeCell ref="BJ2:BJ4"/>
    <mergeCell ref="BK2:BK4"/>
    <mergeCell ref="BL2:BL4"/>
    <mergeCell ref="BO2:BO3"/>
  </mergeCells>
  <phoneticPr fontId="2" type="noConversion"/>
  <pageMargins left="0.7" right="0.7" top="0.75" bottom="0.75" header="0.3" footer="0.3"/>
  <pageSetup paperSize="9" orientation="portrait" r:id="rId1"/>
  <headerFooter>
    <oddFooter>&amp;L_x000D_&amp;1#&amp;"Calibri"&amp;10&amp;K000000 K-C Confidential</oddFooter>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16</vt:i4>
      </vt:variant>
    </vt:vector>
  </HeadingPairs>
  <TitlesOfParts>
    <vt:vector size="16" baseType="lpstr">
      <vt:lpstr>后补</vt:lpstr>
      <vt:lpstr>Offline TTL</vt:lpstr>
      <vt:lpstr>mapping-Y26</vt:lpstr>
      <vt:lpstr>Sheet2</vt:lpstr>
      <vt:lpstr>26年价格体系T1</vt:lpstr>
      <vt:lpstr>26年价格体系 T2</vt:lpstr>
      <vt:lpstr>25年版cogs</vt:lpstr>
      <vt:lpstr>Sheet3</vt:lpstr>
      <vt:lpstr>后补-填写标黄单元格</vt:lpstr>
      <vt:lpstr>Sheet1</vt:lpstr>
      <vt:lpstr>随货(用折扣力度报价)-填写标黄单元格</vt:lpstr>
      <vt:lpstr>随货(用单包价格报价)-填写标黄单元格</vt:lpstr>
      <vt:lpstr>随货</vt:lpstr>
      <vt:lpstr>mapping</vt:lpstr>
      <vt:lpstr>随货(用单包价格报价)-填写标黄单元格-随货票扣1.4%</vt:lpstr>
      <vt:lpstr>产品价格体系</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 Lu</dc:creator>
  <cp:lastModifiedBy>Chen, Andrea</cp:lastModifiedBy>
  <dcterms:created xsi:type="dcterms:W3CDTF">2025-04-09T11:39:29Z</dcterms:created>
  <dcterms:modified xsi:type="dcterms:W3CDTF">2026-07-17T08:06:45Z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1d9da09-940d-4ce7-a880-ec3e256a81b0_Enabled">
    <vt:lpwstr>true</vt:lpwstr>
  </property>
  <property fmtid="{D5CDD505-2E9C-101B-9397-08002B2CF9AE}" pid="3" name="MSIP_Label_71d9da09-940d-4ce7-a880-ec3e256a81b0_SetDate">
    <vt:lpwstr>2025-04-10T07:08:31Z</vt:lpwstr>
  </property>
  <property fmtid="{D5CDD505-2E9C-101B-9397-08002B2CF9AE}" pid="4" name="MSIP_Label_71d9da09-940d-4ce7-a880-ec3e256a81b0_Method">
    <vt:lpwstr>Privileged</vt:lpwstr>
  </property>
  <property fmtid="{D5CDD505-2E9C-101B-9397-08002B2CF9AE}" pid="5" name="MSIP_Label_71d9da09-940d-4ce7-a880-ec3e256a81b0_Name">
    <vt:lpwstr>71d9da09-940d-4ce7-a880-ec3e256a81b0</vt:lpwstr>
  </property>
  <property fmtid="{D5CDD505-2E9C-101B-9397-08002B2CF9AE}" pid="6" name="MSIP_Label_71d9da09-940d-4ce7-a880-ec3e256a81b0_SiteId">
    <vt:lpwstr>fee2180b-69b6-4afe-9f14-ccd70bd4c737</vt:lpwstr>
  </property>
  <property fmtid="{D5CDD505-2E9C-101B-9397-08002B2CF9AE}" pid="7" name="MSIP_Label_71d9da09-940d-4ce7-a880-ec3e256a81b0_ActionId">
    <vt:lpwstr>3824fce0-f676-4fcd-8c06-8cfeeacd58f5</vt:lpwstr>
  </property>
  <property fmtid="{D5CDD505-2E9C-101B-9397-08002B2CF9AE}" pid="8" name="MSIP_Label_71d9da09-940d-4ce7-a880-ec3e256a81b0_ContentBits">
    <vt:lpwstr>2</vt:lpwstr>
  </property>
</Properties>
</file>